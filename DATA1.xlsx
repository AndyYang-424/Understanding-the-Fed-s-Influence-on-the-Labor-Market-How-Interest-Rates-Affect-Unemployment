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msb-my.sharepoint.com/personal/yumoyang_marshall_usc_edu/Documents/ECON-318/"/>
    </mc:Choice>
  </mc:AlternateContent>
  <xr:revisionPtr revIDLastSave="0" documentId="8_{24B5CFC2-4F1C-4F3C-9608-FE9F5759A5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54" i="2" l="1"/>
  <c r="N2554" i="2"/>
  <c r="M2554" i="2"/>
  <c r="L2554" i="2"/>
  <c r="K2554" i="2"/>
  <c r="J2554" i="2"/>
  <c r="I2554" i="2"/>
  <c r="H2554" i="2"/>
  <c r="G2554" i="2"/>
  <c r="F2554" i="2"/>
  <c r="E2554" i="2"/>
  <c r="D2554" i="2"/>
  <c r="C2554" i="2"/>
  <c r="B2554" i="2"/>
  <c r="O2553" i="2"/>
  <c r="N2553" i="2"/>
  <c r="M2553" i="2"/>
  <c r="L2553" i="2"/>
  <c r="K2553" i="2"/>
  <c r="J2553" i="2"/>
  <c r="I2553" i="2"/>
  <c r="H2553" i="2"/>
  <c r="G2553" i="2"/>
  <c r="F2553" i="2"/>
  <c r="E2553" i="2"/>
  <c r="D2553" i="2"/>
  <c r="C2553" i="2"/>
  <c r="B2553" i="2"/>
  <c r="O2552" i="2"/>
  <c r="N2552" i="2"/>
  <c r="M2552" i="2"/>
  <c r="L2552" i="2"/>
  <c r="K2552" i="2"/>
  <c r="J2552" i="2"/>
  <c r="I2552" i="2"/>
  <c r="H2552" i="2"/>
  <c r="G2552" i="2"/>
  <c r="F2552" i="2"/>
  <c r="E2552" i="2"/>
  <c r="D2552" i="2"/>
  <c r="C2552" i="2"/>
  <c r="B2552" i="2"/>
  <c r="O2551" i="2"/>
  <c r="N2551" i="2"/>
  <c r="M2551" i="2"/>
  <c r="L2551" i="2"/>
  <c r="K2551" i="2"/>
  <c r="J2551" i="2"/>
  <c r="I2551" i="2"/>
  <c r="H2551" i="2"/>
  <c r="G2551" i="2"/>
  <c r="F2551" i="2"/>
  <c r="E2551" i="2"/>
  <c r="D2551" i="2"/>
  <c r="C2551" i="2"/>
  <c r="B2551" i="2"/>
  <c r="O2550" i="2"/>
  <c r="N2550" i="2"/>
  <c r="M2550" i="2"/>
  <c r="L2550" i="2"/>
  <c r="K2550" i="2"/>
  <c r="J2550" i="2"/>
  <c r="I2550" i="2"/>
  <c r="H2550" i="2"/>
  <c r="G2550" i="2"/>
  <c r="F2550" i="2"/>
  <c r="E2550" i="2"/>
  <c r="D2550" i="2"/>
  <c r="C2550" i="2"/>
  <c r="B2550" i="2"/>
  <c r="O2549" i="2"/>
  <c r="N2549" i="2"/>
  <c r="M2549" i="2"/>
  <c r="L2549" i="2"/>
  <c r="K2549" i="2"/>
  <c r="J2549" i="2"/>
  <c r="I2549" i="2"/>
  <c r="H2549" i="2"/>
  <c r="G2549" i="2"/>
  <c r="F2549" i="2"/>
  <c r="E2549" i="2"/>
  <c r="D2549" i="2"/>
  <c r="C2549" i="2"/>
  <c r="B2549" i="2"/>
  <c r="O2548" i="2"/>
  <c r="N2548" i="2"/>
  <c r="M2548" i="2"/>
  <c r="L2548" i="2"/>
  <c r="K2548" i="2"/>
  <c r="J2548" i="2"/>
  <c r="I2548" i="2"/>
  <c r="H2548" i="2"/>
  <c r="G2548" i="2"/>
  <c r="F2548" i="2"/>
  <c r="E2548" i="2"/>
  <c r="D2548" i="2"/>
  <c r="C2548" i="2"/>
  <c r="B2548" i="2"/>
  <c r="O2547" i="2"/>
  <c r="N2547" i="2"/>
  <c r="M2547" i="2"/>
  <c r="L2547" i="2"/>
  <c r="K2547" i="2"/>
  <c r="J2547" i="2"/>
  <c r="I2547" i="2"/>
  <c r="H2547" i="2"/>
  <c r="G2547" i="2"/>
  <c r="F2547" i="2"/>
  <c r="E2547" i="2"/>
  <c r="D2547" i="2"/>
  <c r="C2547" i="2"/>
  <c r="B2547" i="2"/>
  <c r="O2546" i="2"/>
  <c r="N2546" i="2"/>
  <c r="M2546" i="2"/>
  <c r="L2546" i="2"/>
  <c r="K2546" i="2"/>
  <c r="J2546" i="2"/>
  <c r="I2546" i="2"/>
  <c r="H2546" i="2"/>
  <c r="G2546" i="2"/>
  <c r="F2546" i="2"/>
  <c r="E2546" i="2"/>
  <c r="D2546" i="2"/>
  <c r="C2546" i="2"/>
  <c r="B2546" i="2"/>
  <c r="O2545" i="2"/>
  <c r="N2545" i="2"/>
  <c r="M2545" i="2"/>
  <c r="L2545" i="2"/>
  <c r="K2545" i="2"/>
  <c r="J2545" i="2"/>
  <c r="I2545" i="2"/>
  <c r="H2545" i="2"/>
  <c r="G2545" i="2"/>
  <c r="F2545" i="2"/>
  <c r="E2545" i="2"/>
  <c r="D2545" i="2"/>
  <c r="C2545" i="2"/>
  <c r="B2545" i="2"/>
  <c r="O2544" i="2"/>
  <c r="N2544" i="2"/>
  <c r="M2544" i="2"/>
  <c r="L2544" i="2"/>
  <c r="K2544" i="2"/>
  <c r="J2544" i="2"/>
  <c r="I2544" i="2"/>
  <c r="H2544" i="2"/>
  <c r="G2544" i="2"/>
  <c r="F2544" i="2"/>
  <c r="E2544" i="2"/>
  <c r="D2544" i="2"/>
  <c r="C2544" i="2"/>
  <c r="B2544" i="2"/>
  <c r="O2543" i="2"/>
  <c r="N2543" i="2"/>
  <c r="M2543" i="2"/>
  <c r="L2543" i="2"/>
  <c r="K2543" i="2"/>
  <c r="J2543" i="2"/>
  <c r="I2543" i="2"/>
  <c r="H2543" i="2"/>
  <c r="G2543" i="2"/>
  <c r="F2543" i="2"/>
  <c r="E2543" i="2"/>
  <c r="D2543" i="2"/>
  <c r="C2543" i="2"/>
  <c r="B2543" i="2"/>
  <c r="O2542" i="2"/>
  <c r="N2542" i="2"/>
  <c r="M2542" i="2"/>
  <c r="L2542" i="2"/>
  <c r="K2542" i="2"/>
  <c r="J2542" i="2"/>
  <c r="I2542" i="2"/>
  <c r="H2542" i="2"/>
  <c r="G2542" i="2"/>
  <c r="F2542" i="2"/>
  <c r="E2542" i="2"/>
  <c r="D2542" i="2"/>
  <c r="C2542" i="2"/>
  <c r="B2542" i="2"/>
  <c r="O2541" i="2"/>
  <c r="N2541" i="2"/>
  <c r="M2541" i="2"/>
  <c r="L2541" i="2"/>
  <c r="K2541" i="2"/>
  <c r="J2541" i="2"/>
  <c r="I2541" i="2"/>
  <c r="H2541" i="2"/>
  <c r="G2541" i="2"/>
  <c r="F2541" i="2"/>
  <c r="E2541" i="2"/>
  <c r="D2541" i="2"/>
  <c r="C2541" i="2"/>
  <c r="B2541" i="2"/>
  <c r="O2540" i="2"/>
  <c r="N2540" i="2"/>
  <c r="M2540" i="2"/>
  <c r="L2540" i="2"/>
  <c r="K2540" i="2"/>
  <c r="J2540" i="2"/>
  <c r="I2540" i="2"/>
  <c r="H2540" i="2"/>
  <c r="G2540" i="2"/>
  <c r="F2540" i="2"/>
  <c r="E2540" i="2"/>
  <c r="D2540" i="2"/>
  <c r="C2540" i="2"/>
  <c r="B2540" i="2"/>
  <c r="O2539" i="2"/>
  <c r="N2539" i="2"/>
  <c r="M2539" i="2"/>
  <c r="L2539" i="2"/>
  <c r="K2539" i="2"/>
  <c r="J2539" i="2"/>
  <c r="I2539" i="2"/>
  <c r="H2539" i="2"/>
  <c r="G2539" i="2"/>
  <c r="F2539" i="2"/>
  <c r="E2539" i="2"/>
  <c r="D2539" i="2"/>
  <c r="C2539" i="2"/>
  <c r="B2539" i="2"/>
  <c r="O2538" i="2"/>
  <c r="N2538" i="2"/>
  <c r="M2538" i="2"/>
  <c r="L2538" i="2"/>
  <c r="K2538" i="2"/>
  <c r="J2538" i="2"/>
  <c r="I2538" i="2"/>
  <c r="H2538" i="2"/>
  <c r="G2538" i="2"/>
  <c r="F2538" i="2"/>
  <c r="E2538" i="2"/>
  <c r="D2538" i="2"/>
  <c r="C2538" i="2"/>
  <c r="B2538" i="2"/>
  <c r="O2537" i="2"/>
  <c r="N2537" i="2"/>
  <c r="M2537" i="2"/>
  <c r="L2537" i="2"/>
  <c r="K2537" i="2"/>
  <c r="J2537" i="2"/>
  <c r="I2537" i="2"/>
  <c r="H2537" i="2"/>
  <c r="G2537" i="2"/>
  <c r="F2537" i="2"/>
  <c r="E2537" i="2"/>
  <c r="D2537" i="2"/>
  <c r="C2537" i="2"/>
  <c r="B2537" i="2"/>
  <c r="O2536" i="2"/>
  <c r="N2536" i="2"/>
  <c r="M2536" i="2"/>
  <c r="L2536" i="2"/>
  <c r="K2536" i="2"/>
  <c r="J2536" i="2"/>
  <c r="I2536" i="2"/>
  <c r="H2536" i="2"/>
  <c r="G2536" i="2"/>
  <c r="F2536" i="2"/>
  <c r="E2536" i="2"/>
  <c r="D2536" i="2"/>
  <c r="C2536" i="2"/>
  <c r="B2536" i="2"/>
  <c r="O2535" i="2"/>
  <c r="N2535" i="2"/>
  <c r="M2535" i="2"/>
  <c r="L2535" i="2"/>
  <c r="K2535" i="2"/>
  <c r="J2535" i="2"/>
  <c r="I2535" i="2"/>
  <c r="H2535" i="2"/>
  <c r="G2535" i="2"/>
  <c r="F2535" i="2"/>
  <c r="E2535" i="2"/>
  <c r="D2535" i="2"/>
  <c r="C2535" i="2"/>
  <c r="B2535" i="2"/>
  <c r="O2534" i="2"/>
  <c r="N2534" i="2"/>
  <c r="M2534" i="2"/>
  <c r="L2534" i="2"/>
  <c r="K2534" i="2"/>
  <c r="J2534" i="2"/>
  <c r="I2534" i="2"/>
  <c r="H2534" i="2"/>
  <c r="G2534" i="2"/>
  <c r="F2534" i="2"/>
  <c r="E2534" i="2"/>
  <c r="D2534" i="2"/>
  <c r="C2534" i="2"/>
  <c r="B2534" i="2"/>
  <c r="O2533" i="2"/>
  <c r="N2533" i="2"/>
  <c r="M2533" i="2"/>
  <c r="L2533" i="2"/>
  <c r="K2533" i="2"/>
  <c r="J2533" i="2"/>
  <c r="I2533" i="2"/>
  <c r="H2533" i="2"/>
  <c r="G2533" i="2"/>
  <c r="F2533" i="2"/>
  <c r="E2533" i="2"/>
  <c r="D2533" i="2"/>
  <c r="C2533" i="2"/>
  <c r="B2533" i="2"/>
  <c r="O2532" i="2"/>
  <c r="N2532" i="2"/>
  <c r="M2532" i="2"/>
  <c r="L2532" i="2"/>
  <c r="K2532" i="2"/>
  <c r="J2532" i="2"/>
  <c r="I2532" i="2"/>
  <c r="H2532" i="2"/>
  <c r="G2532" i="2"/>
  <c r="F2532" i="2"/>
  <c r="E2532" i="2"/>
  <c r="D2532" i="2"/>
  <c r="C2532" i="2"/>
  <c r="B2532" i="2"/>
  <c r="O2531" i="2"/>
  <c r="N2531" i="2"/>
  <c r="M2531" i="2"/>
  <c r="L2531" i="2"/>
  <c r="K2531" i="2"/>
  <c r="J2531" i="2"/>
  <c r="I2531" i="2"/>
  <c r="H2531" i="2"/>
  <c r="G2531" i="2"/>
  <c r="F2531" i="2"/>
  <c r="E2531" i="2"/>
  <c r="D2531" i="2"/>
  <c r="C2531" i="2"/>
  <c r="B2531" i="2"/>
  <c r="O2530" i="2"/>
  <c r="N2530" i="2"/>
  <c r="M2530" i="2"/>
  <c r="L2530" i="2"/>
  <c r="K2530" i="2"/>
  <c r="J2530" i="2"/>
  <c r="I2530" i="2"/>
  <c r="H2530" i="2"/>
  <c r="G2530" i="2"/>
  <c r="F2530" i="2"/>
  <c r="E2530" i="2"/>
  <c r="D2530" i="2"/>
  <c r="C2530" i="2"/>
  <c r="B2530" i="2"/>
  <c r="O2529" i="2"/>
  <c r="N2529" i="2"/>
  <c r="M2529" i="2"/>
  <c r="L2529" i="2"/>
  <c r="K2529" i="2"/>
  <c r="J2529" i="2"/>
  <c r="I2529" i="2"/>
  <c r="H2529" i="2"/>
  <c r="G2529" i="2"/>
  <c r="F2529" i="2"/>
  <c r="E2529" i="2"/>
  <c r="D2529" i="2"/>
  <c r="C2529" i="2"/>
  <c r="B2529" i="2"/>
  <c r="O2528" i="2"/>
  <c r="N2528" i="2"/>
  <c r="M2528" i="2"/>
  <c r="L2528" i="2"/>
  <c r="K2528" i="2"/>
  <c r="J2528" i="2"/>
  <c r="I2528" i="2"/>
  <c r="H2528" i="2"/>
  <c r="G2528" i="2"/>
  <c r="F2528" i="2"/>
  <c r="E2528" i="2"/>
  <c r="D2528" i="2"/>
  <c r="C2528" i="2"/>
  <c r="B2528" i="2"/>
  <c r="O2527" i="2"/>
  <c r="N2527" i="2"/>
  <c r="M2527" i="2"/>
  <c r="L2527" i="2"/>
  <c r="K2527" i="2"/>
  <c r="J2527" i="2"/>
  <c r="I2527" i="2"/>
  <c r="H2527" i="2"/>
  <c r="G2527" i="2"/>
  <c r="F2527" i="2"/>
  <c r="E2527" i="2"/>
  <c r="D2527" i="2"/>
  <c r="C2527" i="2"/>
  <c r="B2527" i="2"/>
  <c r="O2526" i="2"/>
  <c r="N2526" i="2"/>
  <c r="M2526" i="2"/>
  <c r="L2526" i="2"/>
  <c r="K2526" i="2"/>
  <c r="J2526" i="2"/>
  <c r="I2526" i="2"/>
  <c r="H2526" i="2"/>
  <c r="G2526" i="2"/>
  <c r="F2526" i="2"/>
  <c r="E2526" i="2"/>
  <c r="D2526" i="2"/>
  <c r="C2526" i="2"/>
  <c r="B2526" i="2"/>
  <c r="O2525" i="2"/>
  <c r="N2525" i="2"/>
  <c r="M2525" i="2"/>
  <c r="L2525" i="2"/>
  <c r="K2525" i="2"/>
  <c r="J2525" i="2"/>
  <c r="I2525" i="2"/>
  <c r="H2525" i="2"/>
  <c r="G2525" i="2"/>
  <c r="F2525" i="2"/>
  <c r="E2525" i="2"/>
  <c r="D2525" i="2"/>
  <c r="C2525" i="2"/>
  <c r="B2525" i="2"/>
  <c r="O2524" i="2"/>
  <c r="N2524" i="2"/>
  <c r="M2524" i="2"/>
  <c r="L2524" i="2"/>
  <c r="K2524" i="2"/>
  <c r="J2524" i="2"/>
  <c r="I2524" i="2"/>
  <c r="H2524" i="2"/>
  <c r="G2524" i="2"/>
  <c r="F2524" i="2"/>
  <c r="E2524" i="2"/>
  <c r="D2524" i="2"/>
  <c r="C2524" i="2"/>
  <c r="B2524" i="2"/>
  <c r="O2523" i="2"/>
  <c r="N2523" i="2"/>
  <c r="M2523" i="2"/>
  <c r="L2523" i="2"/>
  <c r="K2523" i="2"/>
  <c r="J2523" i="2"/>
  <c r="I2523" i="2"/>
  <c r="H2523" i="2"/>
  <c r="G2523" i="2"/>
  <c r="F2523" i="2"/>
  <c r="E2523" i="2"/>
  <c r="D2523" i="2"/>
  <c r="C2523" i="2"/>
  <c r="B2523" i="2"/>
  <c r="O2522" i="2"/>
  <c r="N2522" i="2"/>
  <c r="M2522" i="2"/>
  <c r="L2522" i="2"/>
  <c r="K2522" i="2"/>
  <c r="J2522" i="2"/>
  <c r="I2522" i="2"/>
  <c r="H2522" i="2"/>
  <c r="G2522" i="2"/>
  <c r="F2522" i="2"/>
  <c r="E2522" i="2"/>
  <c r="D2522" i="2"/>
  <c r="C2522" i="2"/>
  <c r="B2522" i="2"/>
  <c r="O2521" i="2"/>
  <c r="N2521" i="2"/>
  <c r="M2521" i="2"/>
  <c r="L2521" i="2"/>
  <c r="K2521" i="2"/>
  <c r="J2521" i="2"/>
  <c r="I2521" i="2"/>
  <c r="H2521" i="2"/>
  <c r="G2521" i="2"/>
  <c r="F2521" i="2"/>
  <c r="E2521" i="2"/>
  <c r="D2521" i="2"/>
  <c r="C2521" i="2"/>
  <c r="B2521" i="2"/>
  <c r="O2520" i="2"/>
  <c r="N2520" i="2"/>
  <c r="M2520" i="2"/>
  <c r="L2520" i="2"/>
  <c r="K2520" i="2"/>
  <c r="J2520" i="2"/>
  <c r="I2520" i="2"/>
  <c r="H2520" i="2"/>
  <c r="G2520" i="2"/>
  <c r="F2520" i="2"/>
  <c r="E2520" i="2"/>
  <c r="D2520" i="2"/>
  <c r="C2520" i="2"/>
  <c r="B2520" i="2"/>
  <c r="O2519" i="2"/>
  <c r="N2519" i="2"/>
  <c r="M2519" i="2"/>
  <c r="L2519" i="2"/>
  <c r="K2519" i="2"/>
  <c r="J2519" i="2"/>
  <c r="I2519" i="2"/>
  <c r="H2519" i="2"/>
  <c r="G2519" i="2"/>
  <c r="F2519" i="2"/>
  <c r="E2519" i="2"/>
  <c r="D2519" i="2"/>
  <c r="C2519" i="2"/>
  <c r="B2519" i="2"/>
  <c r="O2518" i="2"/>
  <c r="N2518" i="2"/>
  <c r="M2518" i="2"/>
  <c r="L2518" i="2"/>
  <c r="K2518" i="2"/>
  <c r="J2518" i="2"/>
  <c r="I2518" i="2"/>
  <c r="H2518" i="2"/>
  <c r="G2518" i="2"/>
  <c r="F2518" i="2"/>
  <c r="E2518" i="2"/>
  <c r="D2518" i="2"/>
  <c r="C2518" i="2"/>
  <c r="B2518" i="2"/>
  <c r="O2517" i="2"/>
  <c r="N2517" i="2"/>
  <c r="M2517" i="2"/>
  <c r="L2517" i="2"/>
  <c r="K2517" i="2"/>
  <c r="J2517" i="2"/>
  <c r="I2517" i="2"/>
  <c r="H2517" i="2"/>
  <c r="G2517" i="2"/>
  <c r="F2517" i="2"/>
  <c r="E2517" i="2"/>
  <c r="D2517" i="2"/>
  <c r="C2517" i="2"/>
  <c r="B2517" i="2"/>
  <c r="O2516" i="2"/>
  <c r="N2516" i="2"/>
  <c r="M2516" i="2"/>
  <c r="L2516" i="2"/>
  <c r="K2516" i="2"/>
  <c r="J2516" i="2"/>
  <c r="I2516" i="2"/>
  <c r="H2516" i="2"/>
  <c r="G2516" i="2"/>
  <c r="F2516" i="2"/>
  <c r="E2516" i="2"/>
  <c r="D2516" i="2"/>
  <c r="C2516" i="2"/>
  <c r="B2516" i="2"/>
  <c r="O2515" i="2"/>
  <c r="N2515" i="2"/>
  <c r="M2515" i="2"/>
  <c r="L2515" i="2"/>
  <c r="K2515" i="2"/>
  <c r="J2515" i="2"/>
  <c r="I2515" i="2"/>
  <c r="H2515" i="2"/>
  <c r="G2515" i="2"/>
  <c r="F2515" i="2"/>
  <c r="E2515" i="2"/>
  <c r="D2515" i="2"/>
  <c r="C2515" i="2"/>
  <c r="B2515" i="2"/>
  <c r="O2514" i="2"/>
  <c r="N2514" i="2"/>
  <c r="M2514" i="2"/>
  <c r="L2514" i="2"/>
  <c r="K2514" i="2"/>
  <c r="J2514" i="2"/>
  <c r="I2514" i="2"/>
  <c r="H2514" i="2"/>
  <c r="G2514" i="2"/>
  <c r="F2514" i="2"/>
  <c r="E2514" i="2"/>
  <c r="D2514" i="2"/>
  <c r="C2514" i="2"/>
  <c r="B2514" i="2"/>
  <c r="O2513" i="2"/>
  <c r="N2513" i="2"/>
  <c r="M2513" i="2"/>
  <c r="L2513" i="2"/>
  <c r="K2513" i="2"/>
  <c r="J2513" i="2"/>
  <c r="I2513" i="2"/>
  <c r="H2513" i="2"/>
  <c r="G2513" i="2"/>
  <c r="F2513" i="2"/>
  <c r="E2513" i="2"/>
  <c r="D2513" i="2"/>
  <c r="C2513" i="2"/>
  <c r="B2513" i="2"/>
  <c r="O2512" i="2"/>
  <c r="N2512" i="2"/>
  <c r="M2512" i="2"/>
  <c r="L2512" i="2"/>
  <c r="K2512" i="2"/>
  <c r="J2512" i="2"/>
  <c r="I2512" i="2"/>
  <c r="H2512" i="2"/>
  <c r="G2512" i="2"/>
  <c r="F2512" i="2"/>
  <c r="E2512" i="2"/>
  <c r="D2512" i="2"/>
  <c r="C2512" i="2"/>
  <c r="B2512" i="2"/>
  <c r="O2511" i="2"/>
  <c r="N2511" i="2"/>
  <c r="M2511" i="2"/>
  <c r="L2511" i="2"/>
  <c r="K2511" i="2"/>
  <c r="J2511" i="2"/>
  <c r="I2511" i="2"/>
  <c r="H2511" i="2"/>
  <c r="G2511" i="2"/>
  <c r="F2511" i="2"/>
  <c r="E2511" i="2"/>
  <c r="D2511" i="2"/>
  <c r="C2511" i="2"/>
  <c r="B2511" i="2"/>
  <c r="O2510" i="2"/>
  <c r="N2510" i="2"/>
  <c r="M2510" i="2"/>
  <c r="L2510" i="2"/>
  <c r="K2510" i="2"/>
  <c r="J2510" i="2"/>
  <c r="I2510" i="2"/>
  <c r="H2510" i="2"/>
  <c r="G2510" i="2"/>
  <c r="F2510" i="2"/>
  <c r="E2510" i="2"/>
  <c r="D2510" i="2"/>
  <c r="C2510" i="2"/>
  <c r="B2510" i="2"/>
  <c r="O2509" i="2"/>
  <c r="N2509" i="2"/>
  <c r="M2509" i="2"/>
  <c r="L2509" i="2"/>
  <c r="K2509" i="2"/>
  <c r="J2509" i="2"/>
  <c r="I2509" i="2"/>
  <c r="H2509" i="2"/>
  <c r="G2509" i="2"/>
  <c r="F2509" i="2"/>
  <c r="E2509" i="2"/>
  <c r="D2509" i="2"/>
  <c r="C2509" i="2"/>
  <c r="B2509" i="2"/>
  <c r="O2508" i="2"/>
  <c r="N2508" i="2"/>
  <c r="M2508" i="2"/>
  <c r="L2508" i="2"/>
  <c r="K2508" i="2"/>
  <c r="J2508" i="2"/>
  <c r="I2508" i="2"/>
  <c r="H2508" i="2"/>
  <c r="G2508" i="2"/>
  <c r="F2508" i="2"/>
  <c r="E2508" i="2"/>
  <c r="D2508" i="2"/>
  <c r="C2508" i="2"/>
  <c r="B2508" i="2"/>
  <c r="O2507" i="2"/>
  <c r="N2507" i="2"/>
  <c r="M2507" i="2"/>
  <c r="L2507" i="2"/>
  <c r="K2507" i="2"/>
  <c r="J2507" i="2"/>
  <c r="I2507" i="2"/>
  <c r="H2507" i="2"/>
  <c r="G2507" i="2"/>
  <c r="F2507" i="2"/>
  <c r="E2507" i="2"/>
  <c r="D2507" i="2"/>
  <c r="C2507" i="2"/>
  <c r="B2507" i="2"/>
  <c r="O2506" i="2"/>
  <c r="N2506" i="2"/>
  <c r="M2506" i="2"/>
  <c r="L2506" i="2"/>
  <c r="K2506" i="2"/>
  <c r="J2506" i="2"/>
  <c r="I2506" i="2"/>
  <c r="H2506" i="2"/>
  <c r="G2506" i="2"/>
  <c r="F2506" i="2"/>
  <c r="E2506" i="2"/>
  <c r="D2506" i="2"/>
  <c r="C2506" i="2"/>
  <c r="B2506" i="2"/>
  <c r="O2505" i="2"/>
  <c r="N2505" i="2"/>
  <c r="M2505" i="2"/>
  <c r="L2505" i="2"/>
  <c r="K2505" i="2"/>
  <c r="J2505" i="2"/>
  <c r="I2505" i="2"/>
  <c r="H2505" i="2"/>
  <c r="G2505" i="2"/>
  <c r="F2505" i="2"/>
  <c r="E2505" i="2"/>
  <c r="D2505" i="2"/>
  <c r="C2505" i="2"/>
  <c r="B2505" i="2"/>
  <c r="O2504" i="2"/>
  <c r="N2504" i="2"/>
  <c r="M2504" i="2"/>
  <c r="L2504" i="2"/>
  <c r="K2504" i="2"/>
  <c r="J2504" i="2"/>
  <c r="I2504" i="2"/>
  <c r="H2504" i="2"/>
  <c r="G2504" i="2"/>
  <c r="F2504" i="2"/>
  <c r="E2504" i="2"/>
  <c r="D2504" i="2"/>
  <c r="C2504" i="2"/>
  <c r="B2504" i="2"/>
  <c r="O2503" i="2"/>
  <c r="N2503" i="2"/>
  <c r="M2503" i="2"/>
  <c r="L2503" i="2"/>
  <c r="K2503" i="2"/>
  <c r="J2503" i="2"/>
  <c r="I2503" i="2"/>
  <c r="H2503" i="2"/>
  <c r="G2503" i="2"/>
  <c r="F2503" i="2"/>
  <c r="E2503" i="2"/>
  <c r="D2503" i="2"/>
  <c r="C2503" i="2"/>
  <c r="B2503" i="2"/>
  <c r="O2502" i="2"/>
  <c r="N2502" i="2"/>
  <c r="M2502" i="2"/>
  <c r="L2502" i="2"/>
  <c r="K2502" i="2"/>
  <c r="J2502" i="2"/>
  <c r="I2502" i="2"/>
  <c r="H2502" i="2"/>
  <c r="G2502" i="2"/>
  <c r="F2502" i="2"/>
  <c r="E2502" i="2"/>
  <c r="D2502" i="2"/>
  <c r="C2502" i="2"/>
  <c r="B2502" i="2"/>
  <c r="O2501" i="2"/>
  <c r="N2501" i="2"/>
  <c r="M2501" i="2"/>
  <c r="L2501" i="2"/>
  <c r="K2501" i="2"/>
  <c r="J2501" i="2"/>
  <c r="I2501" i="2"/>
  <c r="H2501" i="2"/>
  <c r="G2501" i="2"/>
  <c r="F2501" i="2"/>
  <c r="E2501" i="2"/>
  <c r="D2501" i="2"/>
  <c r="C2501" i="2"/>
  <c r="B2501" i="2"/>
  <c r="O2500" i="2"/>
  <c r="N2500" i="2"/>
  <c r="M2500" i="2"/>
  <c r="L2500" i="2"/>
  <c r="K2500" i="2"/>
  <c r="J2500" i="2"/>
  <c r="I2500" i="2"/>
  <c r="H2500" i="2"/>
  <c r="G2500" i="2"/>
  <c r="F2500" i="2"/>
  <c r="E2500" i="2"/>
  <c r="D2500" i="2"/>
  <c r="C2500" i="2"/>
  <c r="B2500" i="2"/>
  <c r="O2499" i="2"/>
  <c r="N2499" i="2"/>
  <c r="M2499" i="2"/>
  <c r="L2499" i="2"/>
  <c r="K2499" i="2"/>
  <c r="J2499" i="2"/>
  <c r="I2499" i="2"/>
  <c r="H2499" i="2"/>
  <c r="G2499" i="2"/>
  <c r="F2499" i="2"/>
  <c r="E2499" i="2"/>
  <c r="D2499" i="2"/>
  <c r="C2499" i="2"/>
  <c r="B2499" i="2"/>
  <c r="O2498" i="2"/>
  <c r="N2498" i="2"/>
  <c r="M2498" i="2"/>
  <c r="L2498" i="2"/>
  <c r="K2498" i="2"/>
  <c r="J2498" i="2"/>
  <c r="I2498" i="2"/>
  <c r="H2498" i="2"/>
  <c r="G2498" i="2"/>
  <c r="F2498" i="2"/>
  <c r="E2498" i="2"/>
  <c r="D2498" i="2"/>
  <c r="C2498" i="2"/>
  <c r="B2498" i="2"/>
  <c r="O2497" i="2"/>
  <c r="N2497" i="2"/>
  <c r="M2497" i="2"/>
  <c r="L2497" i="2"/>
  <c r="K2497" i="2"/>
  <c r="J2497" i="2"/>
  <c r="I2497" i="2"/>
  <c r="H2497" i="2"/>
  <c r="G2497" i="2"/>
  <c r="F2497" i="2"/>
  <c r="E2497" i="2"/>
  <c r="D2497" i="2"/>
  <c r="C2497" i="2"/>
  <c r="B2497" i="2"/>
  <c r="O2496" i="2"/>
  <c r="N2496" i="2"/>
  <c r="M2496" i="2"/>
  <c r="L2496" i="2"/>
  <c r="K2496" i="2"/>
  <c r="J2496" i="2"/>
  <c r="I2496" i="2"/>
  <c r="H2496" i="2"/>
  <c r="G2496" i="2"/>
  <c r="F2496" i="2"/>
  <c r="E2496" i="2"/>
  <c r="D2496" i="2"/>
  <c r="C2496" i="2"/>
  <c r="B2496" i="2"/>
  <c r="O2495" i="2"/>
  <c r="N2495" i="2"/>
  <c r="M2495" i="2"/>
  <c r="L2495" i="2"/>
  <c r="K2495" i="2"/>
  <c r="J2495" i="2"/>
  <c r="I2495" i="2"/>
  <c r="H2495" i="2"/>
  <c r="G2495" i="2"/>
  <c r="F2495" i="2"/>
  <c r="E2495" i="2"/>
  <c r="D2495" i="2"/>
  <c r="C2495" i="2"/>
  <c r="B2495" i="2"/>
  <c r="O2494" i="2"/>
  <c r="N2494" i="2"/>
  <c r="M2494" i="2"/>
  <c r="L2494" i="2"/>
  <c r="K2494" i="2"/>
  <c r="J2494" i="2"/>
  <c r="I2494" i="2"/>
  <c r="H2494" i="2"/>
  <c r="G2494" i="2"/>
  <c r="F2494" i="2"/>
  <c r="E2494" i="2"/>
  <c r="D2494" i="2"/>
  <c r="C2494" i="2"/>
  <c r="B2494" i="2"/>
  <c r="O2493" i="2"/>
  <c r="N2493" i="2"/>
  <c r="M2493" i="2"/>
  <c r="L2493" i="2"/>
  <c r="K2493" i="2"/>
  <c r="J2493" i="2"/>
  <c r="I2493" i="2"/>
  <c r="H2493" i="2"/>
  <c r="G2493" i="2"/>
  <c r="F2493" i="2"/>
  <c r="E2493" i="2"/>
  <c r="D2493" i="2"/>
  <c r="C2493" i="2"/>
  <c r="B2493" i="2"/>
  <c r="O2492" i="2"/>
  <c r="N2492" i="2"/>
  <c r="M2492" i="2"/>
  <c r="L2492" i="2"/>
  <c r="K2492" i="2"/>
  <c r="J2492" i="2"/>
  <c r="I2492" i="2"/>
  <c r="H2492" i="2"/>
  <c r="G2492" i="2"/>
  <c r="F2492" i="2"/>
  <c r="E2492" i="2"/>
  <c r="D2492" i="2"/>
  <c r="C2492" i="2"/>
  <c r="B2492" i="2"/>
  <c r="O2491" i="2"/>
  <c r="N2491" i="2"/>
  <c r="M2491" i="2"/>
  <c r="L2491" i="2"/>
  <c r="K2491" i="2"/>
  <c r="J2491" i="2"/>
  <c r="I2491" i="2"/>
  <c r="H2491" i="2"/>
  <c r="G2491" i="2"/>
  <c r="F2491" i="2"/>
  <c r="E2491" i="2"/>
  <c r="D2491" i="2"/>
  <c r="C2491" i="2"/>
  <c r="B2491" i="2"/>
  <c r="O2490" i="2"/>
  <c r="N2490" i="2"/>
  <c r="M2490" i="2"/>
  <c r="L2490" i="2"/>
  <c r="K2490" i="2"/>
  <c r="J2490" i="2"/>
  <c r="I2490" i="2"/>
  <c r="H2490" i="2"/>
  <c r="G2490" i="2"/>
  <c r="F2490" i="2"/>
  <c r="E2490" i="2"/>
  <c r="D2490" i="2"/>
  <c r="C2490" i="2"/>
  <c r="B2490" i="2"/>
  <c r="O2489" i="2"/>
  <c r="N2489" i="2"/>
  <c r="M2489" i="2"/>
  <c r="L2489" i="2"/>
  <c r="K2489" i="2"/>
  <c r="J2489" i="2"/>
  <c r="I2489" i="2"/>
  <c r="H2489" i="2"/>
  <c r="G2489" i="2"/>
  <c r="F2489" i="2"/>
  <c r="E2489" i="2"/>
  <c r="D2489" i="2"/>
  <c r="C2489" i="2"/>
  <c r="B2489" i="2"/>
  <c r="O2488" i="2"/>
  <c r="N2488" i="2"/>
  <c r="M2488" i="2"/>
  <c r="L2488" i="2"/>
  <c r="K2488" i="2"/>
  <c r="J2488" i="2"/>
  <c r="I2488" i="2"/>
  <c r="H2488" i="2"/>
  <c r="G2488" i="2"/>
  <c r="F2488" i="2"/>
  <c r="E2488" i="2"/>
  <c r="D2488" i="2"/>
  <c r="C2488" i="2"/>
  <c r="B2488" i="2"/>
  <c r="O2487" i="2"/>
  <c r="N2487" i="2"/>
  <c r="M2487" i="2"/>
  <c r="L2487" i="2"/>
  <c r="K2487" i="2"/>
  <c r="J2487" i="2"/>
  <c r="I2487" i="2"/>
  <c r="H2487" i="2"/>
  <c r="G2487" i="2"/>
  <c r="F2487" i="2"/>
  <c r="E2487" i="2"/>
  <c r="D2487" i="2"/>
  <c r="C2487" i="2"/>
  <c r="B2487" i="2"/>
  <c r="O2486" i="2"/>
  <c r="N2486" i="2"/>
  <c r="M2486" i="2"/>
  <c r="L2486" i="2"/>
  <c r="K2486" i="2"/>
  <c r="J2486" i="2"/>
  <c r="I2486" i="2"/>
  <c r="H2486" i="2"/>
  <c r="G2486" i="2"/>
  <c r="F2486" i="2"/>
  <c r="E2486" i="2"/>
  <c r="D2486" i="2"/>
  <c r="C2486" i="2"/>
  <c r="B2486" i="2"/>
  <c r="O2485" i="2"/>
  <c r="N2485" i="2"/>
  <c r="M2485" i="2"/>
  <c r="L2485" i="2"/>
  <c r="K2485" i="2"/>
  <c r="J2485" i="2"/>
  <c r="I2485" i="2"/>
  <c r="H2485" i="2"/>
  <c r="G2485" i="2"/>
  <c r="F2485" i="2"/>
  <c r="E2485" i="2"/>
  <c r="D2485" i="2"/>
  <c r="C2485" i="2"/>
  <c r="B2485" i="2"/>
  <c r="O2484" i="2"/>
  <c r="N2484" i="2"/>
  <c r="M2484" i="2"/>
  <c r="L2484" i="2"/>
  <c r="K2484" i="2"/>
  <c r="J2484" i="2"/>
  <c r="I2484" i="2"/>
  <c r="H2484" i="2"/>
  <c r="G2484" i="2"/>
  <c r="F2484" i="2"/>
  <c r="E2484" i="2"/>
  <c r="D2484" i="2"/>
  <c r="C2484" i="2"/>
  <c r="B2484" i="2"/>
  <c r="O2483" i="2"/>
  <c r="N2483" i="2"/>
  <c r="M2483" i="2"/>
  <c r="L2483" i="2"/>
  <c r="K2483" i="2"/>
  <c r="J2483" i="2"/>
  <c r="I2483" i="2"/>
  <c r="H2483" i="2"/>
  <c r="G2483" i="2"/>
  <c r="F2483" i="2"/>
  <c r="E2483" i="2"/>
  <c r="D2483" i="2"/>
  <c r="C2483" i="2"/>
  <c r="B2483" i="2"/>
  <c r="O2482" i="2"/>
  <c r="N2482" i="2"/>
  <c r="M2482" i="2"/>
  <c r="L2482" i="2"/>
  <c r="K2482" i="2"/>
  <c r="J2482" i="2"/>
  <c r="I2482" i="2"/>
  <c r="H2482" i="2"/>
  <c r="G2482" i="2"/>
  <c r="F2482" i="2"/>
  <c r="E2482" i="2"/>
  <c r="D2482" i="2"/>
  <c r="C2482" i="2"/>
  <c r="B2482" i="2"/>
  <c r="O2481" i="2"/>
  <c r="N2481" i="2"/>
  <c r="M2481" i="2"/>
  <c r="L2481" i="2"/>
  <c r="K2481" i="2"/>
  <c r="J2481" i="2"/>
  <c r="I2481" i="2"/>
  <c r="H2481" i="2"/>
  <c r="G2481" i="2"/>
  <c r="F2481" i="2"/>
  <c r="E2481" i="2"/>
  <c r="D2481" i="2"/>
  <c r="C2481" i="2"/>
  <c r="B2481" i="2"/>
  <c r="O2480" i="2"/>
  <c r="N2480" i="2"/>
  <c r="M2480" i="2"/>
  <c r="L2480" i="2"/>
  <c r="K2480" i="2"/>
  <c r="J2480" i="2"/>
  <c r="I2480" i="2"/>
  <c r="H2480" i="2"/>
  <c r="G2480" i="2"/>
  <c r="F2480" i="2"/>
  <c r="E2480" i="2"/>
  <c r="D2480" i="2"/>
  <c r="C2480" i="2"/>
  <c r="B2480" i="2"/>
  <c r="O2479" i="2"/>
  <c r="N2479" i="2"/>
  <c r="M2479" i="2"/>
  <c r="L2479" i="2"/>
  <c r="K2479" i="2"/>
  <c r="J2479" i="2"/>
  <c r="I2479" i="2"/>
  <c r="H2479" i="2"/>
  <c r="G2479" i="2"/>
  <c r="F2479" i="2"/>
  <c r="E2479" i="2"/>
  <c r="D2479" i="2"/>
  <c r="C2479" i="2"/>
  <c r="B2479" i="2"/>
  <c r="O2478" i="2"/>
  <c r="N2478" i="2"/>
  <c r="M2478" i="2"/>
  <c r="L2478" i="2"/>
  <c r="K2478" i="2"/>
  <c r="J2478" i="2"/>
  <c r="I2478" i="2"/>
  <c r="H2478" i="2"/>
  <c r="G2478" i="2"/>
  <c r="F2478" i="2"/>
  <c r="E2478" i="2"/>
  <c r="D2478" i="2"/>
  <c r="C2478" i="2"/>
  <c r="B2478" i="2"/>
  <c r="O2477" i="2"/>
  <c r="N2477" i="2"/>
  <c r="M2477" i="2"/>
  <c r="L2477" i="2"/>
  <c r="K2477" i="2"/>
  <c r="J2477" i="2"/>
  <c r="I2477" i="2"/>
  <c r="H2477" i="2"/>
  <c r="G2477" i="2"/>
  <c r="F2477" i="2"/>
  <c r="E2477" i="2"/>
  <c r="D2477" i="2"/>
  <c r="C2477" i="2"/>
  <c r="B2477" i="2"/>
  <c r="O2476" i="2"/>
  <c r="N2476" i="2"/>
  <c r="M2476" i="2"/>
  <c r="L2476" i="2"/>
  <c r="K2476" i="2"/>
  <c r="J2476" i="2"/>
  <c r="I2476" i="2"/>
  <c r="H2476" i="2"/>
  <c r="G2476" i="2"/>
  <c r="F2476" i="2"/>
  <c r="E2476" i="2"/>
  <c r="D2476" i="2"/>
  <c r="C2476" i="2"/>
  <c r="B2476" i="2"/>
  <c r="O2475" i="2"/>
  <c r="N2475" i="2"/>
  <c r="M2475" i="2"/>
  <c r="L2475" i="2"/>
  <c r="K2475" i="2"/>
  <c r="J2475" i="2"/>
  <c r="I2475" i="2"/>
  <c r="H2475" i="2"/>
  <c r="G2475" i="2"/>
  <c r="F2475" i="2"/>
  <c r="E2475" i="2"/>
  <c r="D2475" i="2"/>
  <c r="C2475" i="2"/>
  <c r="B2475" i="2"/>
  <c r="O2474" i="2"/>
  <c r="N2474" i="2"/>
  <c r="M2474" i="2"/>
  <c r="L2474" i="2"/>
  <c r="K2474" i="2"/>
  <c r="J2474" i="2"/>
  <c r="I2474" i="2"/>
  <c r="H2474" i="2"/>
  <c r="G2474" i="2"/>
  <c r="F2474" i="2"/>
  <c r="E2474" i="2"/>
  <c r="D2474" i="2"/>
  <c r="C2474" i="2"/>
  <c r="B2474" i="2"/>
  <c r="O2473" i="2"/>
  <c r="N2473" i="2"/>
  <c r="M2473" i="2"/>
  <c r="L2473" i="2"/>
  <c r="K2473" i="2"/>
  <c r="J2473" i="2"/>
  <c r="I2473" i="2"/>
  <c r="H2473" i="2"/>
  <c r="G2473" i="2"/>
  <c r="F2473" i="2"/>
  <c r="E2473" i="2"/>
  <c r="D2473" i="2"/>
  <c r="C2473" i="2"/>
  <c r="B2473" i="2"/>
  <c r="O2472" i="2"/>
  <c r="N2472" i="2"/>
  <c r="M2472" i="2"/>
  <c r="L2472" i="2"/>
  <c r="K2472" i="2"/>
  <c r="J2472" i="2"/>
  <c r="I2472" i="2"/>
  <c r="H2472" i="2"/>
  <c r="G2472" i="2"/>
  <c r="F2472" i="2"/>
  <c r="E2472" i="2"/>
  <c r="D2472" i="2"/>
  <c r="C2472" i="2"/>
  <c r="B2472" i="2"/>
  <c r="O2471" i="2"/>
  <c r="N2471" i="2"/>
  <c r="M2471" i="2"/>
  <c r="L2471" i="2"/>
  <c r="K2471" i="2"/>
  <c r="J2471" i="2"/>
  <c r="I2471" i="2"/>
  <c r="H2471" i="2"/>
  <c r="G2471" i="2"/>
  <c r="F2471" i="2"/>
  <c r="E2471" i="2"/>
  <c r="D2471" i="2"/>
  <c r="C2471" i="2"/>
  <c r="B2471" i="2"/>
  <c r="O2470" i="2"/>
  <c r="N2470" i="2"/>
  <c r="M2470" i="2"/>
  <c r="L2470" i="2"/>
  <c r="K2470" i="2"/>
  <c r="J2470" i="2"/>
  <c r="I2470" i="2"/>
  <c r="H2470" i="2"/>
  <c r="G2470" i="2"/>
  <c r="F2470" i="2"/>
  <c r="E2470" i="2"/>
  <c r="D2470" i="2"/>
  <c r="C2470" i="2"/>
  <c r="B2470" i="2"/>
  <c r="O2469" i="2"/>
  <c r="N2469" i="2"/>
  <c r="M2469" i="2"/>
  <c r="L2469" i="2"/>
  <c r="K2469" i="2"/>
  <c r="J2469" i="2"/>
  <c r="I2469" i="2"/>
  <c r="H2469" i="2"/>
  <c r="G2469" i="2"/>
  <c r="F2469" i="2"/>
  <c r="E2469" i="2"/>
  <c r="D2469" i="2"/>
  <c r="C2469" i="2"/>
  <c r="B2469" i="2"/>
  <c r="O2468" i="2"/>
  <c r="N2468" i="2"/>
  <c r="M2468" i="2"/>
  <c r="L2468" i="2"/>
  <c r="K2468" i="2"/>
  <c r="J2468" i="2"/>
  <c r="I2468" i="2"/>
  <c r="H2468" i="2"/>
  <c r="G2468" i="2"/>
  <c r="F2468" i="2"/>
  <c r="E2468" i="2"/>
  <c r="D2468" i="2"/>
  <c r="C2468" i="2"/>
  <c r="B2468" i="2"/>
  <c r="O2467" i="2"/>
  <c r="N2467" i="2"/>
  <c r="M2467" i="2"/>
  <c r="L2467" i="2"/>
  <c r="K2467" i="2"/>
  <c r="J2467" i="2"/>
  <c r="I2467" i="2"/>
  <c r="H2467" i="2"/>
  <c r="G2467" i="2"/>
  <c r="F2467" i="2"/>
  <c r="E2467" i="2"/>
  <c r="D2467" i="2"/>
  <c r="C2467" i="2"/>
  <c r="B2467" i="2"/>
  <c r="O2466" i="2"/>
  <c r="N2466" i="2"/>
  <c r="M2466" i="2"/>
  <c r="L2466" i="2"/>
  <c r="K2466" i="2"/>
  <c r="J2466" i="2"/>
  <c r="I2466" i="2"/>
  <c r="H2466" i="2"/>
  <c r="G2466" i="2"/>
  <c r="F2466" i="2"/>
  <c r="E2466" i="2"/>
  <c r="D2466" i="2"/>
  <c r="C2466" i="2"/>
  <c r="B2466" i="2"/>
  <c r="O2465" i="2"/>
  <c r="N2465" i="2"/>
  <c r="M2465" i="2"/>
  <c r="L2465" i="2"/>
  <c r="K2465" i="2"/>
  <c r="J2465" i="2"/>
  <c r="I2465" i="2"/>
  <c r="H2465" i="2"/>
  <c r="G2465" i="2"/>
  <c r="F2465" i="2"/>
  <c r="E2465" i="2"/>
  <c r="D2465" i="2"/>
  <c r="C2465" i="2"/>
  <c r="B2465" i="2"/>
  <c r="O2464" i="2"/>
  <c r="N2464" i="2"/>
  <c r="M2464" i="2"/>
  <c r="L2464" i="2"/>
  <c r="K2464" i="2"/>
  <c r="J2464" i="2"/>
  <c r="I2464" i="2"/>
  <c r="H2464" i="2"/>
  <c r="G2464" i="2"/>
  <c r="F2464" i="2"/>
  <c r="E2464" i="2"/>
  <c r="D2464" i="2"/>
  <c r="C2464" i="2"/>
  <c r="B2464" i="2"/>
  <c r="O2463" i="2"/>
  <c r="N2463" i="2"/>
  <c r="M2463" i="2"/>
  <c r="L2463" i="2"/>
  <c r="K2463" i="2"/>
  <c r="J2463" i="2"/>
  <c r="I2463" i="2"/>
  <c r="H2463" i="2"/>
  <c r="G2463" i="2"/>
  <c r="F2463" i="2"/>
  <c r="E2463" i="2"/>
  <c r="D2463" i="2"/>
  <c r="C2463" i="2"/>
  <c r="B2463" i="2"/>
  <c r="O2462" i="2"/>
  <c r="N2462" i="2"/>
  <c r="M2462" i="2"/>
  <c r="L2462" i="2"/>
  <c r="K2462" i="2"/>
  <c r="J2462" i="2"/>
  <c r="I2462" i="2"/>
  <c r="H2462" i="2"/>
  <c r="G2462" i="2"/>
  <c r="F2462" i="2"/>
  <c r="E2462" i="2"/>
  <c r="D2462" i="2"/>
  <c r="C2462" i="2"/>
  <c r="B2462" i="2"/>
  <c r="O2461" i="2"/>
  <c r="N2461" i="2"/>
  <c r="M2461" i="2"/>
  <c r="L2461" i="2"/>
  <c r="K2461" i="2"/>
  <c r="J2461" i="2"/>
  <c r="I2461" i="2"/>
  <c r="H2461" i="2"/>
  <c r="G2461" i="2"/>
  <c r="F2461" i="2"/>
  <c r="E2461" i="2"/>
  <c r="D2461" i="2"/>
  <c r="C2461" i="2"/>
  <c r="B2461" i="2"/>
  <c r="O2460" i="2"/>
  <c r="N2460" i="2"/>
  <c r="M2460" i="2"/>
  <c r="L2460" i="2"/>
  <c r="K2460" i="2"/>
  <c r="J2460" i="2"/>
  <c r="I2460" i="2"/>
  <c r="H2460" i="2"/>
  <c r="G2460" i="2"/>
  <c r="F2460" i="2"/>
  <c r="E2460" i="2"/>
  <c r="D2460" i="2"/>
  <c r="C2460" i="2"/>
  <c r="B2460" i="2"/>
  <c r="O2459" i="2"/>
  <c r="N2459" i="2"/>
  <c r="M2459" i="2"/>
  <c r="L2459" i="2"/>
  <c r="K2459" i="2"/>
  <c r="J2459" i="2"/>
  <c r="I2459" i="2"/>
  <c r="H2459" i="2"/>
  <c r="G2459" i="2"/>
  <c r="F2459" i="2"/>
  <c r="E2459" i="2"/>
  <c r="D2459" i="2"/>
  <c r="C2459" i="2"/>
  <c r="B2459" i="2"/>
  <c r="O2458" i="2"/>
  <c r="N2458" i="2"/>
  <c r="M2458" i="2"/>
  <c r="L2458" i="2"/>
  <c r="K2458" i="2"/>
  <c r="J2458" i="2"/>
  <c r="I2458" i="2"/>
  <c r="H2458" i="2"/>
  <c r="G2458" i="2"/>
  <c r="F2458" i="2"/>
  <c r="E2458" i="2"/>
  <c r="D2458" i="2"/>
  <c r="C2458" i="2"/>
  <c r="B2458" i="2"/>
  <c r="O2457" i="2"/>
  <c r="N2457" i="2"/>
  <c r="M2457" i="2"/>
  <c r="L2457" i="2"/>
  <c r="K2457" i="2"/>
  <c r="J2457" i="2"/>
  <c r="I2457" i="2"/>
  <c r="H2457" i="2"/>
  <c r="G2457" i="2"/>
  <c r="F2457" i="2"/>
  <c r="E2457" i="2"/>
  <c r="D2457" i="2"/>
  <c r="C2457" i="2"/>
  <c r="B2457" i="2"/>
  <c r="O2456" i="2"/>
  <c r="N2456" i="2"/>
  <c r="M2456" i="2"/>
  <c r="L2456" i="2"/>
  <c r="K2456" i="2"/>
  <c r="J2456" i="2"/>
  <c r="I2456" i="2"/>
  <c r="H2456" i="2"/>
  <c r="G2456" i="2"/>
  <c r="F2456" i="2"/>
  <c r="E2456" i="2"/>
  <c r="D2456" i="2"/>
  <c r="C2456" i="2"/>
  <c r="B2456" i="2"/>
  <c r="O2455" i="2"/>
  <c r="N2455" i="2"/>
  <c r="M2455" i="2"/>
  <c r="L2455" i="2"/>
  <c r="K2455" i="2"/>
  <c r="J2455" i="2"/>
  <c r="I2455" i="2"/>
  <c r="H2455" i="2"/>
  <c r="G2455" i="2"/>
  <c r="F2455" i="2"/>
  <c r="E2455" i="2"/>
  <c r="D2455" i="2"/>
  <c r="C2455" i="2"/>
  <c r="B2455" i="2"/>
  <c r="O2454" i="2"/>
  <c r="N2454" i="2"/>
  <c r="M2454" i="2"/>
  <c r="L2454" i="2"/>
  <c r="K2454" i="2"/>
  <c r="J2454" i="2"/>
  <c r="I2454" i="2"/>
  <c r="H2454" i="2"/>
  <c r="G2454" i="2"/>
  <c r="F2454" i="2"/>
  <c r="E2454" i="2"/>
  <c r="D2454" i="2"/>
  <c r="C2454" i="2"/>
  <c r="B2454" i="2"/>
  <c r="O2453" i="2"/>
  <c r="N2453" i="2"/>
  <c r="M2453" i="2"/>
  <c r="L2453" i="2"/>
  <c r="K2453" i="2"/>
  <c r="J2453" i="2"/>
  <c r="I2453" i="2"/>
  <c r="H2453" i="2"/>
  <c r="G2453" i="2"/>
  <c r="F2453" i="2"/>
  <c r="E2453" i="2"/>
  <c r="D2453" i="2"/>
  <c r="C2453" i="2"/>
  <c r="B2453" i="2"/>
  <c r="O2452" i="2"/>
  <c r="N2452" i="2"/>
  <c r="M2452" i="2"/>
  <c r="L2452" i="2"/>
  <c r="K2452" i="2"/>
  <c r="J2452" i="2"/>
  <c r="I2452" i="2"/>
  <c r="H2452" i="2"/>
  <c r="G2452" i="2"/>
  <c r="F2452" i="2"/>
  <c r="E2452" i="2"/>
  <c r="D2452" i="2"/>
  <c r="C2452" i="2"/>
  <c r="B2452" i="2"/>
  <c r="O2451" i="2"/>
  <c r="N2451" i="2"/>
  <c r="M2451" i="2"/>
  <c r="L2451" i="2"/>
  <c r="K2451" i="2"/>
  <c r="J2451" i="2"/>
  <c r="I2451" i="2"/>
  <c r="H2451" i="2"/>
  <c r="G2451" i="2"/>
  <c r="F2451" i="2"/>
  <c r="E2451" i="2"/>
  <c r="D2451" i="2"/>
  <c r="C2451" i="2"/>
  <c r="B2451" i="2"/>
  <c r="O2450" i="2"/>
  <c r="N2450" i="2"/>
  <c r="M2450" i="2"/>
  <c r="L2450" i="2"/>
  <c r="K2450" i="2"/>
  <c r="J2450" i="2"/>
  <c r="I2450" i="2"/>
  <c r="H2450" i="2"/>
  <c r="G2450" i="2"/>
  <c r="F2450" i="2"/>
  <c r="E2450" i="2"/>
  <c r="D2450" i="2"/>
  <c r="C2450" i="2"/>
  <c r="B2450" i="2"/>
  <c r="O2449" i="2"/>
  <c r="N2449" i="2"/>
  <c r="M2449" i="2"/>
  <c r="L2449" i="2"/>
  <c r="K2449" i="2"/>
  <c r="J2449" i="2"/>
  <c r="I2449" i="2"/>
  <c r="H2449" i="2"/>
  <c r="G2449" i="2"/>
  <c r="F2449" i="2"/>
  <c r="E2449" i="2"/>
  <c r="D2449" i="2"/>
  <c r="C2449" i="2"/>
  <c r="B2449" i="2"/>
  <c r="O2448" i="2"/>
  <c r="N2448" i="2"/>
  <c r="M2448" i="2"/>
  <c r="L2448" i="2"/>
  <c r="K2448" i="2"/>
  <c r="J2448" i="2"/>
  <c r="I2448" i="2"/>
  <c r="H2448" i="2"/>
  <c r="G2448" i="2"/>
  <c r="F2448" i="2"/>
  <c r="E2448" i="2"/>
  <c r="D2448" i="2"/>
  <c r="C2448" i="2"/>
  <c r="B2448" i="2"/>
  <c r="O2447" i="2"/>
  <c r="N2447" i="2"/>
  <c r="M2447" i="2"/>
  <c r="L2447" i="2"/>
  <c r="K2447" i="2"/>
  <c r="J2447" i="2"/>
  <c r="I2447" i="2"/>
  <c r="H2447" i="2"/>
  <c r="G2447" i="2"/>
  <c r="F2447" i="2"/>
  <c r="E2447" i="2"/>
  <c r="D2447" i="2"/>
  <c r="C2447" i="2"/>
  <c r="B2447" i="2"/>
  <c r="O2446" i="2"/>
  <c r="N2446" i="2"/>
  <c r="M2446" i="2"/>
  <c r="L2446" i="2"/>
  <c r="K2446" i="2"/>
  <c r="J2446" i="2"/>
  <c r="I2446" i="2"/>
  <c r="H2446" i="2"/>
  <c r="G2446" i="2"/>
  <c r="F2446" i="2"/>
  <c r="E2446" i="2"/>
  <c r="D2446" i="2"/>
  <c r="C2446" i="2"/>
  <c r="B2446" i="2"/>
  <c r="O2445" i="2"/>
  <c r="N2445" i="2"/>
  <c r="M2445" i="2"/>
  <c r="L2445" i="2"/>
  <c r="K2445" i="2"/>
  <c r="J2445" i="2"/>
  <c r="I2445" i="2"/>
  <c r="H2445" i="2"/>
  <c r="G2445" i="2"/>
  <c r="F2445" i="2"/>
  <c r="E2445" i="2"/>
  <c r="D2445" i="2"/>
  <c r="C2445" i="2"/>
  <c r="B2445" i="2"/>
  <c r="O2444" i="2"/>
  <c r="N2444" i="2"/>
  <c r="M2444" i="2"/>
  <c r="L2444" i="2"/>
  <c r="K2444" i="2"/>
  <c r="J2444" i="2"/>
  <c r="I2444" i="2"/>
  <c r="H2444" i="2"/>
  <c r="G2444" i="2"/>
  <c r="F2444" i="2"/>
  <c r="E2444" i="2"/>
  <c r="D2444" i="2"/>
  <c r="C2444" i="2"/>
  <c r="B2444" i="2"/>
  <c r="O2443" i="2"/>
  <c r="N2443" i="2"/>
  <c r="M2443" i="2"/>
  <c r="L2443" i="2"/>
  <c r="K2443" i="2"/>
  <c r="J2443" i="2"/>
  <c r="I2443" i="2"/>
  <c r="H2443" i="2"/>
  <c r="G2443" i="2"/>
  <c r="F2443" i="2"/>
  <c r="E2443" i="2"/>
  <c r="D2443" i="2"/>
  <c r="C2443" i="2"/>
  <c r="B2443" i="2"/>
  <c r="O2442" i="2"/>
  <c r="N2442" i="2"/>
  <c r="M2442" i="2"/>
  <c r="L2442" i="2"/>
  <c r="K2442" i="2"/>
  <c r="J2442" i="2"/>
  <c r="I2442" i="2"/>
  <c r="H2442" i="2"/>
  <c r="G2442" i="2"/>
  <c r="F2442" i="2"/>
  <c r="E2442" i="2"/>
  <c r="D2442" i="2"/>
  <c r="C2442" i="2"/>
  <c r="B2442" i="2"/>
  <c r="O2441" i="2"/>
  <c r="N2441" i="2"/>
  <c r="M2441" i="2"/>
  <c r="L2441" i="2"/>
  <c r="K2441" i="2"/>
  <c r="J2441" i="2"/>
  <c r="I2441" i="2"/>
  <c r="H2441" i="2"/>
  <c r="G2441" i="2"/>
  <c r="F2441" i="2"/>
  <c r="E2441" i="2"/>
  <c r="D2441" i="2"/>
  <c r="C2441" i="2"/>
  <c r="B2441" i="2"/>
  <c r="O2440" i="2"/>
  <c r="N2440" i="2"/>
  <c r="M2440" i="2"/>
  <c r="L2440" i="2"/>
  <c r="K2440" i="2"/>
  <c r="J2440" i="2"/>
  <c r="I2440" i="2"/>
  <c r="H2440" i="2"/>
  <c r="G2440" i="2"/>
  <c r="F2440" i="2"/>
  <c r="E2440" i="2"/>
  <c r="D2440" i="2"/>
  <c r="C2440" i="2"/>
  <c r="B2440" i="2"/>
  <c r="O2439" i="2"/>
  <c r="N2439" i="2"/>
  <c r="M2439" i="2"/>
  <c r="L2439" i="2"/>
  <c r="K2439" i="2"/>
  <c r="J2439" i="2"/>
  <c r="I2439" i="2"/>
  <c r="H2439" i="2"/>
  <c r="G2439" i="2"/>
  <c r="F2439" i="2"/>
  <c r="E2439" i="2"/>
  <c r="D2439" i="2"/>
  <c r="C2439" i="2"/>
  <c r="B2439" i="2"/>
  <c r="O2438" i="2"/>
  <c r="N2438" i="2"/>
  <c r="M2438" i="2"/>
  <c r="L2438" i="2"/>
  <c r="K2438" i="2"/>
  <c r="J2438" i="2"/>
  <c r="I2438" i="2"/>
  <c r="H2438" i="2"/>
  <c r="G2438" i="2"/>
  <c r="F2438" i="2"/>
  <c r="E2438" i="2"/>
  <c r="D2438" i="2"/>
  <c r="C2438" i="2"/>
  <c r="B2438" i="2"/>
  <c r="O2437" i="2"/>
  <c r="N2437" i="2"/>
  <c r="M2437" i="2"/>
  <c r="L2437" i="2"/>
  <c r="K2437" i="2"/>
  <c r="J2437" i="2"/>
  <c r="I2437" i="2"/>
  <c r="H2437" i="2"/>
  <c r="G2437" i="2"/>
  <c r="F2437" i="2"/>
  <c r="E2437" i="2"/>
  <c r="D2437" i="2"/>
  <c r="C2437" i="2"/>
  <c r="B2437" i="2"/>
  <c r="O2436" i="2"/>
  <c r="N2436" i="2"/>
  <c r="M2436" i="2"/>
  <c r="L2436" i="2"/>
  <c r="K2436" i="2"/>
  <c r="J2436" i="2"/>
  <c r="I2436" i="2"/>
  <c r="H2436" i="2"/>
  <c r="G2436" i="2"/>
  <c r="F2436" i="2"/>
  <c r="E2436" i="2"/>
  <c r="D2436" i="2"/>
  <c r="C2436" i="2"/>
  <c r="B2436" i="2"/>
  <c r="O2435" i="2"/>
  <c r="N2435" i="2"/>
  <c r="M2435" i="2"/>
  <c r="L2435" i="2"/>
  <c r="K2435" i="2"/>
  <c r="J2435" i="2"/>
  <c r="I2435" i="2"/>
  <c r="H2435" i="2"/>
  <c r="G2435" i="2"/>
  <c r="F2435" i="2"/>
  <c r="E2435" i="2"/>
  <c r="D2435" i="2"/>
  <c r="C2435" i="2"/>
  <c r="B2435" i="2"/>
  <c r="O2434" i="2"/>
  <c r="N2434" i="2"/>
  <c r="M2434" i="2"/>
  <c r="L2434" i="2"/>
  <c r="K2434" i="2"/>
  <c r="J2434" i="2"/>
  <c r="I2434" i="2"/>
  <c r="H2434" i="2"/>
  <c r="G2434" i="2"/>
  <c r="F2434" i="2"/>
  <c r="E2434" i="2"/>
  <c r="D2434" i="2"/>
  <c r="C2434" i="2"/>
  <c r="B2434" i="2"/>
  <c r="O2433" i="2"/>
  <c r="N2433" i="2"/>
  <c r="M2433" i="2"/>
  <c r="L2433" i="2"/>
  <c r="K2433" i="2"/>
  <c r="J2433" i="2"/>
  <c r="I2433" i="2"/>
  <c r="H2433" i="2"/>
  <c r="G2433" i="2"/>
  <c r="F2433" i="2"/>
  <c r="E2433" i="2"/>
  <c r="D2433" i="2"/>
  <c r="C2433" i="2"/>
  <c r="B2433" i="2"/>
  <c r="O2432" i="2"/>
  <c r="N2432" i="2"/>
  <c r="M2432" i="2"/>
  <c r="L2432" i="2"/>
  <c r="K2432" i="2"/>
  <c r="J2432" i="2"/>
  <c r="I2432" i="2"/>
  <c r="H2432" i="2"/>
  <c r="G2432" i="2"/>
  <c r="F2432" i="2"/>
  <c r="E2432" i="2"/>
  <c r="D2432" i="2"/>
  <c r="C2432" i="2"/>
  <c r="B2432" i="2"/>
  <c r="O2431" i="2"/>
  <c r="N2431" i="2"/>
  <c r="M2431" i="2"/>
  <c r="L2431" i="2"/>
  <c r="K2431" i="2"/>
  <c r="J2431" i="2"/>
  <c r="I2431" i="2"/>
  <c r="H2431" i="2"/>
  <c r="G2431" i="2"/>
  <c r="F2431" i="2"/>
  <c r="E2431" i="2"/>
  <c r="D2431" i="2"/>
  <c r="C2431" i="2"/>
  <c r="B2431" i="2"/>
  <c r="O2430" i="2"/>
  <c r="N2430" i="2"/>
  <c r="M2430" i="2"/>
  <c r="L2430" i="2"/>
  <c r="K2430" i="2"/>
  <c r="J2430" i="2"/>
  <c r="I2430" i="2"/>
  <c r="H2430" i="2"/>
  <c r="G2430" i="2"/>
  <c r="F2430" i="2"/>
  <c r="E2430" i="2"/>
  <c r="D2430" i="2"/>
  <c r="C2430" i="2"/>
  <c r="B2430" i="2"/>
  <c r="O2429" i="2"/>
  <c r="N2429" i="2"/>
  <c r="M2429" i="2"/>
  <c r="L2429" i="2"/>
  <c r="K2429" i="2"/>
  <c r="J2429" i="2"/>
  <c r="I2429" i="2"/>
  <c r="H2429" i="2"/>
  <c r="G2429" i="2"/>
  <c r="F2429" i="2"/>
  <c r="E2429" i="2"/>
  <c r="D2429" i="2"/>
  <c r="C2429" i="2"/>
  <c r="B2429" i="2"/>
  <c r="O2428" i="2"/>
  <c r="N2428" i="2"/>
  <c r="M2428" i="2"/>
  <c r="L2428" i="2"/>
  <c r="K2428" i="2"/>
  <c r="J2428" i="2"/>
  <c r="I2428" i="2"/>
  <c r="H2428" i="2"/>
  <c r="G2428" i="2"/>
  <c r="F2428" i="2"/>
  <c r="E2428" i="2"/>
  <c r="D2428" i="2"/>
  <c r="C2428" i="2"/>
  <c r="B2428" i="2"/>
  <c r="O2427" i="2"/>
  <c r="N2427" i="2"/>
  <c r="M2427" i="2"/>
  <c r="L2427" i="2"/>
  <c r="K2427" i="2"/>
  <c r="J2427" i="2"/>
  <c r="I2427" i="2"/>
  <c r="H2427" i="2"/>
  <c r="G2427" i="2"/>
  <c r="F2427" i="2"/>
  <c r="E2427" i="2"/>
  <c r="D2427" i="2"/>
  <c r="C2427" i="2"/>
  <c r="B2427" i="2"/>
  <c r="O2426" i="2"/>
  <c r="N2426" i="2"/>
  <c r="M2426" i="2"/>
  <c r="L2426" i="2"/>
  <c r="K2426" i="2"/>
  <c r="J2426" i="2"/>
  <c r="I2426" i="2"/>
  <c r="H2426" i="2"/>
  <c r="G2426" i="2"/>
  <c r="F2426" i="2"/>
  <c r="E2426" i="2"/>
  <c r="D2426" i="2"/>
  <c r="C2426" i="2"/>
  <c r="B2426" i="2"/>
  <c r="O2425" i="2"/>
  <c r="N2425" i="2"/>
  <c r="M2425" i="2"/>
  <c r="L2425" i="2"/>
  <c r="K2425" i="2"/>
  <c r="J2425" i="2"/>
  <c r="I2425" i="2"/>
  <c r="H2425" i="2"/>
  <c r="G2425" i="2"/>
  <c r="F2425" i="2"/>
  <c r="E2425" i="2"/>
  <c r="D2425" i="2"/>
  <c r="C2425" i="2"/>
  <c r="B2425" i="2"/>
  <c r="O2424" i="2"/>
  <c r="N2424" i="2"/>
  <c r="M2424" i="2"/>
  <c r="L2424" i="2"/>
  <c r="K2424" i="2"/>
  <c r="J2424" i="2"/>
  <c r="I2424" i="2"/>
  <c r="H2424" i="2"/>
  <c r="G2424" i="2"/>
  <c r="F2424" i="2"/>
  <c r="E2424" i="2"/>
  <c r="D2424" i="2"/>
  <c r="C2424" i="2"/>
  <c r="B2424" i="2"/>
  <c r="O2423" i="2"/>
  <c r="N2423" i="2"/>
  <c r="M2423" i="2"/>
  <c r="L2423" i="2"/>
  <c r="K2423" i="2"/>
  <c r="J2423" i="2"/>
  <c r="I2423" i="2"/>
  <c r="H2423" i="2"/>
  <c r="G2423" i="2"/>
  <c r="F2423" i="2"/>
  <c r="E2423" i="2"/>
  <c r="D2423" i="2"/>
  <c r="C2423" i="2"/>
  <c r="B2423" i="2"/>
  <c r="O2422" i="2"/>
  <c r="N2422" i="2"/>
  <c r="M2422" i="2"/>
  <c r="L2422" i="2"/>
  <c r="K2422" i="2"/>
  <c r="J2422" i="2"/>
  <c r="I2422" i="2"/>
  <c r="H2422" i="2"/>
  <c r="G2422" i="2"/>
  <c r="F2422" i="2"/>
  <c r="E2422" i="2"/>
  <c r="D2422" i="2"/>
  <c r="C2422" i="2"/>
  <c r="B2422" i="2"/>
  <c r="O2421" i="2"/>
  <c r="N2421" i="2"/>
  <c r="M2421" i="2"/>
  <c r="L2421" i="2"/>
  <c r="K2421" i="2"/>
  <c r="J2421" i="2"/>
  <c r="I2421" i="2"/>
  <c r="H2421" i="2"/>
  <c r="G2421" i="2"/>
  <c r="F2421" i="2"/>
  <c r="E2421" i="2"/>
  <c r="D2421" i="2"/>
  <c r="C2421" i="2"/>
  <c r="B2421" i="2"/>
  <c r="O2420" i="2"/>
  <c r="N2420" i="2"/>
  <c r="M2420" i="2"/>
  <c r="L2420" i="2"/>
  <c r="K2420" i="2"/>
  <c r="J2420" i="2"/>
  <c r="I2420" i="2"/>
  <c r="H2420" i="2"/>
  <c r="G2420" i="2"/>
  <c r="F2420" i="2"/>
  <c r="E2420" i="2"/>
  <c r="D2420" i="2"/>
  <c r="C2420" i="2"/>
  <c r="B2420" i="2"/>
  <c r="O2419" i="2"/>
  <c r="N2419" i="2"/>
  <c r="M2419" i="2"/>
  <c r="L2419" i="2"/>
  <c r="K2419" i="2"/>
  <c r="J2419" i="2"/>
  <c r="I2419" i="2"/>
  <c r="H2419" i="2"/>
  <c r="G2419" i="2"/>
  <c r="F2419" i="2"/>
  <c r="E2419" i="2"/>
  <c r="D2419" i="2"/>
  <c r="C2419" i="2"/>
  <c r="B2419" i="2"/>
  <c r="O2418" i="2"/>
  <c r="N2418" i="2"/>
  <c r="M2418" i="2"/>
  <c r="L2418" i="2"/>
  <c r="K2418" i="2"/>
  <c r="J2418" i="2"/>
  <c r="I2418" i="2"/>
  <c r="H2418" i="2"/>
  <c r="G2418" i="2"/>
  <c r="F2418" i="2"/>
  <c r="E2418" i="2"/>
  <c r="D2418" i="2"/>
  <c r="C2418" i="2"/>
  <c r="B2418" i="2"/>
  <c r="O2417" i="2"/>
  <c r="N2417" i="2"/>
  <c r="M2417" i="2"/>
  <c r="L2417" i="2"/>
  <c r="K2417" i="2"/>
  <c r="J2417" i="2"/>
  <c r="I2417" i="2"/>
  <c r="H2417" i="2"/>
  <c r="G2417" i="2"/>
  <c r="F2417" i="2"/>
  <c r="E2417" i="2"/>
  <c r="D2417" i="2"/>
  <c r="C2417" i="2"/>
  <c r="B2417" i="2"/>
  <c r="O2416" i="2"/>
  <c r="N2416" i="2"/>
  <c r="M2416" i="2"/>
  <c r="L2416" i="2"/>
  <c r="K2416" i="2"/>
  <c r="J2416" i="2"/>
  <c r="I2416" i="2"/>
  <c r="H2416" i="2"/>
  <c r="G2416" i="2"/>
  <c r="F2416" i="2"/>
  <c r="E2416" i="2"/>
  <c r="D2416" i="2"/>
  <c r="C2416" i="2"/>
  <c r="B2416" i="2"/>
  <c r="O2415" i="2"/>
  <c r="N2415" i="2"/>
  <c r="M2415" i="2"/>
  <c r="L2415" i="2"/>
  <c r="K2415" i="2"/>
  <c r="J2415" i="2"/>
  <c r="I2415" i="2"/>
  <c r="H2415" i="2"/>
  <c r="G2415" i="2"/>
  <c r="F2415" i="2"/>
  <c r="E2415" i="2"/>
  <c r="D2415" i="2"/>
  <c r="C2415" i="2"/>
  <c r="B2415" i="2"/>
  <c r="O2414" i="2"/>
  <c r="N2414" i="2"/>
  <c r="M2414" i="2"/>
  <c r="L2414" i="2"/>
  <c r="K2414" i="2"/>
  <c r="J2414" i="2"/>
  <c r="I2414" i="2"/>
  <c r="H2414" i="2"/>
  <c r="G2414" i="2"/>
  <c r="F2414" i="2"/>
  <c r="E2414" i="2"/>
  <c r="D2414" i="2"/>
  <c r="C2414" i="2"/>
  <c r="B2414" i="2"/>
  <c r="O2413" i="2"/>
  <c r="N2413" i="2"/>
  <c r="M2413" i="2"/>
  <c r="L2413" i="2"/>
  <c r="K2413" i="2"/>
  <c r="J2413" i="2"/>
  <c r="I2413" i="2"/>
  <c r="H2413" i="2"/>
  <c r="G2413" i="2"/>
  <c r="F2413" i="2"/>
  <c r="E2413" i="2"/>
  <c r="D2413" i="2"/>
  <c r="C2413" i="2"/>
  <c r="B2413" i="2"/>
  <c r="O2412" i="2"/>
  <c r="N2412" i="2"/>
  <c r="M2412" i="2"/>
  <c r="L2412" i="2"/>
  <c r="K2412" i="2"/>
  <c r="J2412" i="2"/>
  <c r="I2412" i="2"/>
  <c r="H2412" i="2"/>
  <c r="G2412" i="2"/>
  <c r="F2412" i="2"/>
  <c r="E2412" i="2"/>
  <c r="D2412" i="2"/>
  <c r="C2412" i="2"/>
  <c r="B2412" i="2"/>
  <c r="O2411" i="2"/>
  <c r="N2411" i="2"/>
  <c r="M2411" i="2"/>
  <c r="L2411" i="2"/>
  <c r="K2411" i="2"/>
  <c r="J2411" i="2"/>
  <c r="I2411" i="2"/>
  <c r="H2411" i="2"/>
  <c r="G2411" i="2"/>
  <c r="F2411" i="2"/>
  <c r="E2411" i="2"/>
  <c r="D2411" i="2"/>
  <c r="C2411" i="2"/>
  <c r="B2411" i="2"/>
  <c r="O2410" i="2"/>
  <c r="N2410" i="2"/>
  <c r="M2410" i="2"/>
  <c r="L2410" i="2"/>
  <c r="K2410" i="2"/>
  <c r="J2410" i="2"/>
  <c r="I2410" i="2"/>
  <c r="H2410" i="2"/>
  <c r="G2410" i="2"/>
  <c r="F2410" i="2"/>
  <c r="E2410" i="2"/>
  <c r="D2410" i="2"/>
  <c r="C2410" i="2"/>
  <c r="B2410" i="2"/>
  <c r="O2409" i="2"/>
  <c r="N2409" i="2"/>
  <c r="M2409" i="2"/>
  <c r="L2409" i="2"/>
  <c r="K2409" i="2"/>
  <c r="J2409" i="2"/>
  <c r="I2409" i="2"/>
  <c r="H2409" i="2"/>
  <c r="G2409" i="2"/>
  <c r="F2409" i="2"/>
  <c r="E2409" i="2"/>
  <c r="D2409" i="2"/>
  <c r="C2409" i="2"/>
  <c r="B2409" i="2"/>
  <c r="O2408" i="2"/>
  <c r="N2408" i="2"/>
  <c r="M2408" i="2"/>
  <c r="L2408" i="2"/>
  <c r="K2408" i="2"/>
  <c r="J2408" i="2"/>
  <c r="I2408" i="2"/>
  <c r="H2408" i="2"/>
  <c r="G2408" i="2"/>
  <c r="F2408" i="2"/>
  <c r="E2408" i="2"/>
  <c r="D2408" i="2"/>
  <c r="C2408" i="2"/>
  <c r="B2408" i="2"/>
  <c r="O2407" i="2"/>
  <c r="N2407" i="2"/>
  <c r="M2407" i="2"/>
  <c r="L2407" i="2"/>
  <c r="K2407" i="2"/>
  <c r="J2407" i="2"/>
  <c r="I2407" i="2"/>
  <c r="H2407" i="2"/>
  <c r="G2407" i="2"/>
  <c r="F2407" i="2"/>
  <c r="E2407" i="2"/>
  <c r="D2407" i="2"/>
  <c r="C2407" i="2"/>
  <c r="B2407" i="2"/>
  <c r="O2406" i="2"/>
  <c r="N2406" i="2"/>
  <c r="M2406" i="2"/>
  <c r="L2406" i="2"/>
  <c r="K2406" i="2"/>
  <c r="J2406" i="2"/>
  <c r="I2406" i="2"/>
  <c r="H2406" i="2"/>
  <c r="G2406" i="2"/>
  <c r="F2406" i="2"/>
  <c r="E2406" i="2"/>
  <c r="D2406" i="2"/>
  <c r="C2406" i="2"/>
  <c r="B2406" i="2"/>
  <c r="O2405" i="2"/>
  <c r="N2405" i="2"/>
  <c r="M2405" i="2"/>
  <c r="L2405" i="2"/>
  <c r="K2405" i="2"/>
  <c r="J2405" i="2"/>
  <c r="I2405" i="2"/>
  <c r="H2405" i="2"/>
  <c r="G2405" i="2"/>
  <c r="F2405" i="2"/>
  <c r="E2405" i="2"/>
  <c r="D2405" i="2"/>
  <c r="C2405" i="2"/>
  <c r="B2405" i="2"/>
  <c r="O2404" i="2"/>
  <c r="N2404" i="2"/>
  <c r="M2404" i="2"/>
  <c r="L2404" i="2"/>
  <c r="K2404" i="2"/>
  <c r="J2404" i="2"/>
  <c r="I2404" i="2"/>
  <c r="H2404" i="2"/>
  <c r="G2404" i="2"/>
  <c r="F2404" i="2"/>
  <c r="E2404" i="2"/>
  <c r="D2404" i="2"/>
  <c r="C2404" i="2"/>
  <c r="B2404" i="2"/>
  <c r="O2403" i="2"/>
  <c r="N2403" i="2"/>
  <c r="M2403" i="2"/>
  <c r="L2403" i="2"/>
  <c r="K2403" i="2"/>
  <c r="J2403" i="2"/>
  <c r="I2403" i="2"/>
  <c r="H2403" i="2"/>
  <c r="G2403" i="2"/>
  <c r="F2403" i="2"/>
  <c r="E2403" i="2"/>
  <c r="D2403" i="2"/>
  <c r="C2403" i="2"/>
  <c r="B2403" i="2"/>
  <c r="O2402" i="2"/>
  <c r="N2402" i="2"/>
  <c r="M2402" i="2"/>
  <c r="L2402" i="2"/>
  <c r="K2402" i="2"/>
  <c r="J2402" i="2"/>
  <c r="I2402" i="2"/>
  <c r="H2402" i="2"/>
  <c r="G2402" i="2"/>
  <c r="F2402" i="2"/>
  <c r="E2402" i="2"/>
  <c r="D2402" i="2"/>
  <c r="C2402" i="2"/>
  <c r="B2402" i="2"/>
  <c r="O2401" i="2"/>
  <c r="N2401" i="2"/>
  <c r="M2401" i="2"/>
  <c r="L2401" i="2"/>
  <c r="K2401" i="2"/>
  <c r="J2401" i="2"/>
  <c r="I2401" i="2"/>
  <c r="H2401" i="2"/>
  <c r="G2401" i="2"/>
  <c r="F2401" i="2"/>
  <c r="E2401" i="2"/>
  <c r="D2401" i="2"/>
  <c r="C2401" i="2"/>
  <c r="B2401" i="2"/>
  <c r="O2400" i="2"/>
  <c r="N2400" i="2"/>
  <c r="M2400" i="2"/>
  <c r="L2400" i="2"/>
  <c r="K2400" i="2"/>
  <c r="J2400" i="2"/>
  <c r="I2400" i="2"/>
  <c r="H2400" i="2"/>
  <c r="G2400" i="2"/>
  <c r="F2400" i="2"/>
  <c r="E2400" i="2"/>
  <c r="D2400" i="2"/>
  <c r="C2400" i="2"/>
  <c r="B2400" i="2"/>
  <c r="O2399" i="2"/>
  <c r="N2399" i="2"/>
  <c r="M2399" i="2"/>
  <c r="L2399" i="2"/>
  <c r="K2399" i="2"/>
  <c r="J2399" i="2"/>
  <c r="I2399" i="2"/>
  <c r="H2399" i="2"/>
  <c r="G2399" i="2"/>
  <c r="F2399" i="2"/>
  <c r="E2399" i="2"/>
  <c r="D2399" i="2"/>
  <c r="C2399" i="2"/>
  <c r="B2399" i="2"/>
  <c r="O2398" i="2"/>
  <c r="N2398" i="2"/>
  <c r="M2398" i="2"/>
  <c r="L2398" i="2"/>
  <c r="K2398" i="2"/>
  <c r="J2398" i="2"/>
  <c r="I2398" i="2"/>
  <c r="H2398" i="2"/>
  <c r="G2398" i="2"/>
  <c r="F2398" i="2"/>
  <c r="E2398" i="2"/>
  <c r="D2398" i="2"/>
  <c r="C2398" i="2"/>
  <c r="B2398" i="2"/>
  <c r="O2397" i="2"/>
  <c r="N2397" i="2"/>
  <c r="M2397" i="2"/>
  <c r="L2397" i="2"/>
  <c r="K2397" i="2"/>
  <c r="J2397" i="2"/>
  <c r="I2397" i="2"/>
  <c r="H2397" i="2"/>
  <c r="G2397" i="2"/>
  <c r="F2397" i="2"/>
  <c r="E2397" i="2"/>
  <c r="D2397" i="2"/>
  <c r="C2397" i="2"/>
  <c r="B2397" i="2"/>
  <c r="O2396" i="2"/>
  <c r="N2396" i="2"/>
  <c r="M2396" i="2"/>
  <c r="L2396" i="2"/>
  <c r="K2396" i="2"/>
  <c r="J2396" i="2"/>
  <c r="I2396" i="2"/>
  <c r="H2396" i="2"/>
  <c r="G2396" i="2"/>
  <c r="F2396" i="2"/>
  <c r="E2396" i="2"/>
  <c r="D2396" i="2"/>
  <c r="C2396" i="2"/>
  <c r="B2396" i="2"/>
  <c r="O2395" i="2"/>
  <c r="N2395" i="2"/>
  <c r="M2395" i="2"/>
  <c r="L2395" i="2"/>
  <c r="K2395" i="2"/>
  <c r="J2395" i="2"/>
  <c r="I2395" i="2"/>
  <c r="H2395" i="2"/>
  <c r="G2395" i="2"/>
  <c r="F2395" i="2"/>
  <c r="E2395" i="2"/>
  <c r="D2395" i="2"/>
  <c r="C2395" i="2"/>
  <c r="B2395" i="2"/>
  <c r="O2394" i="2"/>
  <c r="N2394" i="2"/>
  <c r="M2394" i="2"/>
  <c r="L2394" i="2"/>
  <c r="K2394" i="2"/>
  <c r="J2394" i="2"/>
  <c r="I2394" i="2"/>
  <c r="H2394" i="2"/>
  <c r="G2394" i="2"/>
  <c r="F2394" i="2"/>
  <c r="E2394" i="2"/>
  <c r="D2394" i="2"/>
  <c r="C2394" i="2"/>
  <c r="B2394" i="2"/>
  <c r="O2393" i="2"/>
  <c r="N2393" i="2"/>
  <c r="M2393" i="2"/>
  <c r="L2393" i="2"/>
  <c r="K2393" i="2"/>
  <c r="J2393" i="2"/>
  <c r="I2393" i="2"/>
  <c r="H2393" i="2"/>
  <c r="G2393" i="2"/>
  <c r="F2393" i="2"/>
  <c r="E2393" i="2"/>
  <c r="D2393" i="2"/>
  <c r="C2393" i="2"/>
  <c r="B2393" i="2"/>
  <c r="O2392" i="2"/>
  <c r="N2392" i="2"/>
  <c r="M2392" i="2"/>
  <c r="L2392" i="2"/>
  <c r="K2392" i="2"/>
  <c r="J2392" i="2"/>
  <c r="I2392" i="2"/>
  <c r="H2392" i="2"/>
  <c r="G2392" i="2"/>
  <c r="F2392" i="2"/>
  <c r="E2392" i="2"/>
  <c r="D2392" i="2"/>
  <c r="C2392" i="2"/>
  <c r="B2392" i="2"/>
  <c r="O2391" i="2"/>
  <c r="N2391" i="2"/>
  <c r="M2391" i="2"/>
  <c r="L2391" i="2"/>
  <c r="K2391" i="2"/>
  <c r="J2391" i="2"/>
  <c r="I2391" i="2"/>
  <c r="H2391" i="2"/>
  <c r="G2391" i="2"/>
  <c r="F2391" i="2"/>
  <c r="E2391" i="2"/>
  <c r="D2391" i="2"/>
  <c r="C2391" i="2"/>
  <c r="B2391" i="2"/>
  <c r="O2390" i="2"/>
  <c r="N2390" i="2"/>
  <c r="M2390" i="2"/>
  <c r="L2390" i="2"/>
  <c r="K2390" i="2"/>
  <c r="J2390" i="2"/>
  <c r="I2390" i="2"/>
  <c r="H2390" i="2"/>
  <c r="G2390" i="2"/>
  <c r="F2390" i="2"/>
  <c r="E2390" i="2"/>
  <c r="D2390" i="2"/>
  <c r="C2390" i="2"/>
  <c r="B2390" i="2"/>
  <c r="O2389" i="2"/>
  <c r="N2389" i="2"/>
  <c r="M2389" i="2"/>
  <c r="L2389" i="2"/>
  <c r="K2389" i="2"/>
  <c r="J2389" i="2"/>
  <c r="I2389" i="2"/>
  <c r="H2389" i="2"/>
  <c r="G2389" i="2"/>
  <c r="F2389" i="2"/>
  <c r="E2389" i="2"/>
  <c r="D2389" i="2"/>
  <c r="C2389" i="2"/>
  <c r="B2389" i="2"/>
  <c r="O2388" i="2"/>
  <c r="N2388" i="2"/>
  <c r="M2388" i="2"/>
  <c r="L2388" i="2"/>
  <c r="K2388" i="2"/>
  <c r="J2388" i="2"/>
  <c r="I2388" i="2"/>
  <c r="H2388" i="2"/>
  <c r="G2388" i="2"/>
  <c r="F2388" i="2"/>
  <c r="E2388" i="2"/>
  <c r="D2388" i="2"/>
  <c r="C2388" i="2"/>
  <c r="B2388" i="2"/>
  <c r="O2387" i="2"/>
  <c r="N2387" i="2"/>
  <c r="M2387" i="2"/>
  <c r="L2387" i="2"/>
  <c r="K2387" i="2"/>
  <c r="J2387" i="2"/>
  <c r="I2387" i="2"/>
  <c r="H2387" i="2"/>
  <c r="G2387" i="2"/>
  <c r="F2387" i="2"/>
  <c r="E2387" i="2"/>
  <c r="D2387" i="2"/>
  <c r="C2387" i="2"/>
  <c r="B2387" i="2"/>
  <c r="O2386" i="2"/>
  <c r="N2386" i="2"/>
  <c r="M2386" i="2"/>
  <c r="L2386" i="2"/>
  <c r="K2386" i="2"/>
  <c r="J2386" i="2"/>
  <c r="I2386" i="2"/>
  <c r="H2386" i="2"/>
  <c r="G2386" i="2"/>
  <c r="F2386" i="2"/>
  <c r="E2386" i="2"/>
  <c r="D2386" i="2"/>
  <c r="C2386" i="2"/>
  <c r="B2386" i="2"/>
  <c r="O2385" i="2"/>
  <c r="N2385" i="2"/>
  <c r="M2385" i="2"/>
  <c r="L2385" i="2"/>
  <c r="K2385" i="2"/>
  <c r="J2385" i="2"/>
  <c r="I2385" i="2"/>
  <c r="H2385" i="2"/>
  <c r="G2385" i="2"/>
  <c r="F2385" i="2"/>
  <c r="E2385" i="2"/>
  <c r="D2385" i="2"/>
  <c r="C2385" i="2"/>
  <c r="B2385" i="2"/>
  <c r="O2384" i="2"/>
  <c r="N2384" i="2"/>
  <c r="M2384" i="2"/>
  <c r="L2384" i="2"/>
  <c r="K2384" i="2"/>
  <c r="J2384" i="2"/>
  <c r="I2384" i="2"/>
  <c r="H2384" i="2"/>
  <c r="G2384" i="2"/>
  <c r="F2384" i="2"/>
  <c r="E2384" i="2"/>
  <c r="D2384" i="2"/>
  <c r="C2384" i="2"/>
  <c r="B2384" i="2"/>
  <c r="O2383" i="2"/>
  <c r="N2383" i="2"/>
  <c r="M2383" i="2"/>
  <c r="L2383" i="2"/>
  <c r="K2383" i="2"/>
  <c r="J2383" i="2"/>
  <c r="I2383" i="2"/>
  <c r="H2383" i="2"/>
  <c r="G2383" i="2"/>
  <c r="F2383" i="2"/>
  <c r="E2383" i="2"/>
  <c r="D2383" i="2"/>
  <c r="C2383" i="2"/>
  <c r="B2383" i="2"/>
  <c r="O2382" i="2"/>
  <c r="N2382" i="2"/>
  <c r="M2382" i="2"/>
  <c r="L2382" i="2"/>
  <c r="K2382" i="2"/>
  <c r="J2382" i="2"/>
  <c r="I2382" i="2"/>
  <c r="H2382" i="2"/>
  <c r="G2382" i="2"/>
  <c r="F2382" i="2"/>
  <c r="E2382" i="2"/>
  <c r="D2382" i="2"/>
  <c r="C2382" i="2"/>
  <c r="B2382" i="2"/>
  <c r="O2381" i="2"/>
  <c r="N2381" i="2"/>
  <c r="M2381" i="2"/>
  <c r="L2381" i="2"/>
  <c r="K2381" i="2"/>
  <c r="J2381" i="2"/>
  <c r="I2381" i="2"/>
  <c r="H2381" i="2"/>
  <c r="G2381" i="2"/>
  <c r="F2381" i="2"/>
  <c r="E2381" i="2"/>
  <c r="D2381" i="2"/>
  <c r="C2381" i="2"/>
  <c r="B2381" i="2"/>
  <c r="O2380" i="2"/>
  <c r="N2380" i="2"/>
  <c r="M2380" i="2"/>
  <c r="L2380" i="2"/>
  <c r="K2380" i="2"/>
  <c r="J2380" i="2"/>
  <c r="I2380" i="2"/>
  <c r="H2380" i="2"/>
  <c r="G2380" i="2"/>
  <c r="F2380" i="2"/>
  <c r="E2380" i="2"/>
  <c r="D2380" i="2"/>
  <c r="C2380" i="2"/>
  <c r="B2380" i="2"/>
  <c r="O2379" i="2"/>
  <c r="N2379" i="2"/>
  <c r="M2379" i="2"/>
  <c r="L2379" i="2"/>
  <c r="K2379" i="2"/>
  <c r="J2379" i="2"/>
  <c r="I2379" i="2"/>
  <c r="H2379" i="2"/>
  <c r="G2379" i="2"/>
  <c r="F2379" i="2"/>
  <c r="E2379" i="2"/>
  <c r="D2379" i="2"/>
  <c r="C2379" i="2"/>
  <c r="B2379" i="2"/>
  <c r="O2378" i="2"/>
  <c r="N2378" i="2"/>
  <c r="M2378" i="2"/>
  <c r="L2378" i="2"/>
  <c r="K2378" i="2"/>
  <c r="J2378" i="2"/>
  <c r="I2378" i="2"/>
  <c r="H2378" i="2"/>
  <c r="G2378" i="2"/>
  <c r="F2378" i="2"/>
  <c r="E2378" i="2"/>
  <c r="D2378" i="2"/>
  <c r="C2378" i="2"/>
  <c r="B2378" i="2"/>
  <c r="O2377" i="2"/>
  <c r="N2377" i="2"/>
  <c r="M2377" i="2"/>
  <c r="L2377" i="2"/>
  <c r="K2377" i="2"/>
  <c r="J2377" i="2"/>
  <c r="I2377" i="2"/>
  <c r="H2377" i="2"/>
  <c r="G2377" i="2"/>
  <c r="F2377" i="2"/>
  <c r="E2377" i="2"/>
  <c r="D2377" i="2"/>
  <c r="C2377" i="2"/>
  <c r="B2377" i="2"/>
  <c r="O2376" i="2"/>
  <c r="N2376" i="2"/>
  <c r="M2376" i="2"/>
  <c r="L2376" i="2"/>
  <c r="K2376" i="2"/>
  <c r="J2376" i="2"/>
  <c r="I2376" i="2"/>
  <c r="H2376" i="2"/>
  <c r="G2376" i="2"/>
  <c r="F2376" i="2"/>
  <c r="E2376" i="2"/>
  <c r="D2376" i="2"/>
  <c r="C2376" i="2"/>
  <c r="B2376" i="2"/>
  <c r="O2375" i="2"/>
  <c r="N2375" i="2"/>
  <c r="M2375" i="2"/>
  <c r="L2375" i="2"/>
  <c r="K2375" i="2"/>
  <c r="J2375" i="2"/>
  <c r="I2375" i="2"/>
  <c r="H2375" i="2"/>
  <c r="G2375" i="2"/>
  <c r="F2375" i="2"/>
  <c r="E2375" i="2"/>
  <c r="D2375" i="2"/>
  <c r="C2375" i="2"/>
  <c r="B2375" i="2"/>
  <c r="O2374" i="2"/>
  <c r="N2374" i="2"/>
  <c r="M2374" i="2"/>
  <c r="L2374" i="2"/>
  <c r="K2374" i="2"/>
  <c r="J2374" i="2"/>
  <c r="I2374" i="2"/>
  <c r="H2374" i="2"/>
  <c r="G2374" i="2"/>
  <c r="F2374" i="2"/>
  <c r="E2374" i="2"/>
  <c r="D2374" i="2"/>
  <c r="C2374" i="2"/>
  <c r="B2374" i="2"/>
  <c r="O2373" i="2"/>
  <c r="N2373" i="2"/>
  <c r="M2373" i="2"/>
  <c r="L2373" i="2"/>
  <c r="K2373" i="2"/>
  <c r="J2373" i="2"/>
  <c r="I2373" i="2"/>
  <c r="H2373" i="2"/>
  <c r="G2373" i="2"/>
  <c r="F2373" i="2"/>
  <c r="E2373" i="2"/>
  <c r="D2373" i="2"/>
  <c r="C2373" i="2"/>
  <c r="B2373" i="2"/>
  <c r="O2372" i="2"/>
  <c r="N2372" i="2"/>
  <c r="M2372" i="2"/>
  <c r="L2372" i="2"/>
  <c r="K2372" i="2"/>
  <c r="J2372" i="2"/>
  <c r="I2372" i="2"/>
  <c r="H2372" i="2"/>
  <c r="G2372" i="2"/>
  <c r="F2372" i="2"/>
  <c r="E2372" i="2"/>
  <c r="D2372" i="2"/>
  <c r="C2372" i="2"/>
  <c r="B2372" i="2"/>
  <c r="O2371" i="2"/>
  <c r="N2371" i="2"/>
  <c r="M2371" i="2"/>
  <c r="L2371" i="2"/>
  <c r="K2371" i="2"/>
  <c r="J2371" i="2"/>
  <c r="I2371" i="2"/>
  <c r="H2371" i="2"/>
  <c r="G2371" i="2"/>
  <c r="F2371" i="2"/>
  <c r="E2371" i="2"/>
  <c r="D2371" i="2"/>
  <c r="C2371" i="2"/>
  <c r="B2371" i="2"/>
  <c r="O2370" i="2"/>
  <c r="N2370" i="2"/>
  <c r="M2370" i="2"/>
  <c r="L2370" i="2"/>
  <c r="K2370" i="2"/>
  <c r="J2370" i="2"/>
  <c r="I2370" i="2"/>
  <c r="H2370" i="2"/>
  <c r="G2370" i="2"/>
  <c r="F2370" i="2"/>
  <c r="E2370" i="2"/>
  <c r="D2370" i="2"/>
  <c r="C2370" i="2"/>
  <c r="B2370" i="2"/>
  <c r="O2369" i="2"/>
  <c r="N2369" i="2"/>
  <c r="M2369" i="2"/>
  <c r="L2369" i="2"/>
  <c r="K2369" i="2"/>
  <c r="J2369" i="2"/>
  <c r="I2369" i="2"/>
  <c r="H2369" i="2"/>
  <c r="G2369" i="2"/>
  <c r="F2369" i="2"/>
  <c r="E2369" i="2"/>
  <c r="D2369" i="2"/>
  <c r="C2369" i="2"/>
  <c r="B2369" i="2"/>
  <c r="O2368" i="2"/>
  <c r="N2368" i="2"/>
  <c r="M2368" i="2"/>
  <c r="L2368" i="2"/>
  <c r="K2368" i="2"/>
  <c r="J2368" i="2"/>
  <c r="I2368" i="2"/>
  <c r="H2368" i="2"/>
  <c r="G2368" i="2"/>
  <c r="F2368" i="2"/>
  <c r="E2368" i="2"/>
  <c r="D2368" i="2"/>
  <c r="C2368" i="2"/>
  <c r="B2368" i="2"/>
  <c r="O2367" i="2"/>
  <c r="N2367" i="2"/>
  <c r="M2367" i="2"/>
  <c r="L2367" i="2"/>
  <c r="K2367" i="2"/>
  <c r="J2367" i="2"/>
  <c r="I2367" i="2"/>
  <c r="H2367" i="2"/>
  <c r="G2367" i="2"/>
  <c r="F2367" i="2"/>
  <c r="E2367" i="2"/>
  <c r="D2367" i="2"/>
  <c r="C2367" i="2"/>
  <c r="B2367" i="2"/>
  <c r="O2366" i="2"/>
  <c r="N2366" i="2"/>
  <c r="M2366" i="2"/>
  <c r="L2366" i="2"/>
  <c r="K2366" i="2"/>
  <c r="J2366" i="2"/>
  <c r="I2366" i="2"/>
  <c r="H2366" i="2"/>
  <c r="G2366" i="2"/>
  <c r="F2366" i="2"/>
  <c r="E2366" i="2"/>
  <c r="D2366" i="2"/>
  <c r="C2366" i="2"/>
  <c r="B2366" i="2"/>
  <c r="O2365" i="2"/>
  <c r="N2365" i="2"/>
  <c r="M2365" i="2"/>
  <c r="L2365" i="2"/>
  <c r="K2365" i="2"/>
  <c r="J2365" i="2"/>
  <c r="I2365" i="2"/>
  <c r="H2365" i="2"/>
  <c r="G2365" i="2"/>
  <c r="F2365" i="2"/>
  <c r="E2365" i="2"/>
  <c r="D2365" i="2"/>
  <c r="C2365" i="2"/>
  <c r="B2365" i="2"/>
  <c r="O2364" i="2"/>
  <c r="N2364" i="2"/>
  <c r="M2364" i="2"/>
  <c r="L2364" i="2"/>
  <c r="K2364" i="2"/>
  <c r="J2364" i="2"/>
  <c r="I2364" i="2"/>
  <c r="H2364" i="2"/>
  <c r="G2364" i="2"/>
  <c r="F2364" i="2"/>
  <c r="E2364" i="2"/>
  <c r="D2364" i="2"/>
  <c r="C2364" i="2"/>
  <c r="B2364" i="2"/>
  <c r="O2363" i="2"/>
  <c r="N2363" i="2"/>
  <c r="M2363" i="2"/>
  <c r="L2363" i="2"/>
  <c r="K2363" i="2"/>
  <c r="J2363" i="2"/>
  <c r="I2363" i="2"/>
  <c r="H2363" i="2"/>
  <c r="G2363" i="2"/>
  <c r="F2363" i="2"/>
  <c r="E2363" i="2"/>
  <c r="D2363" i="2"/>
  <c r="C2363" i="2"/>
  <c r="B2363" i="2"/>
  <c r="O2362" i="2"/>
  <c r="N2362" i="2"/>
  <c r="M2362" i="2"/>
  <c r="L2362" i="2"/>
  <c r="K2362" i="2"/>
  <c r="J2362" i="2"/>
  <c r="I2362" i="2"/>
  <c r="H2362" i="2"/>
  <c r="G2362" i="2"/>
  <c r="F2362" i="2"/>
  <c r="E2362" i="2"/>
  <c r="D2362" i="2"/>
  <c r="C2362" i="2"/>
  <c r="B2362" i="2"/>
  <c r="O2361" i="2"/>
  <c r="N2361" i="2"/>
  <c r="M2361" i="2"/>
  <c r="L2361" i="2"/>
  <c r="K2361" i="2"/>
  <c r="J2361" i="2"/>
  <c r="I2361" i="2"/>
  <c r="H2361" i="2"/>
  <c r="G2361" i="2"/>
  <c r="F2361" i="2"/>
  <c r="E2361" i="2"/>
  <c r="D2361" i="2"/>
  <c r="C2361" i="2"/>
  <c r="B2361" i="2"/>
  <c r="O2360" i="2"/>
  <c r="N2360" i="2"/>
  <c r="M2360" i="2"/>
  <c r="L2360" i="2"/>
  <c r="K2360" i="2"/>
  <c r="J2360" i="2"/>
  <c r="I2360" i="2"/>
  <c r="H2360" i="2"/>
  <c r="G2360" i="2"/>
  <c r="F2360" i="2"/>
  <c r="E2360" i="2"/>
  <c r="D2360" i="2"/>
  <c r="C2360" i="2"/>
  <c r="B2360" i="2"/>
  <c r="O2359" i="2"/>
  <c r="N2359" i="2"/>
  <c r="M2359" i="2"/>
  <c r="L2359" i="2"/>
  <c r="K2359" i="2"/>
  <c r="J2359" i="2"/>
  <c r="I2359" i="2"/>
  <c r="H2359" i="2"/>
  <c r="G2359" i="2"/>
  <c r="F2359" i="2"/>
  <c r="E2359" i="2"/>
  <c r="D2359" i="2"/>
  <c r="C2359" i="2"/>
  <c r="B2359" i="2"/>
  <c r="O2358" i="2"/>
  <c r="N2358" i="2"/>
  <c r="M2358" i="2"/>
  <c r="L2358" i="2"/>
  <c r="K2358" i="2"/>
  <c r="J2358" i="2"/>
  <c r="I2358" i="2"/>
  <c r="H2358" i="2"/>
  <c r="G2358" i="2"/>
  <c r="F2358" i="2"/>
  <c r="E2358" i="2"/>
  <c r="D2358" i="2"/>
  <c r="C2358" i="2"/>
  <c r="B2358" i="2"/>
  <c r="O2357" i="2"/>
  <c r="N2357" i="2"/>
  <c r="M2357" i="2"/>
  <c r="L2357" i="2"/>
  <c r="K2357" i="2"/>
  <c r="J2357" i="2"/>
  <c r="I2357" i="2"/>
  <c r="H2357" i="2"/>
  <c r="G2357" i="2"/>
  <c r="F2357" i="2"/>
  <c r="E2357" i="2"/>
  <c r="D2357" i="2"/>
  <c r="C2357" i="2"/>
  <c r="B2357" i="2"/>
  <c r="O2356" i="2"/>
  <c r="N2356" i="2"/>
  <c r="M2356" i="2"/>
  <c r="L2356" i="2"/>
  <c r="K2356" i="2"/>
  <c r="J2356" i="2"/>
  <c r="I2356" i="2"/>
  <c r="H2356" i="2"/>
  <c r="G2356" i="2"/>
  <c r="F2356" i="2"/>
  <c r="E2356" i="2"/>
  <c r="D2356" i="2"/>
  <c r="C2356" i="2"/>
  <c r="B2356" i="2"/>
  <c r="O2355" i="2"/>
  <c r="N2355" i="2"/>
  <c r="M2355" i="2"/>
  <c r="L2355" i="2"/>
  <c r="K2355" i="2"/>
  <c r="J2355" i="2"/>
  <c r="I2355" i="2"/>
  <c r="H2355" i="2"/>
  <c r="G2355" i="2"/>
  <c r="F2355" i="2"/>
  <c r="E2355" i="2"/>
  <c r="D2355" i="2"/>
  <c r="C2355" i="2"/>
  <c r="B2355" i="2"/>
  <c r="O2354" i="2"/>
  <c r="N2354" i="2"/>
  <c r="M2354" i="2"/>
  <c r="L2354" i="2"/>
  <c r="K2354" i="2"/>
  <c r="J2354" i="2"/>
  <c r="I2354" i="2"/>
  <c r="H2354" i="2"/>
  <c r="G2354" i="2"/>
  <c r="F2354" i="2"/>
  <c r="E2354" i="2"/>
  <c r="D2354" i="2"/>
  <c r="C2354" i="2"/>
  <c r="B2354" i="2"/>
  <c r="O2353" i="2"/>
  <c r="N2353" i="2"/>
  <c r="M2353" i="2"/>
  <c r="L2353" i="2"/>
  <c r="K2353" i="2"/>
  <c r="J2353" i="2"/>
  <c r="I2353" i="2"/>
  <c r="H2353" i="2"/>
  <c r="G2353" i="2"/>
  <c r="F2353" i="2"/>
  <c r="E2353" i="2"/>
  <c r="D2353" i="2"/>
  <c r="C2353" i="2"/>
  <c r="B2353" i="2"/>
  <c r="O2352" i="2"/>
  <c r="N2352" i="2"/>
  <c r="M2352" i="2"/>
  <c r="L2352" i="2"/>
  <c r="K2352" i="2"/>
  <c r="J2352" i="2"/>
  <c r="I2352" i="2"/>
  <c r="H2352" i="2"/>
  <c r="G2352" i="2"/>
  <c r="F2352" i="2"/>
  <c r="E2352" i="2"/>
  <c r="D2352" i="2"/>
  <c r="C2352" i="2"/>
  <c r="B2352" i="2"/>
  <c r="O2351" i="2"/>
  <c r="N2351" i="2"/>
  <c r="M2351" i="2"/>
  <c r="L2351" i="2"/>
  <c r="K2351" i="2"/>
  <c r="J2351" i="2"/>
  <c r="I2351" i="2"/>
  <c r="H2351" i="2"/>
  <c r="G2351" i="2"/>
  <c r="F2351" i="2"/>
  <c r="E2351" i="2"/>
  <c r="D2351" i="2"/>
  <c r="C2351" i="2"/>
  <c r="B2351" i="2"/>
  <c r="O2350" i="2"/>
  <c r="N2350" i="2"/>
  <c r="M2350" i="2"/>
  <c r="L2350" i="2"/>
  <c r="K2350" i="2"/>
  <c r="J2350" i="2"/>
  <c r="I2350" i="2"/>
  <c r="H2350" i="2"/>
  <c r="G2350" i="2"/>
  <c r="F2350" i="2"/>
  <c r="E2350" i="2"/>
  <c r="D2350" i="2"/>
  <c r="C2350" i="2"/>
  <c r="B2350" i="2"/>
  <c r="O2349" i="2"/>
  <c r="N2349" i="2"/>
  <c r="M2349" i="2"/>
  <c r="L2349" i="2"/>
  <c r="K2349" i="2"/>
  <c r="J2349" i="2"/>
  <c r="I2349" i="2"/>
  <c r="H2349" i="2"/>
  <c r="G2349" i="2"/>
  <c r="F2349" i="2"/>
  <c r="E2349" i="2"/>
  <c r="D2349" i="2"/>
  <c r="C2349" i="2"/>
  <c r="B2349" i="2"/>
  <c r="O2348" i="2"/>
  <c r="N2348" i="2"/>
  <c r="M2348" i="2"/>
  <c r="L2348" i="2"/>
  <c r="K2348" i="2"/>
  <c r="J2348" i="2"/>
  <c r="I2348" i="2"/>
  <c r="H2348" i="2"/>
  <c r="G2348" i="2"/>
  <c r="F2348" i="2"/>
  <c r="E2348" i="2"/>
  <c r="D2348" i="2"/>
  <c r="C2348" i="2"/>
  <c r="B2348" i="2"/>
  <c r="O2347" i="2"/>
  <c r="N2347" i="2"/>
  <c r="M2347" i="2"/>
  <c r="L2347" i="2"/>
  <c r="K2347" i="2"/>
  <c r="J2347" i="2"/>
  <c r="I2347" i="2"/>
  <c r="H2347" i="2"/>
  <c r="G2347" i="2"/>
  <c r="F2347" i="2"/>
  <c r="E2347" i="2"/>
  <c r="D2347" i="2"/>
  <c r="C2347" i="2"/>
  <c r="B2347" i="2"/>
  <c r="O2346" i="2"/>
  <c r="N2346" i="2"/>
  <c r="M2346" i="2"/>
  <c r="L2346" i="2"/>
  <c r="K2346" i="2"/>
  <c r="J2346" i="2"/>
  <c r="I2346" i="2"/>
  <c r="H2346" i="2"/>
  <c r="G2346" i="2"/>
  <c r="F2346" i="2"/>
  <c r="E2346" i="2"/>
  <c r="D2346" i="2"/>
  <c r="C2346" i="2"/>
  <c r="B2346" i="2"/>
  <c r="O2345" i="2"/>
  <c r="N2345" i="2"/>
  <c r="M2345" i="2"/>
  <c r="L2345" i="2"/>
  <c r="K2345" i="2"/>
  <c r="J2345" i="2"/>
  <c r="I2345" i="2"/>
  <c r="H2345" i="2"/>
  <c r="G2345" i="2"/>
  <c r="F2345" i="2"/>
  <c r="E2345" i="2"/>
  <c r="D2345" i="2"/>
  <c r="C2345" i="2"/>
  <c r="B2345" i="2"/>
  <c r="O2344" i="2"/>
  <c r="N2344" i="2"/>
  <c r="M2344" i="2"/>
  <c r="L2344" i="2"/>
  <c r="K2344" i="2"/>
  <c r="J2344" i="2"/>
  <c r="I2344" i="2"/>
  <c r="H2344" i="2"/>
  <c r="G2344" i="2"/>
  <c r="F2344" i="2"/>
  <c r="E2344" i="2"/>
  <c r="D2344" i="2"/>
  <c r="C2344" i="2"/>
  <c r="B2344" i="2"/>
  <c r="O2343" i="2"/>
  <c r="N2343" i="2"/>
  <c r="M2343" i="2"/>
  <c r="L2343" i="2"/>
  <c r="K2343" i="2"/>
  <c r="J2343" i="2"/>
  <c r="I2343" i="2"/>
  <c r="H2343" i="2"/>
  <c r="G2343" i="2"/>
  <c r="F2343" i="2"/>
  <c r="E2343" i="2"/>
  <c r="D2343" i="2"/>
  <c r="C2343" i="2"/>
  <c r="B2343" i="2"/>
  <c r="O2342" i="2"/>
  <c r="N2342" i="2"/>
  <c r="M2342" i="2"/>
  <c r="L2342" i="2"/>
  <c r="K2342" i="2"/>
  <c r="J2342" i="2"/>
  <c r="I2342" i="2"/>
  <c r="H2342" i="2"/>
  <c r="G2342" i="2"/>
  <c r="F2342" i="2"/>
  <c r="E2342" i="2"/>
  <c r="D2342" i="2"/>
  <c r="C2342" i="2"/>
  <c r="B2342" i="2"/>
  <c r="O2341" i="2"/>
  <c r="N2341" i="2"/>
  <c r="M2341" i="2"/>
  <c r="L2341" i="2"/>
  <c r="K2341" i="2"/>
  <c r="J2341" i="2"/>
  <c r="I2341" i="2"/>
  <c r="H2341" i="2"/>
  <c r="G2341" i="2"/>
  <c r="F2341" i="2"/>
  <c r="E2341" i="2"/>
  <c r="D2341" i="2"/>
  <c r="C2341" i="2"/>
  <c r="B2341" i="2"/>
  <c r="O2340" i="2"/>
  <c r="N2340" i="2"/>
  <c r="M2340" i="2"/>
  <c r="L2340" i="2"/>
  <c r="K2340" i="2"/>
  <c r="J2340" i="2"/>
  <c r="I2340" i="2"/>
  <c r="H2340" i="2"/>
  <c r="G2340" i="2"/>
  <c r="F2340" i="2"/>
  <c r="E2340" i="2"/>
  <c r="D2340" i="2"/>
  <c r="C2340" i="2"/>
  <c r="B2340" i="2"/>
  <c r="O2339" i="2"/>
  <c r="N2339" i="2"/>
  <c r="M2339" i="2"/>
  <c r="L2339" i="2"/>
  <c r="K2339" i="2"/>
  <c r="J2339" i="2"/>
  <c r="I2339" i="2"/>
  <c r="H2339" i="2"/>
  <c r="G2339" i="2"/>
  <c r="F2339" i="2"/>
  <c r="E2339" i="2"/>
  <c r="D2339" i="2"/>
  <c r="C2339" i="2"/>
  <c r="B2339" i="2"/>
  <c r="O2338" i="2"/>
  <c r="N2338" i="2"/>
  <c r="M2338" i="2"/>
  <c r="L2338" i="2"/>
  <c r="K2338" i="2"/>
  <c r="J2338" i="2"/>
  <c r="I2338" i="2"/>
  <c r="H2338" i="2"/>
  <c r="G2338" i="2"/>
  <c r="F2338" i="2"/>
  <c r="E2338" i="2"/>
  <c r="D2338" i="2"/>
  <c r="C2338" i="2"/>
  <c r="B2338" i="2"/>
  <c r="O2337" i="2"/>
  <c r="N2337" i="2"/>
  <c r="M2337" i="2"/>
  <c r="L2337" i="2"/>
  <c r="K2337" i="2"/>
  <c r="J2337" i="2"/>
  <c r="I2337" i="2"/>
  <c r="H2337" i="2"/>
  <c r="G2337" i="2"/>
  <c r="F2337" i="2"/>
  <c r="E2337" i="2"/>
  <c r="D2337" i="2"/>
  <c r="C2337" i="2"/>
  <c r="B2337" i="2"/>
  <c r="O2336" i="2"/>
  <c r="N2336" i="2"/>
  <c r="M2336" i="2"/>
  <c r="L2336" i="2"/>
  <c r="K2336" i="2"/>
  <c r="J2336" i="2"/>
  <c r="I2336" i="2"/>
  <c r="H2336" i="2"/>
  <c r="G2336" i="2"/>
  <c r="F2336" i="2"/>
  <c r="E2336" i="2"/>
  <c r="D2336" i="2"/>
  <c r="C2336" i="2"/>
  <c r="B2336" i="2"/>
  <c r="O2335" i="2"/>
  <c r="N2335" i="2"/>
  <c r="M2335" i="2"/>
  <c r="L2335" i="2"/>
  <c r="K2335" i="2"/>
  <c r="J2335" i="2"/>
  <c r="I2335" i="2"/>
  <c r="H2335" i="2"/>
  <c r="G2335" i="2"/>
  <c r="F2335" i="2"/>
  <c r="E2335" i="2"/>
  <c r="D2335" i="2"/>
  <c r="C2335" i="2"/>
  <c r="B2335" i="2"/>
  <c r="O2334" i="2"/>
  <c r="N2334" i="2"/>
  <c r="M2334" i="2"/>
  <c r="L2334" i="2"/>
  <c r="K2334" i="2"/>
  <c r="J2334" i="2"/>
  <c r="I2334" i="2"/>
  <c r="H2334" i="2"/>
  <c r="G2334" i="2"/>
  <c r="F2334" i="2"/>
  <c r="E2334" i="2"/>
  <c r="D2334" i="2"/>
  <c r="C2334" i="2"/>
  <c r="B2334" i="2"/>
  <c r="O2333" i="2"/>
  <c r="N2333" i="2"/>
  <c r="M2333" i="2"/>
  <c r="L2333" i="2"/>
  <c r="K2333" i="2"/>
  <c r="J2333" i="2"/>
  <c r="I2333" i="2"/>
  <c r="H2333" i="2"/>
  <c r="G2333" i="2"/>
  <c r="F2333" i="2"/>
  <c r="E2333" i="2"/>
  <c r="D2333" i="2"/>
  <c r="C2333" i="2"/>
  <c r="B2333" i="2"/>
  <c r="O2332" i="2"/>
  <c r="N2332" i="2"/>
  <c r="M2332" i="2"/>
  <c r="L2332" i="2"/>
  <c r="K2332" i="2"/>
  <c r="J2332" i="2"/>
  <c r="I2332" i="2"/>
  <c r="H2332" i="2"/>
  <c r="G2332" i="2"/>
  <c r="F2332" i="2"/>
  <c r="E2332" i="2"/>
  <c r="D2332" i="2"/>
  <c r="C2332" i="2"/>
  <c r="B2332" i="2"/>
  <c r="O2331" i="2"/>
  <c r="N2331" i="2"/>
  <c r="M2331" i="2"/>
  <c r="L2331" i="2"/>
  <c r="K2331" i="2"/>
  <c r="J2331" i="2"/>
  <c r="I2331" i="2"/>
  <c r="H2331" i="2"/>
  <c r="G2331" i="2"/>
  <c r="F2331" i="2"/>
  <c r="E2331" i="2"/>
  <c r="D2331" i="2"/>
  <c r="C2331" i="2"/>
  <c r="B2331" i="2"/>
  <c r="O2330" i="2"/>
  <c r="N2330" i="2"/>
  <c r="M2330" i="2"/>
  <c r="L2330" i="2"/>
  <c r="K2330" i="2"/>
  <c r="J2330" i="2"/>
  <c r="I2330" i="2"/>
  <c r="H2330" i="2"/>
  <c r="G2330" i="2"/>
  <c r="F2330" i="2"/>
  <c r="E2330" i="2"/>
  <c r="D2330" i="2"/>
  <c r="C2330" i="2"/>
  <c r="B2330" i="2"/>
  <c r="O2329" i="2"/>
  <c r="N2329" i="2"/>
  <c r="M2329" i="2"/>
  <c r="L2329" i="2"/>
  <c r="K2329" i="2"/>
  <c r="J2329" i="2"/>
  <c r="I2329" i="2"/>
  <c r="H2329" i="2"/>
  <c r="G2329" i="2"/>
  <c r="F2329" i="2"/>
  <c r="E2329" i="2"/>
  <c r="D2329" i="2"/>
  <c r="C2329" i="2"/>
  <c r="B2329" i="2"/>
  <c r="O2328" i="2"/>
  <c r="N2328" i="2"/>
  <c r="M2328" i="2"/>
  <c r="L2328" i="2"/>
  <c r="K2328" i="2"/>
  <c r="J2328" i="2"/>
  <c r="I2328" i="2"/>
  <c r="H2328" i="2"/>
  <c r="G2328" i="2"/>
  <c r="F2328" i="2"/>
  <c r="E2328" i="2"/>
  <c r="D2328" i="2"/>
  <c r="C2328" i="2"/>
  <c r="B2328" i="2"/>
  <c r="O2327" i="2"/>
  <c r="N2327" i="2"/>
  <c r="M2327" i="2"/>
  <c r="L2327" i="2"/>
  <c r="K2327" i="2"/>
  <c r="J2327" i="2"/>
  <c r="I2327" i="2"/>
  <c r="H2327" i="2"/>
  <c r="G2327" i="2"/>
  <c r="F2327" i="2"/>
  <c r="E2327" i="2"/>
  <c r="D2327" i="2"/>
  <c r="C2327" i="2"/>
  <c r="B2327" i="2"/>
  <c r="O2326" i="2"/>
  <c r="N2326" i="2"/>
  <c r="M2326" i="2"/>
  <c r="L2326" i="2"/>
  <c r="K2326" i="2"/>
  <c r="J2326" i="2"/>
  <c r="I2326" i="2"/>
  <c r="H2326" i="2"/>
  <c r="G2326" i="2"/>
  <c r="F2326" i="2"/>
  <c r="E2326" i="2"/>
  <c r="D2326" i="2"/>
  <c r="C2326" i="2"/>
  <c r="B2326" i="2"/>
  <c r="O2325" i="2"/>
  <c r="N2325" i="2"/>
  <c r="M2325" i="2"/>
  <c r="L2325" i="2"/>
  <c r="K2325" i="2"/>
  <c r="J2325" i="2"/>
  <c r="I2325" i="2"/>
  <c r="H2325" i="2"/>
  <c r="G2325" i="2"/>
  <c r="F2325" i="2"/>
  <c r="E2325" i="2"/>
  <c r="D2325" i="2"/>
  <c r="C2325" i="2"/>
  <c r="B2325" i="2"/>
  <c r="O2324" i="2"/>
  <c r="N2324" i="2"/>
  <c r="M2324" i="2"/>
  <c r="L2324" i="2"/>
  <c r="K2324" i="2"/>
  <c r="J2324" i="2"/>
  <c r="I2324" i="2"/>
  <c r="H2324" i="2"/>
  <c r="G2324" i="2"/>
  <c r="F2324" i="2"/>
  <c r="E2324" i="2"/>
  <c r="D2324" i="2"/>
  <c r="C2324" i="2"/>
  <c r="B2324" i="2"/>
  <c r="O2323" i="2"/>
  <c r="N2323" i="2"/>
  <c r="M2323" i="2"/>
  <c r="L2323" i="2"/>
  <c r="K2323" i="2"/>
  <c r="J2323" i="2"/>
  <c r="I2323" i="2"/>
  <c r="H2323" i="2"/>
  <c r="G2323" i="2"/>
  <c r="F2323" i="2"/>
  <c r="E2323" i="2"/>
  <c r="D2323" i="2"/>
  <c r="C2323" i="2"/>
  <c r="B2323" i="2"/>
  <c r="O2322" i="2"/>
  <c r="N2322" i="2"/>
  <c r="M2322" i="2"/>
  <c r="L2322" i="2"/>
  <c r="K2322" i="2"/>
  <c r="J2322" i="2"/>
  <c r="I2322" i="2"/>
  <c r="H2322" i="2"/>
  <c r="G2322" i="2"/>
  <c r="F2322" i="2"/>
  <c r="E2322" i="2"/>
  <c r="D2322" i="2"/>
  <c r="C2322" i="2"/>
  <c r="B2322" i="2"/>
  <c r="O2321" i="2"/>
  <c r="N2321" i="2"/>
  <c r="M2321" i="2"/>
  <c r="L2321" i="2"/>
  <c r="K2321" i="2"/>
  <c r="J2321" i="2"/>
  <c r="I2321" i="2"/>
  <c r="H2321" i="2"/>
  <c r="G2321" i="2"/>
  <c r="F2321" i="2"/>
  <c r="E2321" i="2"/>
  <c r="D2321" i="2"/>
  <c r="C2321" i="2"/>
  <c r="B2321" i="2"/>
  <c r="O2320" i="2"/>
  <c r="N2320" i="2"/>
  <c r="M2320" i="2"/>
  <c r="L2320" i="2"/>
  <c r="K2320" i="2"/>
  <c r="J2320" i="2"/>
  <c r="I2320" i="2"/>
  <c r="H2320" i="2"/>
  <c r="G2320" i="2"/>
  <c r="F2320" i="2"/>
  <c r="E2320" i="2"/>
  <c r="D2320" i="2"/>
  <c r="C2320" i="2"/>
  <c r="B2320" i="2"/>
  <c r="O2319" i="2"/>
  <c r="N2319" i="2"/>
  <c r="M2319" i="2"/>
  <c r="L2319" i="2"/>
  <c r="K2319" i="2"/>
  <c r="J2319" i="2"/>
  <c r="I2319" i="2"/>
  <c r="H2319" i="2"/>
  <c r="G2319" i="2"/>
  <c r="F2319" i="2"/>
  <c r="E2319" i="2"/>
  <c r="D2319" i="2"/>
  <c r="C2319" i="2"/>
  <c r="B2319" i="2"/>
  <c r="O2318" i="2"/>
  <c r="N2318" i="2"/>
  <c r="M2318" i="2"/>
  <c r="L2318" i="2"/>
  <c r="K2318" i="2"/>
  <c r="J2318" i="2"/>
  <c r="I2318" i="2"/>
  <c r="H2318" i="2"/>
  <c r="G2318" i="2"/>
  <c r="F2318" i="2"/>
  <c r="E2318" i="2"/>
  <c r="D2318" i="2"/>
  <c r="C2318" i="2"/>
  <c r="B2318" i="2"/>
  <c r="O2317" i="2"/>
  <c r="N2317" i="2"/>
  <c r="M2317" i="2"/>
  <c r="L2317" i="2"/>
  <c r="K2317" i="2"/>
  <c r="J2317" i="2"/>
  <c r="I2317" i="2"/>
  <c r="H2317" i="2"/>
  <c r="G2317" i="2"/>
  <c r="F2317" i="2"/>
  <c r="E2317" i="2"/>
  <c r="D2317" i="2"/>
  <c r="C2317" i="2"/>
  <c r="B2317" i="2"/>
  <c r="O2316" i="2"/>
  <c r="N2316" i="2"/>
  <c r="M2316" i="2"/>
  <c r="L2316" i="2"/>
  <c r="K2316" i="2"/>
  <c r="J2316" i="2"/>
  <c r="I2316" i="2"/>
  <c r="H2316" i="2"/>
  <c r="G2316" i="2"/>
  <c r="F2316" i="2"/>
  <c r="E2316" i="2"/>
  <c r="D2316" i="2"/>
  <c r="C2316" i="2"/>
  <c r="B2316" i="2"/>
  <c r="O2315" i="2"/>
  <c r="N2315" i="2"/>
  <c r="M2315" i="2"/>
  <c r="L2315" i="2"/>
  <c r="K2315" i="2"/>
  <c r="J2315" i="2"/>
  <c r="I2315" i="2"/>
  <c r="H2315" i="2"/>
  <c r="G2315" i="2"/>
  <c r="F2315" i="2"/>
  <c r="E2315" i="2"/>
  <c r="D2315" i="2"/>
  <c r="C2315" i="2"/>
  <c r="B2315" i="2"/>
  <c r="O2314" i="2"/>
  <c r="N2314" i="2"/>
  <c r="M2314" i="2"/>
  <c r="L2314" i="2"/>
  <c r="K2314" i="2"/>
  <c r="J2314" i="2"/>
  <c r="I2314" i="2"/>
  <c r="H2314" i="2"/>
  <c r="G2314" i="2"/>
  <c r="F2314" i="2"/>
  <c r="E2314" i="2"/>
  <c r="D2314" i="2"/>
  <c r="C2314" i="2"/>
  <c r="B2314" i="2"/>
  <c r="O2313" i="2"/>
  <c r="N2313" i="2"/>
  <c r="M2313" i="2"/>
  <c r="L2313" i="2"/>
  <c r="K2313" i="2"/>
  <c r="J2313" i="2"/>
  <c r="I2313" i="2"/>
  <c r="H2313" i="2"/>
  <c r="G2313" i="2"/>
  <c r="F2313" i="2"/>
  <c r="E2313" i="2"/>
  <c r="D2313" i="2"/>
  <c r="C2313" i="2"/>
  <c r="B2313" i="2"/>
  <c r="O2312" i="2"/>
  <c r="N2312" i="2"/>
  <c r="M2312" i="2"/>
  <c r="L2312" i="2"/>
  <c r="K2312" i="2"/>
  <c r="J2312" i="2"/>
  <c r="I2312" i="2"/>
  <c r="H2312" i="2"/>
  <c r="G2312" i="2"/>
  <c r="F2312" i="2"/>
  <c r="E2312" i="2"/>
  <c r="D2312" i="2"/>
  <c r="C2312" i="2"/>
  <c r="B2312" i="2"/>
  <c r="O2311" i="2"/>
  <c r="N2311" i="2"/>
  <c r="M2311" i="2"/>
  <c r="L2311" i="2"/>
  <c r="K2311" i="2"/>
  <c r="J2311" i="2"/>
  <c r="I2311" i="2"/>
  <c r="H2311" i="2"/>
  <c r="G2311" i="2"/>
  <c r="F2311" i="2"/>
  <c r="E2311" i="2"/>
  <c r="D2311" i="2"/>
  <c r="C2311" i="2"/>
  <c r="B2311" i="2"/>
  <c r="O2310" i="2"/>
  <c r="N2310" i="2"/>
  <c r="M2310" i="2"/>
  <c r="L2310" i="2"/>
  <c r="K2310" i="2"/>
  <c r="J2310" i="2"/>
  <c r="I2310" i="2"/>
  <c r="H2310" i="2"/>
  <c r="G2310" i="2"/>
  <c r="F2310" i="2"/>
  <c r="E2310" i="2"/>
  <c r="D2310" i="2"/>
  <c r="C2310" i="2"/>
  <c r="B2310" i="2"/>
  <c r="O2309" i="2"/>
  <c r="N2309" i="2"/>
  <c r="M2309" i="2"/>
  <c r="L2309" i="2"/>
  <c r="K2309" i="2"/>
  <c r="J2309" i="2"/>
  <c r="I2309" i="2"/>
  <c r="H2309" i="2"/>
  <c r="G2309" i="2"/>
  <c r="F2309" i="2"/>
  <c r="E2309" i="2"/>
  <c r="D2309" i="2"/>
  <c r="C2309" i="2"/>
  <c r="B2309" i="2"/>
  <c r="O2308" i="2"/>
  <c r="N2308" i="2"/>
  <c r="M2308" i="2"/>
  <c r="L2308" i="2"/>
  <c r="K2308" i="2"/>
  <c r="J2308" i="2"/>
  <c r="I2308" i="2"/>
  <c r="H2308" i="2"/>
  <c r="G2308" i="2"/>
  <c r="F2308" i="2"/>
  <c r="E2308" i="2"/>
  <c r="D2308" i="2"/>
  <c r="C2308" i="2"/>
  <c r="B2308" i="2"/>
  <c r="O2307" i="2"/>
  <c r="N2307" i="2"/>
  <c r="M2307" i="2"/>
  <c r="L2307" i="2"/>
  <c r="K2307" i="2"/>
  <c r="J2307" i="2"/>
  <c r="I2307" i="2"/>
  <c r="H2307" i="2"/>
  <c r="G2307" i="2"/>
  <c r="F2307" i="2"/>
  <c r="E2307" i="2"/>
  <c r="D2307" i="2"/>
  <c r="C2307" i="2"/>
  <c r="B2307" i="2"/>
  <c r="O2306" i="2"/>
  <c r="N2306" i="2"/>
  <c r="M2306" i="2"/>
  <c r="L2306" i="2"/>
  <c r="K2306" i="2"/>
  <c r="J2306" i="2"/>
  <c r="I2306" i="2"/>
  <c r="H2306" i="2"/>
  <c r="G2306" i="2"/>
  <c r="F2306" i="2"/>
  <c r="E2306" i="2"/>
  <c r="D2306" i="2"/>
  <c r="C2306" i="2"/>
  <c r="B2306" i="2"/>
  <c r="O2305" i="2"/>
  <c r="N2305" i="2"/>
  <c r="M2305" i="2"/>
  <c r="L2305" i="2"/>
  <c r="K2305" i="2"/>
  <c r="J2305" i="2"/>
  <c r="I2305" i="2"/>
  <c r="H2305" i="2"/>
  <c r="G2305" i="2"/>
  <c r="F2305" i="2"/>
  <c r="E2305" i="2"/>
  <c r="D2305" i="2"/>
  <c r="C2305" i="2"/>
  <c r="B2305" i="2"/>
  <c r="O2304" i="2"/>
  <c r="N2304" i="2"/>
  <c r="M2304" i="2"/>
  <c r="L2304" i="2"/>
  <c r="K2304" i="2"/>
  <c r="J2304" i="2"/>
  <c r="I2304" i="2"/>
  <c r="H2304" i="2"/>
  <c r="G2304" i="2"/>
  <c r="F2304" i="2"/>
  <c r="E2304" i="2"/>
  <c r="D2304" i="2"/>
  <c r="C2304" i="2"/>
  <c r="B2304" i="2"/>
  <c r="O2303" i="2"/>
  <c r="N2303" i="2"/>
  <c r="M2303" i="2"/>
  <c r="L2303" i="2"/>
  <c r="K2303" i="2"/>
  <c r="J2303" i="2"/>
  <c r="I2303" i="2"/>
  <c r="H2303" i="2"/>
  <c r="G2303" i="2"/>
  <c r="F2303" i="2"/>
  <c r="E2303" i="2"/>
  <c r="D2303" i="2"/>
  <c r="C2303" i="2"/>
  <c r="B2303" i="2"/>
  <c r="O2302" i="2"/>
  <c r="N2302" i="2"/>
  <c r="M2302" i="2"/>
  <c r="L2302" i="2"/>
  <c r="K2302" i="2"/>
  <c r="J2302" i="2"/>
  <c r="I2302" i="2"/>
  <c r="H2302" i="2"/>
  <c r="G2302" i="2"/>
  <c r="F2302" i="2"/>
  <c r="E2302" i="2"/>
  <c r="D2302" i="2"/>
  <c r="C2302" i="2"/>
  <c r="B2302" i="2"/>
  <c r="O2301" i="2"/>
  <c r="N2301" i="2"/>
  <c r="M2301" i="2"/>
  <c r="L2301" i="2"/>
  <c r="K2301" i="2"/>
  <c r="J2301" i="2"/>
  <c r="I2301" i="2"/>
  <c r="H2301" i="2"/>
  <c r="G2301" i="2"/>
  <c r="F2301" i="2"/>
  <c r="E2301" i="2"/>
  <c r="D2301" i="2"/>
  <c r="C2301" i="2"/>
  <c r="B2301" i="2"/>
  <c r="O2300" i="2"/>
  <c r="N2300" i="2"/>
  <c r="M2300" i="2"/>
  <c r="L2300" i="2"/>
  <c r="K2300" i="2"/>
  <c r="J2300" i="2"/>
  <c r="I2300" i="2"/>
  <c r="H2300" i="2"/>
  <c r="G2300" i="2"/>
  <c r="F2300" i="2"/>
  <c r="E2300" i="2"/>
  <c r="D2300" i="2"/>
  <c r="C2300" i="2"/>
  <c r="B2300" i="2"/>
  <c r="O2299" i="2"/>
  <c r="N2299" i="2"/>
  <c r="M2299" i="2"/>
  <c r="L2299" i="2"/>
  <c r="K2299" i="2"/>
  <c r="J2299" i="2"/>
  <c r="I2299" i="2"/>
  <c r="H2299" i="2"/>
  <c r="G2299" i="2"/>
  <c r="F2299" i="2"/>
  <c r="E2299" i="2"/>
  <c r="D2299" i="2"/>
  <c r="C2299" i="2"/>
  <c r="B2299" i="2"/>
  <c r="O2298" i="2"/>
  <c r="N2298" i="2"/>
  <c r="M2298" i="2"/>
  <c r="L2298" i="2"/>
  <c r="K2298" i="2"/>
  <c r="J2298" i="2"/>
  <c r="I2298" i="2"/>
  <c r="H2298" i="2"/>
  <c r="G2298" i="2"/>
  <c r="F2298" i="2"/>
  <c r="E2298" i="2"/>
  <c r="D2298" i="2"/>
  <c r="C2298" i="2"/>
  <c r="B2298" i="2"/>
  <c r="O2297" i="2"/>
  <c r="N2297" i="2"/>
  <c r="M2297" i="2"/>
  <c r="L2297" i="2"/>
  <c r="K2297" i="2"/>
  <c r="J2297" i="2"/>
  <c r="I2297" i="2"/>
  <c r="H2297" i="2"/>
  <c r="G2297" i="2"/>
  <c r="F2297" i="2"/>
  <c r="E2297" i="2"/>
  <c r="D2297" i="2"/>
  <c r="C2297" i="2"/>
  <c r="B2297" i="2"/>
  <c r="O2296" i="2"/>
  <c r="N2296" i="2"/>
  <c r="M2296" i="2"/>
  <c r="L2296" i="2"/>
  <c r="K2296" i="2"/>
  <c r="J2296" i="2"/>
  <c r="I2296" i="2"/>
  <c r="H2296" i="2"/>
  <c r="G2296" i="2"/>
  <c r="F2296" i="2"/>
  <c r="E2296" i="2"/>
  <c r="D2296" i="2"/>
  <c r="C2296" i="2"/>
  <c r="B2296" i="2"/>
  <c r="O2295" i="2"/>
  <c r="N2295" i="2"/>
  <c r="M2295" i="2"/>
  <c r="L2295" i="2"/>
  <c r="K2295" i="2"/>
  <c r="J2295" i="2"/>
  <c r="I2295" i="2"/>
  <c r="H2295" i="2"/>
  <c r="G2295" i="2"/>
  <c r="F2295" i="2"/>
  <c r="E2295" i="2"/>
  <c r="D2295" i="2"/>
  <c r="C2295" i="2"/>
  <c r="B2295" i="2"/>
  <c r="O2294" i="2"/>
  <c r="N2294" i="2"/>
  <c r="M2294" i="2"/>
  <c r="L2294" i="2"/>
  <c r="K2294" i="2"/>
  <c r="J2294" i="2"/>
  <c r="I2294" i="2"/>
  <c r="H2294" i="2"/>
  <c r="G2294" i="2"/>
  <c r="F2294" i="2"/>
  <c r="E2294" i="2"/>
  <c r="D2294" i="2"/>
  <c r="C2294" i="2"/>
  <c r="B2294" i="2"/>
  <c r="O2293" i="2"/>
  <c r="N2293" i="2"/>
  <c r="M2293" i="2"/>
  <c r="L2293" i="2"/>
  <c r="K2293" i="2"/>
  <c r="J2293" i="2"/>
  <c r="I2293" i="2"/>
  <c r="H2293" i="2"/>
  <c r="G2293" i="2"/>
  <c r="F2293" i="2"/>
  <c r="E2293" i="2"/>
  <c r="D2293" i="2"/>
  <c r="C2293" i="2"/>
  <c r="B2293" i="2"/>
  <c r="O2292" i="2"/>
  <c r="N2292" i="2"/>
  <c r="M2292" i="2"/>
  <c r="L2292" i="2"/>
  <c r="K2292" i="2"/>
  <c r="J2292" i="2"/>
  <c r="I2292" i="2"/>
  <c r="H2292" i="2"/>
  <c r="G2292" i="2"/>
  <c r="F2292" i="2"/>
  <c r="E2292" i="2"/>
  <c r="D2292" i="2"/>
  <c r="C2292" i="2"/>
  <c r="B2292" i="2"/>
  <c r="O2291" i="2"/>
  <c r="N2291" i="2"/>
  <c r="M2291" i="2"/>
  <c r="L2291" i="2"/>
  <c r="K2291" i="2"/>
  <c r="J2291" i="2"/>
  <c r="I2291" i="2"/>
  <c r="H2291" i="2"/>
  <c r="G2291" i="2"/>
  <c r="F2291" i="2"/>
  <c r="E2291" i="2"/>
  <c r="D2291" i="2"/>
  <c r="C2291" i="2"/>
  <c r="B2291" i="2"/>
  <c r="O2290" i="2"/>
  <c r="N2290" i="2"/>
  <c r="M2290" i="2"/>
  <c r="L2290" i="2"/>
  <c r="K2290" i="2"/>
  <c r="J2290" i="2"/>
  <c r="I2290" i="2"/>
  <c r="H2290" i="2"/>
  <c r="G2290" i="2"/>
  <c r="F2290" i="2"/>
  <c r="E2290" i="2"/>
  <c r="D2290" i="2"/>
  <c r="C2290" i="2"/>
  <c r="B2290" i="2"/>
  <c r="O2289" i="2"/>
  <c r="N2289" i="2"/>
  <c r="M2289" i="2"/>
  <c r="L2289" i="2"/>
  <c r="K2289" i="2"/>
  <c r="J2289" i="2"/>
  <c r="I2289" i="2"/>
  <c r="H2289" i="2"/>
  <c r="G2289" i="2"/>
  <c r="F2289" i="2"/>
  <c r="E2289" i="2"/>
  <c r="D2289" i="2"/>
  <c r="C2289" i="2"/>
  <c r="B2289" i="2"/>
  <c r="O2288" i="2"/>
  <c r="N2288" i="2"/>
  <c r="M2288" i="2"/>
  <c r="L2288" i="2"/>
  <c r="K2288" i="2"/>
  <c r="J2288" i="2"/>
  <c r="I2288" i="2"/>
  <c r="H2288" i="2"/>
  <c r="G2288" i="2"/>
  <c r="F2288" i="2"/>
  <c r="E2288" i="2"/>
  <c r="D2288" i="2"/>
  <c r="C2288" i="2"/>
  <c r="B2288" i="2"/>
  <c r="O2287" i="2"/>
  <c r="N2287" i="2"/>
  <c r="M2287" i="2"/>
  <c r="L2287" i="2"/>
  <c r="K2287" i="2"/>
  <c r="J2287" i="2"/>
  <c r="I2287" i="2"/>
  <c r="H2287" i="2"/>
  <c r="G2287" i="2"/>
  <c r="F2287" i="2"/>
  <c r="E2287" i="2"/>
  <c r="D2287" i="2"/>
  <c r="C2287" i="2"/>
  <c r="B2287" i="2"/>
  <c r="O2286" i="2"/>
  <c r="N2286" i="2"/>
  <c r="M2286" i="2"/>
  <c r="L2286" i="2"/>
  <c r="K2286" i="2"/>
  <c r="J2286" i="2"/>
  <c r="I2286" i="2"/>
  <c r="H2286" i="2"/>
  <c r="G2286" i="2"/>
  <c r="F2286" i="2"/>
  <c r="E2286" i="2"/>
  <c r="D2286" i="2"/>
  <c r="C2286" i="2"/>
  <c r="B2286" i="2"/>
  <c r="O2285" i="2"/>
  <c r="N2285" i="2"/>
  <c r="M2285" i="2"/>
  <c r="L2285" i="2"/>
  <c r="K2285" i="2"/>
  <c r="J2285" i="2"/>
  <c r="I2285" i="2"/>
  <c r="H2285" i="2"/>
  <c r="G2285" i="2"/>
  <c r="F2285" i="2"/>
  <c r="E2285" i="2"/>
  <c r="D2285" i="2"/>
  <c r="C2285" i="2"/>
  <c r="B2285" i="2"/>
  <c r="O2284" i="2"/>
  <c r="N2284" i="2"/>
  <c r="M2284" i="2"/>
  <c r="L2284" i="2"/>
  <c r="K2284" i="2"/>
  <c r="J2284" i="2"/>
  <c r="I2284" i="2"/>
  <c r="H2284" i="2"/>
  <c r="G2284" i="2"/>
  <c r="F2284" i="2"/>
  <c r="E2284" i="2"/>
  <c r="D2284" i="2"/>
  <c r="C2284" i="2"/>
  <c r="B2284" i="2"/>
  <c r="O2283" i="2"/>
  <c r="N2283" i="2"/>
  <c r="M2283" i="2"/>
  <c r="L2283" i="2"/>
  <c r="K2283" i="2"/>
  <c r="J2283" i="2"/>
  <c r="I2283" i="2"/>
  <c r="H2283" i="2"/>
  <c r="G2283" i="2"/>
  <c r="F2283" i="2"/>
  <c r="E2283" i="2"/>
  <c r="D2283" i="2"/>
  <c r="C2283" i="2"/>
  <c r="B2283" i="2"/>
  <c r="O2282" i="2"/>
  <c r="N2282" i="2"/>
  <c r="M2282" i="2"/>
  <c r="L2282" i="2"/>
  <c r="K2282" i="2"/>
  <c r="J2282" i="2"/>
  <c r="I2282" i="2"/>
  <c r="H2282" i="2"/>
  <c r="G2282" i="2"/>
  <c r="F2282" i="2"/>
  <c r="E2282" i="2"/>
  <c r="D2282" i="2"/>
  <c r="C2282" i="2"/>
  <c r="B2282" i="2"/>
  <c r="O2281" i="2"/>
  <c r="N2281" i="2"/>
  <c r="M2281" i="2"/>
  <c r="L2281" i="2"/>
  <c r="K2281" i="2"/>
  <c r="J2281" i="2"/>
  <c r="I2281" i="2"/>
  <c r="H2281" i="2"/>
  <c r="G2281" i="2"/>
  <c r="F2281" i="2"/>
  <c r="E2281" i="2"/>
  <c r="D2281" i="2"/>
  <c r="C2281" i="2"/>
  <c r="B2281" i="2"/>
  <c r="O2280" i="2"/>
  <c r="N2280" i="2"/>
  <c r="M2280" i="2"/>
  <c r="L2280" i="2"/>
  <c r="K2280" i="2"/>
  <c r="J2280" i="2"/>
  <c r="I2280" i="2"/>
  <c r="H2280" i="2"/>
  <c r="G2280" i="2"/>
  <c r="F2280" i="2"/>
  <c r="E2280" i="2"/>
  <c r="D2280" i="2"/>
  <c r="C2280" i="2"/>
  <c r="B2280" i="2"/>
  <c r="O2279" i="2"/>
  <c r="N2279" i="2"/>
  <c r="M2279" i="2"/>
  <c r="L2279" i="2"/>
  <c r="K2279" i="2"/>
  <c r="J2279" i="2"/>
  <c r="I2279" i="2"/>
  <c r="H2279" i="2"/>
  <c r="G2279" i="2"/>
  <c r="F2279" i="2"/>
  <c r="E2279" i="2"/>
  <c r="D2279" i="2"/>
  <c r="C2279" i="2"/>
  <c r="B2279" i="2"/>
  <c r="O2278" i="2"/>
  <c r="N2278" i="2"/>
  <c r="M2278" i="2"/>
  <c r="L2278" i="2"/>
  <c r="K2278" i="2"/>
  <c r="J2278" i="2"/>
  <c r="I2278" i="2"/>
  <c r="H2278" i="2"/>
  <c r="G2278" i="2"/>
  <c r="F2278" i="2"/>
  <c r="E2278" i="2"/>
  <c r="D2278" i="2"/>
  <c r="C2278" i="2"/>
  <c r="B2278" i="2"/>
  <c r="O2277" i="2"/>
  <c r="N2277" i="2"/>
  <c r="M2277" i="2"/>
  <c r="L2277" i="2"/>
  <c r="K2277" i="2"/>
  <c r="J2277" i="2"/>
  <c r="I2277" i="2"/>
  <c r="H2277" i="2"/>
  <c r="G2277" i="2"/>
  <c r="F2277" i="2"/>
  <c r="E2277" i="2"/>
  <c r="D2277" i="2"/>
  <c r="C2277" i="2"/>
  <c r="B2277" i="2"/>
  <c r="O2276" i="2"/>
  <c r="N2276" i="2"/>
  <c r="M2276" i="2"/>
  <c r="L2276" i="2"/>
  <c r="K2276" i="2"/>
  <c r="J2276" i="2"/>
  <c r="I2276" i="2"/>
  <c r="H2276" i="2"/>
  <c r="G2276" i="2"/>
  <c r="F2276" i="2"/>
  <c r="E2276" i="2"/>
  <c r="D2276" i="2"/>
  <c r="C2276" i="2"/>
  <c r="B2276" i="2"/>
  <c r="O2275" i="2"/>
  <c r="N2275" i="2"/>
  <c r="M2275" i="2"/>
  <c r="L2275" i="2"/>
  <c r="K2275" i="2"/>
  <c r="J2275" i="2"/>
  <c r="I2275" i="2"/>
  <c r="H2275" i="2"/>
  <c r="G2275" i="2"/>
  <c r="F2275" i="2"/>
  <c r="E2275" i="2"/>
  <c r="D2275" i="2"/>
  <c r="C2275" i="2"/>
  <c r="B2275" i="2"/>
  <c r="O2274" i="2"/>
  <c r="N2274" i="2"/>
  <c r="M2274" i="2"/>
  <c r="L2274" i="2"/>
  <c r="K2274" i="2"/>
  <c r="J2274" i="2"/>
  <c r="I2274" i="2"/>
  <c r="H2274" i="2"/>
  <c r="G2274" i="2"/>
  <c r="F2274" i="2"/>
  <c r="E2274" i="2"/>
  <c r="D2274" i="2"/>
  <c r="C2274" i="2"/>
  <c r="B2274" i="2"/>
  <c r="O2273" i="2"/>
  <c r="N2273" i="2"/>
  <c r="M2273" i="2"/>
  <c r="L2273" i="2"/>
  <c r="K2273" i="2"/>
  <c r="J2273" i="2"/>
  <c r="I2273" i="2"/>
  <c r="H2273" i="2"/>
  <c r="G2273" i="2"/>
  <c r="F2273" i="2"/>
  <c r="E2273" i="2"/>
  <c r="D2273" i="2"/>
  <c r="C2273" i="2"/>
  <c r="B2273" i="2"/>
  <c r="O2272" i="2"/>
  <c r="N2272" i="2"/>
  <c r="M2272" i="2"/>
  <c r="L2272" i="2"/>
  <c r="K2272" i="2"/>
  <c r="J2272" i="2"/>
  <c r="I2272" i="2"/>
  <c r="H2272" i="2"/>
  <c r="G2272" i="2"/>
  <c r="F2272" i="2"/>
  <c r="E2272" i="2"/>
  <c r="D2272" i="2"/>
  <c r="C2272" i="2"/>
  <c r="B2272" i="2"/>
  <c r="O2271" i="2"/>
  <c r="N2271" i="2"/>
  <c r="M2271" i="2"/>
  <c r="L2271" i="2"/>
  <c r="K2271" i="2"/>
  <c r="J2271" i="2"/>
  <c r="I2271" i="2"/>
  <c r="H2271" i="2"/>
  <c r="G2271" i="2"/>
  <c r="F2271" i="2"/>
  <c r="E2271" i="2"/>
  <c r="D2271" i="2"/>
  <c r="C2271" i="2"/>
  <c r="B2271" i="2"/>
  <c r="O2270" i="2"/>
  <c r="N2270" i="2"/>
  <c r="M2270" i="2"/>
  <c r="L2270" i="2"/>
  <c r="K2270" i="2"/>
  <c r="J2270" i="2"/>
  <c r="I2270" i="2"/>
  <c r="H2270" i="2"/>
  <c r="G2270" i="2"/>
  <c r="F2270" i="2"/>
  <c r="E2270" i="2"/>
  <c r="D2270" i="2"/>
  <c r="C2270" i="2"/>
  <c r="B2270" i="2"/>
  <c r="O2269" i="2"/>
  <c r="N2269" i="2"/>
  <c r="M2269" i="2"/>
  <c r="L2269" i="2"/>
  <c r="K2269" i="2"/>
  <c r="J2269" i="2"/>
  <c r="I2269" i="2"/>
  <c r="H2269" i="2"/>
  <c r="G2269" i="2"/>
  <c r="F2269" i="2"/>
  <c r="E2269" i="2"/>
  <c r="D2269" i="2"/>
  <c r="C2269" i="2"/>
  <c r="B2269" i="2"/>
  <c r="O2268" i="2"/>
  <c r="N2268" i="2"/>
  <c r="M2268" i="2"/>
  <c r="L2268" i="2"/>
  <c r="K2268" i="2"/>
  <c r="J2268" i="2"/>
  <c r="I2268" i="2"/>
  <c r="H2268" i="2"/>
  <c r="G2268" i="2"/>
  <c r="F2268" i="2"/>
  <c r="E2268" i="2"/>
  <c r="D2268" i="2"/>
  <c r="C2268" i="2"/>
  <c r="B2268" i="2"/>
  <c r="O2267" i="2"/>
  <c r="N2267" i="2"/>
  <c r="M2267" i="2"/>
  <c r="L2267" i="2"/>
  <c r="K2267" i="2"/>
  <c r="J2267" i="2"/>
  <c r="I2267" i="2"/>
  <c r="H2267" i="2"/>
  <c r="G2267" i="2"/>
  <c r="F2267" i="2"/>
  <c r="E2267" i="2"/>
  <c r="D2267" i="2"/>
  <c r="C2267" i="2"/>
  <c r="B2267" i="2"/>
  <c r="O2266" i="2"/>
  <c r="N2266" i="2"/>
  <c r="M2266" i="2"/>
  <c r="L2266" i="2"/>
  <c r="K2266" i="2"/>
  <c r="J2266" i="2"/>
  <c r="I2266" i="2"/>
  <c r="H2266" i="2"/>
  <c r="G2266" i="2"/>
  <c r="F2266" i="2"/>
  <c r="E2266" i="2"/>
  <c r="D2266" i="2"/>
  <c r="C2266" i="2"/>
  <c r="B2266" i="2"/>
  <c r="O2265" i="2"/>
  <c r="N2265" i="2"/>
  <c r="M2265" i="2"/>
  <c r="L2265" i="2"/>
  <c r="K2265" i="2"/>
  <c r="J2265" i="2"/>
  <c r="I2265" i="2"/>
  <c r="H2265" i="2"/>
  <c r="G2265" i="2"/>
  <c r="F2265" i="2"/>
  <c r="E2265" i="2"/>
  <c r="D2265" i="2"/>
  <c r="C2265" i="2"/>
  <c r="B2265" i="2"/>
  <c r="O2264" i="2"/>
  <c r="N2264" i="2"/>
  <c r="M2264" i="2"/>
  <c r="L2264" i="2"/>
  <c r="K2264" i="2"/>
  <c r="J2264" i="2"/>
  <c r="I2264" i="2"/>
  <c r="H2264" i="2"/>
  <c r="G2264" i="2"/>
  <c r="F2264" i="2"/>
  <c r="E2264" i="2"/>
  <c r="D2264" i="2"/>
  <c r="C2264" i="2"/>
  <c r="B2264" i="2"/>
  <c r="O2263" i="2"/>
  <c r="N2263" i="2"/>
  <c r="M2263" i="2"/>
  <c r="L2263" i="2"/>
  <c r="K2263" i="2"/>
  <c r="J2263" i="2"/>
  <c r="I2263" i="2"/>
  <c r="H2263" i="2"/>
  <c r="G2263" i="2"/>
  <c r="F2263" i="2"/>
  <c r="E2263" i="2"/>
  <c r="D2263" i="2"/>
  <c r="C2263" i="2"/>
  <c r="B2263" i="2"/>
  <c r="O2262" i="2"/>
  <c r="N2262" i="2"/>
  <c r="M2262" i="2"/>
  <c r="L2262" i="2"/>
  <c r="K2262" i="2"/>
  <c r="J2262" i="2"/>
  <c r="I2262" i="2"/>
  <c r="H2262" i="2"/>
  <c r="G2262" i="2"/>
  <c r="F2262" i="2"/>
  <c r="E2262" i="2"/>
  <c r="D2262" i="2"/>
  <c r="C2262" i="2"/>
  <c r="B2262" i="2"/>
  <c r="O2261" i="2"/>
  <c r="N2261" i="2"/>
  <c r="M2261" i="2"/>
  <c r="L2261" i="2"/>
  <c r="K2261" i="2"/>
  <c r="J2261" i="2"/>
  <c r="I2261" i="2"/>
  <c r="H2261" i="2"/>
  <c r="G2261" i="2"/>
  <c r="F2261" i="2"/>
  <c r="E2261" i="2"/>
  <c r="D2261" i="2"/>
  <c r="C2261" i="2"/>
  <c r="B2261" i="2"/>
  <c r="O2260" i="2"/>
  <c r="N2260" i="2"/>
  <c r="M2260" i="2"/>
  <c r="L2260" i="2"/>
  <c r="K2260" i="2"/>
  <c r="J2260" i="2"/>
  <c r="I2260" i="2"/>
  <c r="H2260" i="2"/>
  <c r="G2260" i="2"/>
  <c r="F2260" i="2"/>
  <c r="E2260" i="2"/>
  <c r="D2260" i="2"/>
  <c r="C2260" i="2"/>
  <c r="B2260" i="2"/>
  <c r="O2259" i="2"/>
  <c r="N2259" i="2"/>
  <c r="M2259" i="2"/>
  <c r="L2259" i="2"/>
  <c r="K2259" i="2"/>
  <c r="J2259" i="2"/>
  <c r="I2259" i="2"/>
  <c r="H2259" i="2"/>
  <c r="G2259" i="2"/>
  <c r="F2259" i="2"/>
  <c r="E2259" i="2"/>
  <c r="D2259" i="2"/>
  <c r="C2259" i="2"/>
  <c r="B2259" i="2"/>
  <c r="O2258" i="2"/>
  <c r="N2258" i="2"/>
  <c r="M2258" i="2"/>
  <c r="L2258" i="2"/>
  <c r="K2258" i="2"/>
  <c r="J2258" i="2"/>
  <c r="I2258" i="2"/>
  <c r="H2258" i="2"/>
  <c r="G2258" i="2"/>
  <c r="F2258" i="2"/>
  <c r="E2258" i="2"/>
  <c r="D2258" i="2"/>
  <c r="C2258" i="2"/>
  <c r="B2258" i="2"/>
  <c r="O2257" i="2"/>
  <c r="N2257" i="2"/>
  <c r="M2257" i="2"/>
  <c r="L2257" i="2"/>
  <c r="K2257" i="2"/>
  <c r="J2257" i="2"/>
  <c r="I2257" i="2"/>
  <c r="H2257" i="2"/>
  <c r="G2257" i="2"/>
  <c r="F2257" i="2"/>
  <c r="E2257" i="2"/>
  <c r="D2257" i="2"/>
  <c r="C2257" i="2"/>
  <c r="B2257" i="2"/>
  <c r="O2256" i="2"/>
  <c r="N2256" i="2"/>
  <c r="M2256" i="2"/>
  <c r="L2256" i="2"/>
  <c r="K2256" i="2"/>
  <c r="J2256" i="2"/>
  <c r="I2256" i="2"/>
  <c r="H2256" i="2"/>
  <c r="G2256" i="2"/>
  <c r="F2256" i="2"/>
  <c r="E2256" i="2"/>
  <c r="D2256" i="2"/>
  <c r="C2256" i="2"/>
  <c r="B2256" i="2"/>
  <c r="O2255" i="2"/>
  <c r="N2255" i="2"/>
  <c r="M2255" i="2"/>
  <c r="L2255" i="2"/>
  <c r="K2255" i="2"/>
  <c r="J2255" i="2"/>
  <c r="I2255" i="2"/>
  <c r="H2255" i="2"/>
  <c r="G2255" i="2"/>
  <c r="F2255" i="2"/>
  <c r="E2255" i="2"/>
  <c r="D2255" i="2"/>
  <c r="C2255" i="2"/>
  <c r="B2255" i="2"/>
  <c r="O2254" i="2"/>
  <c r="N2254" i="2"/>
  <c r="M2254" i="2"/>
  <c r="L2254" i="2"/>
  <c r="K2254" i="2"/>
  <c r="J2254" i="2"/>
  <c r="I2254" i="2"/>
  <c r="H2254" i="2"/>
  <c r="G2254" i="2"/>
  <c r="F2254" i="2"/>
  <c r="E2254" i="2"/>
  <c r="D2254" i="2"/>
  <c r="C2254" i="2"/>
  <c r="B2254" i="2"/>
  <c r="O2253" i="2"/>
  <c r="N2253" i="2"/>
  <c r="M2253" i="2"/>
  <c r="L2253" i="2"/>
  <c r="K2253" i="2"/>
  <c r="J2253" i="2"/>
  <c r="I2253" i="2"/>
  <c r="H2253" i="2"/>
  <c r="G2253" i="2"/>
  <c r="F2253" i="2"/>
  <c r="E2253" i="2"/>
  <c r="D2253" i="2"/>
  <c r="C2253" i="2"/>
  <c r="B2253" i="2"/>
  <c r="O2252" i="2"/>
  <c r="N2252" i="2"/>
  <c r="M2252" i="2"/>
  <c r="L2252" i="2"/>
  <c r="K2252" i="2"/>
  <c r="J2252" i="2"/>
  <c r="I2252" i="2"/>
  <c r="H2252" i="2"/>
  <c r="G2252" i="2"/>
  <c r="F2252" i="2"/>
  <c r="E2252" i="2"/>
  <c r="D2252" i="2"/>
  <c r="C2252" i="2"/>
  <c r="B2252" i="2"/>
  <c r="O2251" i="2"/>
  <c r="N2251" i="2"/>
  <c r="M2251" i="2"/>
  <c r="L2251" i="2"/>
  <c r="K2251" i="2"/>
  <c r="J2251" i="2"/>
  <c r="I2251" i="2"/>
  <c r="H2251" i="2"/>
  <c r="G2251" i="2"/>
  <c r="F2251" i="2"/>
  <c r="E2251" i="2"/>
  <c r="D2251" i="2"/>
  <c r="C2251" i="2"/>
  <c r="B2251" i="2"/>
  <c r="O2250" i="2"/>
  <c r="N2250" i="2"/>
  <c r="M2250" i="2"/>
  <c r="L2250" i="2"/>
  <c r="K2250" i="2"/>
  <c r="J2250" i="2"/>
  <c r="I2250" i="2"/>
  <c r="H2250" i="2"/>
  <c r="G2250" i="2"/>
  <c r="F2250" i="2"/>
  <c r="E2250" i="2"/>
  <c r="D2250" i="2"/>
  <c r="C2250" i="2"/>
  <c r="B2250" i="2"/>
  <c r="O2249" i="2"/>
  <c r="N2249" i="2"/>
  <c r="M2249" i="2"/>
  <c r="L2249" i="2"/>
  <c r="K2249" i="2"/>
  <c r="J2249" i="2"/>
  <c r="I2249" i="2"/>
  <c r="H2249" i="2"/>
  <c r="G2249" i="2"/>
  <c r="F2249" i="2"/>
  <c r="E2249" i="2"/>
  <c r="D2249" i="2"/>
  <c r="C2249" i="2"/>
  <c r="B2249" i="2"/>
  <c r="O2248" i="2"/>
  <c r="N2248" i="2"/>
  <c r="M2248" i="2"/>
  <c r="L2248" i="2"/>
  <c r="K2248" i="2"/>
  <c r="J2248" i="2"/>
  <c r="I2248" i="2"/>
  <c r="H2248" i="2"/>
  <c r="G2248" i="2"/>
  <c r="F2248" i="2"/>
  <c r="E2248" i="2"/>
  <c r="D2248" i="2"/>
  <c r="C2248" i="2"/>
  <c r="B2248" i="2"/>
  <c r="O2247" i="2"/>
  <c r="N2247" i="2"/>
  <c r="M2247" i="2"/>
  <c r="L2247" i="2"/>
  <c r="K2247" i="2"/>
  <c r="J2247" i="2"/>
  <c r="I2247" i="2"/>
  <c r="H2247" i="2"/>
  <c r="G2247" i="2"/>
  <c r="F2247" i="2"/>
  <c r="E2247" i="2"/>
  <c r="D2247" i="2"/>
  <c r="C2247" i="2"/>
  <c r="B2247" i="2"/>
  <c r="O2246" i="2"/>
  <c r="N2246" i="2"/>
  <c r="M2246" i="2"/>
  <c r="L2246" i="2"/>
  <c r="K2246" i="2"/>
  <c r="J2246" i="2"/>
  <c r="I2246" i="2"/>
  <c r="H2246" i="2"/>
  <c r="G2246" i="2"/>
  <c r="F2246" i="2"/>
  <c r="E2246" i="2"/>
  <c r="D2246" i="2"/>
  <c r="C2246" i="2"/>
  <c r="B2246" i="2"/>
  <c r="O2245" i="2"/>
  <c r="N2245" i="2"/>
  <c r="M2245" i="2"/>
  <c r="L2245" i="2"/>
  <c r="K2245" i="2"/>
  <c r="J2245" i="2"/>
  <c r="I2245" i="2"/>
  <c r="H2245" i="2"/>
  <c r="G2245" i="2"/>
  <c r="F2245" i="2"/>
  <c r="E2245" i="2"/>
  <c r="D2245" i="2"/>
  <c r="C2245" i="2"/>
  <c r="B2245" i="2"/>
  <c r="O2244" i="2"/>
  <c r="N2244" i="2"/>
  <c r="M2244" i="2"/>
  <c r="L2244" i="2"/>
  <c r="K2244" i="2"/>
  <c r="J2244" i="2"/>
  <c r="I2244" i="2"/>
  <c r="H2244" i="2"/>
  <c r="G2244" i="2"/>
  <c r="F2244" i="2"/>
  <c r="E2244" i="2"/>
  <c r="D2244" i="2"/>
  <c r="C2244" i="2"/>
  <c r="B2244" i="2"/>
  <c r="O2243" i="2"/>
  <c r="N2243" i="2"/>
  <c r="M2243" i="2"/>
  <c r="L2243" i="2"/>
  <c r="K2243" i="2"/>
  <c r="J2243" i="2"/>
  <c r="I2243" i="2"/>
  <c r="H2243" i="2"/>
  <c r="G2243" i="2"/>
  <c r="F2243" i="2"/>
  <c r="E2243" i="2"/>
  <c r="D2243" i="2"/>
  <c r="C2243" i="2"/>
  <c r="B2243" i="2"/>
  <c r="O2242" i="2"/>
  <c r="N2242" i="2"/>
  <c r="M2242" i="2"/>
  <c r="L2242" i="2"/>
  <c r="K2242" i="2"/>
  <c r="J2242" i="2"/>
  <c r="I2242" i="2"/>
  <c r="H2242" i="2"/>
  <c r="G2242" i="2"/>
  <c r="F2242" i="2"/>
  <c r="E2242" i="2"/>
  <c r="D2242" i="2"/>
  <c r="C2242" i="2"/>
  <c r="B2242" i="2"/>
  <c r="O2241" i="2"/>
  <c r="N2241" i="2"/>
  <c r="M2241" i="2"/>
  <c r="L2241" i="2"/>
  <c r="K2241" i="2"/>
  <c r="J2241" i="2"/>
  <c r="I2241" i="2"/>
  <c r="H2241" i="2"/>
  <c r="G2241" i="2"/>
  <c r="F2241" i="2"/>
  <c r="E2241" i="2"/>
  <c r="D2241" i="2"/>
  <c r="C2241" i="2"/>
  <c r="B2241" i="2"/>
  <c r="O2240" i="2"/>
  <c r="N2240" i="2"/>
  <c r="M2240" i="2"/>
  <c r="L2240" i="2"/>
  <c r="K2240" i="2"/>
  <c r="J2240" i="2"/>
  <c r="I2240" i="2"/>
  <c r="H2240" i="2"/>
  <c r="G2240" i="2"/>
  <c r="F2240" i="2"/>
  <c r="E2240" i="2"/>
  <c r="D2240" i="2"/>
  <c r="C2240" i="2"/>
  <c r="B2240" i="2"/>
  <c r="O2239" i="2"/>
  <c r="N2239" i="2"/>
  <c r="M2239" i="2"/>
  <c r="L2239" i="2"/>
  <c r="K2239" i="2"/>
  <c r="J2239" i="2"/>
  <c r="I2239" i="2"/>
  <c r="H2239" i="2"/>
  <c r="G2239" i="2"/>
  <c r="F2239" i="2"/>
  <c r="E2239" i="2"/>
  <c r="D2239" i="2"/>
  <c r="C2239" i="2"/>
  <c r="B2239" i="2"/>
  <c r="O2238" i="2"/>
  <c r="N2238" i="2"/>
  <c r="M2238" i="2"/>
  <c r="L2238" i="2"/>
  <c r="K2238" i="2"/>
  <c r="J2238" i="2"/>
  <c r="I2238" i="2"/>
  <c r="H2238" i="2"/>
  <c r="G2238" i="2"/>
  <c r="F2238" i="2"/>
  <c r="E2238" i="2"/>
  <c r="D2238" i="2"/>
  <c r="C2238" i="2"/>
  <c r="B2238" i="2"/>
  <c r="O2237" i="2"/>
  <c r="N2237" i="2"/>
  <c r="M2237" i="2"/>
  <c r="L2237" i="2"/>
  <c r="K2237" i="2"/>
  <c r="J2237" i="2"/>
  <c r="I2237" i="2"/>
  <c r="H2237" i="2"/>
  <c r="G2237" i="2"/>
  <c r="F2237" i="2"/>
  <c r="E2237" i="2"/>
  <c r="D2237" i="2"/>
  <c r="C2237" i="2"/>
  <c r="B2237" i="2"/>
  <c r="O2236" i="2"/>
  <c r="N2236" i="2"/>
  <c r="M2236" i="2"/>
  <c r="L2236" i="2"/>
  <c r="K2236" i="2"/>
  <c r="J2236" i="2"/>
  <c r="I2236" i="2"/>
  <c r="H2236" i="2"/>
  <c r="G2236" i="2"/>
  <c r="F2236" i="2"/>
  <c r="E2236" i="2"/>
  <c r="D2236" i="2"/>
  <c r="C2236" i="2"/>
  <c r="B2236" i="2"/>
  <c r="O2235" i="2"/>
  <c r="N2235" i="2"/>
  <c r="M2235" i="2"/>
  <c r="L2235" i="2"/>
  <c r="K2235" i="2"/>
  <c r="J2235" i="2"/>
  <c r="I2235" i="2"/>
  <c r="H2235" i="2"/>
  <c r="G2235" i="2"/>
  <c r="F2235" i="2"/>
  <c r="E2235" i="2"/>
  <c r="D2235" i="2"/>
  <c r="C2235" i="2"/>
  <c r="B2235" i="2"/>
  <c r="O2234" i="2"/>
  <c r="N2234" i="2"/>
  <c r="M2234" i="2"/>
  <c r="L2234" i="2"/>
  <c r="K2234" i="2"/>
  <c r="J2234" i="2"/>
  <c r="I2234" i="2"/>
  <c r="H2234" i="2"/>
  <c r="G2234" i="2"/>
  <c r="F2234" i="2"/>
  <c r="E2234" i="2"/>
  <c r="D2234" i="2"/>
  <c r="C2234" i="2"/>
  <c r="B2234" i="2"/>
  <c r="O2233" i="2"/>
  <c r="N2233" i="2"/>
  <c r="M2233" i="2"/>
  <c r="L2233" i="2"/>
  <c r="K2233" i="2"/>
  <c r="J2233" i="2"/>
  <c r="I2233" i="2"/>
  <c r="H2233" i="2"/>
  <c r="G2233" i="2"/>
  <c r="F2233" i="2"/>
  <c r="E2233" i="2"/>
  <c r="D2233" i="2"/>
  <c r="C2233" i="2"/>
  <c r="B2233" i="2"/>
  <c r="O2232" i="2"/>
  <c r="N2232" i="2"/>
  <c r="M2232" i="2"/>
  <c r="L2232" i="2"/>
  <c r="K2232" i="2"/>
  <c r="J2232" i="2"/>
  <c r="I2232" i="2"/>
  <c r="H2232" i="2"/>
  <c r="G2232" i="2"/>
  <c r="F2232" i="2"/>
  <c r="E2232" i="2"/>
  <c r="D2232" i="2"/>
  <c r="C2232" i="2"/>
  <c r="B2232" i="2"/>
  <c r="O2231" i="2"/>
  <c r="N2231" i="2"/>
  <c r="M2231" i="2"/>
  <c r="L2231" i="2"/>
  <c r="K2231" i="2"/>
  <c r="J2231" i="2"/>
  <c r="I2231" i="2"/>
  <c r="H2231" i="2"/>
  <c r="G2231" i="2"/>
  <c r="F2231" i="2"/>
  <c r="E2231" i="2"/>
  <c r="D2231" i="2"/>
  <c r="C2231" i="2"/>
  <c r="B2231" i="2"/>
  <c r="O2230" i="2"/>
  <c r="N2230" i="2"/>
  <c r="M2230" i="2"/>
  <c r="L2230" i="2"/>
  <c r="K2230" i="2"/>
  <c r="J2230" i="2"/>
  <c r="I2230" i="2"/>
  <c r="H2230" i="2"/>
  <c r="G2230" i="2"/>
  <c r="F2230" i="2"/>
  <c r="E2230" i="2"/>
  <c r="D2230" i="2"/>
  <c r="C2230" i="2"/>
  <c r="B2230" i="2"/>
  <c r="O2229" i="2"/>
  <c r="N2229" i="2"/>
  <c r="M2229" i="2"/>
  <c r="L2229" i="2"/>
  <c r="K2229" i="2"/>
  <c r="J2229" i="2"/>
  <c r="I2229" i="2"/>
  <c r="H2229" i="2"/>
  <c r="G2229" i="2"/>
  <c r="F2229" i="2"/>
  <c r="E2229" i="2"/>
  <c r="D2229" i="2"/>
  <c r="C2229" i="2"/>
  <c r="B2229" i="2"/>
  <c r="O2228" i="2"/>
  <c r="N2228" i="2"/>
  <c r="M2228" i="2"/>
  <c r="L2228" i="2"/>
  <c r="K2228" i="2"/>
  <c r="J2228" i="2"/>
  <c r="I2228" i="2"/>
  <c r="H2228" i="2"/>
  <c r="G2228" i="2"/>
  <c r="F2228" i="2"/>
  <c r="E2228" i="2"/>
  <c r="D2228" i="2"/>
  <c r="C2228" i="2"/>
  <c r="B2228" i="2"/>
  <c r="O2227" i="2"/>
  <c r="N2227" i="2"/>
  <c r="M2227" i="2"/>
  <c r="L2227" i="2"/>
  <c r="K2227" i="2"/>
  <c r="J2227" i="2"/>
  <c r="I2227" i="2"/>
  <c r="H2227" i="2"/>
  <c r="G2227" i="2"/>
  <c r="F2227" i="2"/>
  <c r="E2227" i="2"/>
  <c r="D2227" i="2"/>
  <c r="C2227" i="2"/>
  <c r="B2227" i="2"/>
  <c r="O2226" i="2"/>
  <c r="N2226" i="2"/>
  <c r="M2226" i="2"/>
  <c r="L2226" i="2"/>
  <c r="K2226" i="2"/>
  <c r="J2226" i="2"/>
  <c r="I2226" i="2"/>
  <c r="H2226" i="2"/>
  <c r="G2226" i="2"/>
  <c r="F2226" i="2"/>
  <c r="E2226" i="2"/>
  <c r="D2226" i="2"/>
  <c r="C2226" i="2"/>
  <c r="B2226" i="2"/>
  <c r="O2225" i="2"/>
  <c r="N2225" i="2"/>
  <c r="M2225" i="2"/>
  <c r="L2225" i="2"/>
  <c r="K2225" i="2"/>
  <c r="J2225" i="2"/>
  <c r="I2225" i="2"/>
  <c r="H2225" i="2"/>
  <c r="G2225" i="2"/>
  <c r="F2225" i="2"/>
  <c r="E2225" i="2"/>
  <c r="D2225" i="2"/>
  <c r="C2225" i="2"/>
  <c r="B2225" i="2"/>
  <c r="O2224" i="2"/>
  <c r="N2224" i="2"/>
  <c r="M2224" i="2"/>
  <c r="L2224" i="2"/>
  <c r="K2224" i="2"/>
  <c r="J2224" i="2"/>
  <c r="I2224" i="2"/>
  <c r="H2224" i="2"/>
  <c r="G2224" i="2"/>
  <c r="F2224" i="2"/>
  <c r="E2224" i="2"/>
  <c r="D2224" i="2"/>
  <c r="C2224" i="2"/>
  <c r="B2224" i="2"/>
  <c r="O2223" i="2"/>
  <c r="N2223" i="2"/>
  <c r="M2223" i="2"/>
  <c r="L2223" i="2"/>
  <c r="K2223" i="2"/>
  <c r="J2223" i="2"/>
  <c r="I2223" i="2"/>
  <c r="H2223" i="2"/>
  <c r="G2223" i="2"/>
  <c r="F2223" i="2"/>
  <c r="E2223" i="2"/>
  <c r="D2223" i="2"/>
  <c r="C2223" i="2"/>
  <c r="B2223" i="2"/>
  <c r="O2222" i="2"/>
  <c r="N2222" i="2"/>
  <c r="M2222" i="2"/>
  <c r="L2222" i="2"/>
  <c r="K2222" i="2"/>
  <c r="J2222" i="2"/>
  <c r="I2222" i="2"/>
  <c r="H2222" i="2"/>
  <c r="G2222" i="2"/>
  <c r="F2222" i="2"/>
  <c r="E2222" i="2"/>
  <c r="D2222" i="2"/>
  <c r="C2222" i="2"/>
  <c r="B2222" i="2"/>
  <c r="O2221" i="2"/>
  <c r="N2221" i="2"/>
  <c r="M2221" i="2"/>
  <c r="L2221" i="2"/>
  <c r="K2221" i="2"/>
  <c r="J2221" i="2"/>
  <c r="I2221" i="2"/>
  <c r="H2221" i="2"/>
  <c r="G2221" i="2"/>
  <c r="F2221" i="2"/>
  <c r="E2221" i="2"/>
  <c r="D2221" i="2"/>
  <c r="C2221" i="2"/>
  <c r="B2221" i="2"/>
  <c r="O2220" i="2"/>
  <c r="N2220" i="2"/>
  <c r="M2220" i="2"/>
  <c r="L2220" i="2"/>
  <c r="K2220" i="2"/>
  <c r="J2220" i="2"/>
  <c r="I2220" i="2"/>
  <c r="H2220" i="2"/>
  <c r="G2220" i="2"/>
  <c r="F2220" i="2"/>
  <c r="E2220" i="2"/>
  <c r="D2220" i="2"/>
  <c r="C2220" i="2"/>
  <c r="B2220" i="2"/>
  <c r="O2219" i="2"/>
  <c r="N2219" i="2"/>
  <c r="M2219" i="2"/>
  <c r="L2219" i="2"/>
  <c r="K2219" i="2"/>
  <c r="J2219" i="2"/>
  <c r="I2219" i="2"/>
  <c r="H2219" i="2"/>
  <c r="G2219" i="2"/>
  <c r="F2219" i="2"/>
  <c r="E2219" i="2"/>
  <c r="D2219" i="2"/>
  <c r="C2219" i="2"/>
  <c r="B2219" i="2"/>
  <c r="O2218" i="2"/>
  <c r="N2218" i="2"/>
  <c r="M2218" i="2"/>
  <c r="L2218" i="2"/>
  <c r="K2218" i="2"/>
  <c r="J2218" i="2"/>
  <c r="I2218" i="2"/>
  <c r="H2218" i="2"/>
  <c r="G2218" i="2"/>
  <c r="F2218" i="2"/>
  <c r="E2218" i="2"/>
  <c r="D2218" i="2"/>
  <c r="C2218" i="2"/>
  <c r="B2218" i="2"/>
  <c r="O2217" i="2"/>
  <c r="N2217" i="2"/>
  <c r="M2217" i="2"/>
  <c r="L2217" i="2"/>
  <c r="K2217" i="2"/>
  <c r="J2217" i="2"/>
  <c r="I2217" i="2"/>
  <c r="H2217" i="2"/>
  <c r="G2217" i="2"/>
  <c r="F2217" i="2"/>
  <c r="E2217" i="2"/>
  <c r="D2217" i="2"/>
  <c r="C2217" i="2"/>
  <c r="B2217" i="2"/>
  <c r="O2216" i="2"/>
  <c r="N2216" i="2"/>
  <c r="M2216" i="2"/>
  <c r="L2216" i="2"/>
  <c r="K2216" i="2"/>
  <c r="J2216" i="2"/>
  <c r="I2216" i="2"/>
  <c r="H2216" i="2"/>
  <c r="G2216" i="2"/>
  <c r="F2216" i="2"/>
  <c r="E2216" i="2"/>
  <c r="D2216" i="2"/>
  <c r="C2216" i="2"/>
  <c r="B2216" i="2"/>
  <c r="O2215" i="2"/>
  <c r="N2215" i="2"/>
  <c r="M2215" i="2"/>
  <c r="L2215" i="2"/>
  <c r="K2215" i="2"/>
  <c r="J2215" i="2"/>
  <c r="I2215" i="2"/>
  <c r="H2215" i="2"/>
  <c r="G2215" i="2"/>
  <c r="F2215" i="2"/>
  <c r="E2215" i="2"/>
  <c r="D2215" i="2"/>
  <c r="C2215" i="2"/>
  <c r="B2215" i="2"/>
  <c r="O2214" i="2"/>
  <c r="N2214" i="2"/>
  <c r="M2214" i="2"/>
  <c r="L2214" i="2"/>
  <c r="K2214" i="2"/>
  <c r="J2214" i="2"/>
  <c r="I2214" i="2"/>
  <c r="H2214" i="2"/>
  <c r="G2214" i="2"/>
  <c r="F2214" i="2"/>
  <c r="E2214" i="2"/>
  <c r="D2214" i="2"/>
  <c r="C2214" i="2"/>
  <c r="B2214" i="2"/>
  <c r="O2213" i="2"/>
  <c r="N2213" i="2"/>
  <c r="M2213" i="2"/>
  <c r="L2213" i="2"/>
  <c r="K2213" i="2"/>
  <c r="J2213" i="2"/>
  <c r="I2213" i="2"/>
  <c r="H2213" i="2"/>
  <c r="G2213" i="2"/>
  <c r="F2213" i="2"/>
  <c r="E2213" i="2"/>
  <c r="D2213" i="2"/>
  <c r="C2213" i="2"/>
  <c r="B2213" i="2"/>
  <c r="O2212" i="2"/>
  <c r="N2212" i="2"/>
  <c r="M2212" i="2"/>
  <c r="L2212" i="2"/>
  <c r="K2212" i="2"/>
  <c r="J2212" i="2"/>
  <c r="I2212" i="2"/>
  <c r="H2212" i="2"/>
  <c r="G2212" i="2"/>
  <c r="F2212" i="2"/>
  <c r="E2212" i="2"/>
  <c r="D2212" i="2"/>
  <c r="C2212" i="2"/>
  <c r="B2212" i="2"/>
  <c r="O2211" i="2"/>
  <c r="N2211" i="2"/>
  <c r="M2211" i="2"/>
  <c r="L2211" i="2"/>
  <c r="K2211" i="2"/>
  <c r="J2211" i="2"/>
  <c r="I2211" i="2"/>
  <c r="H2211" i="2"/>
  <c r="G2211" i="2"/>
  <c r="F2211" i="2"/>
  <c r="E2211" i="2"/>
  <c r="D2211" i="2"/>
  <c r="C2211" i="2"/>
  <c r="B2211" i="2"/>
  <c r="O2210" i="2"/>
  <c r="N2210" i="2"/>
  <c r="M2210" i="2"/>
  <c r="L2210" i="2"/>
  <c r="K2210" i="2"/>
  <c r="J2210" i="2"/>
  <c r="I2210" i="2"/>
  <c r="H2210" i="2"/>
  <c r="G2210" i="2"/>
  <c r="F2210" i="2"/>
  <c r="E2210" i="2"/>
  <c r="D2210" i="2"/>
  <c r="C2210" i="2"/>
  <c r="B2210" i="2"/>
  <c r="O2209" i="2"/>
  <c r="N2209" i="2"/>
  <c r="M2209" i="2"/>
  <c r="L2209" i="2"/>
  <c r="K2209" i="2"/>
  <c r="J2209" i="2"/>
  <c r="I2209" i="2"/>
  <c r="H2209" i="2"/>
  <c r="G2209" i="2"/>
  <c r="F2209" i="2"/>
  <c r="E2209" i="2"/>
  <c r="D2209" i="2"/>
  <c r="C2209" i="2"/>
  <c r="B2209" i="2"/>
  <c r="O2208" i="2"/>
  <c r="N2208" i="2"/>
  <c r="M2208" i="2"/>
  <c r="L2208" i="2"/>
  <c r="K2208" i="2"/>
  <c r="J2208" i="2"/>
  <c r="I2208" i="2"/>
  <c r="H2208" i="2"/>
  <c r="G2208" i="2"/>
  <c r="F2208" i="2"/>
  <c r="E2208" i="2"/>
  <c r="D2208" i="2"/>
  <c r="C2208" i="2"/>
  <c r="B2208" i="2"/>
  <c r="O2207" i="2"/>
  <c r="N2207" i="2"/>
  <c r="M2207" i="2"/>
  <c r="L2207" i="2"/>
  <c r="K2207" i="2"/>
  <c r="J2207" i="2"/>
  <c r="I2207" i="2"/>
  <c r="H2207" i="2"/>
  <c r="G2207" i="2"/>
  <c r="F2207" i="2"/>
  <c r="E2207" i="2"/>
  <c r="D2207" i="2"/>
  <c r="C2207" i="2"/>
  <c r="B2207" i="2"/>
  <c r="O2206" i="2"/>
  <c r="N2206" i="2"/>
  <c r="M2206" i="2"/>
  <c r="L2206" i="2"/>
  <c r="K2206" i="2"/>
  <c r="J2206" i="2"/>
  <c r="I2206" i="2"/>
  <c r="H2206" i="2"/>
  <c r="G2206" i="2"/>
  <c r="F2206" i="2"/>
  <c r="E2206" i="2"/>
  <c r="D2206" i="2"/>
  <c r="C2206" i="2"/>
  <c r="B2206" i="2"/>
  <c r="O2205" i="2"/>
  <c r="N2205" i="2"/>
  <c r="M2205" i="2"/>
  <c r="L2205" i="2"/>
  <c r="K2205" i="2"/>
  <c r="J2205" i="2"/>
  <c r="I2205" i="2"/>
  <c r="H2205" i="2"/>
  <c r="G2205" i="2"/>
  <c r="F2205" i="2"/>
  <c r="E2205" i="2"/>
  <c r="D2205" i="2"/>
  <c r="C2205" i="2"/>
  <c r="B2205" i="2"/>
  <c r="O2204" i="2"/>
  <c r="N2204" i="2"/>
  <c r="M2204" i="2"/>
  <c r="L2204" i="2"/>
  <c r="K2204" i="2"/>
  <c r="J2204" i="2"/>
  <c r="I2204" i="2"/>
  <c r="H2204" i="2"/>
  <c r="G2204" i="2"/>
  <c r="F2204" i="2"/>
  <c r="E2204" i="2"/>
  <c r="D2204" i="2"/>
  <c r="C2204" i="2"/>
  <c r="B2204" i="2"/>
  <c r="O2203" i="2"/>
  <c r="N2203" i="2"/>
  <c r="M2203" i="2"/>
  <c r="L2203" i="2"/>
  <c r="K2203" i="2"/>
  <c r="J2203" i="2"/>
  <c r="I2203" i="2"/>
  <c r="H2203" i="2"/>
  <c r="G2203" i="2"/>
  <c r="F2203" i="2"/>
  <c r="E2203" i="2"/>
  <c r="D2203" i="2"/>
  <c r="C2203" i="2"/>
  <c r="B2203" i="2"/>
  <c r="O2202" i="2"/>
  <c r="N2202" i="2"/>
  <c r="M2202" i="2"/>
  <c r="L2202" i="2"/>
  <c r="K2202" i="2"/>
  <c r="J2202" i="2"/>
  <c r="I2202" i="2"/>
  <c r="H2202" i="2"/>
  <c r="G2202" i="2"/>
  <c r="F2202" i="2"/>
  <c r="E2202" i="2"/>
  <c r="D2202" i="2"/>
  <c r="C2202" i="2"/>
  <c r="B2202" i="2"/>
  <c r="O2201" i="2"/>
  <c r="N2201" i="2"/>
  <c r="M2201" i="2"/>
  <c r="L2201" i="2"/>
  <c r="K2201" i="2"/>
  <c r="J2201" i="2"/>
  <c r="I2201" i="2"/>
  <c r="H2201" i="2"/>
  <c r="G2201" i="2"/>
  <c r="F2201" i="2"/>
  <c r="E2201" i="2"/>
  <c r="D2201" i="2"/>
  <c r="C2201" i="2"/>
  <c r="B2201" i="2"/>
  <c r="O2200" i="2"/>
  <c r="N2200" i="2"/>
  <c r="M2200" i="2"/>
  <c r="L2200" i="2"/>
  <c r="K2200" i="2"/>
  <c r="J2200" i="2"/>
  <c r="I2200" i="2"/>
  <c r="H2200" i="2"/>
  <c r="G2200" i="2"/>
  <c r="F2200" i="2"/>
  <c r="E2200" i="2"/>
  <c r="D2200" i="2"/>
  <c r="C2200" i="2"/>
  <c r="B2200" i="2"/>
  <c r="O2199" i="2"/>
  <c r="N2199" i="2"/>
  <c r="M2199" i="2"/>
  <c r="L2199" i="2"/>
  <c r="K2199" i="2"/>
  <c r="J2199" i="2"/>
  <c r="I2199" i="2"/>
  <c r="H2199" i="2"/>
  <c r="G2199" i="2"/>
  <c r="F2199" i="2"/>
  <c r="E2199" i="2"/>
  <c r="D2199" i="2"/>
  <c r="C2199" i="2"/>
  <c r="B2199" i="2"/>
  <c r="O2198" i="2"/>
  <c r="N2198" i="2"/>
  <c r="M2198" i="2"/>
  <c r="L2198" i="2"/>
  <c r="K2198" i="2"/>
  <c r="J2198" i="2"/>
  <c r="I2198" i="2"/>
  <c r="H2198" i="2"/>
  <c r="G2198" i="2"/>
  <c r="F2198" i="2"/>
  <c r="E2198" i="2"/>
  <c r="D2198" i="2"/>
  <c r="C2198" i="2"/>
  <c r="B2198" i="2"/>
  <c r="O2197" i="2"/>
  <c r="N2197" i="2"/>
  <c r="M2197" i="2"/>
  <c r="L2197" i="2"/>
  <c r="K2197" i="2"/>
  <c r="J2197" i="2"/>
  <c r="I2197" i="2"/>
  <c r="H2197" i="2"/>
  <c r="G2197" i="2"/>
  <c r="F2197" i="2"/>
  <c r="E2197" i="2"/>
  <c r="D2197" i="2"/>
  <c r="C2197" i="2"/>
  <c r="B2197" i="2"/>
  <c r="O2196" i="2"/>
  <c r="N2196" i="2"/>
  <c r="M2196" i="2"/>
  <c r="L2196" i="2"/>
  <c r="K2196" i="2"/>
  <c r="J2196" i="2"/>
  <c r="I2196" i="2"/>
  <c r="H2196" i="2"/>
  <c r="G2196" i="2"/>
  <c r="F2196" i="2"/>
  <c r="E2196" i="2"/>
  <c r="D2196" i="2"/>
  <c r="C2196" i="2"/>
  <c r="B2196" i="2"/>
  <c r="O2195" i="2"/>
  <c r="N2195" i="2"/>
  <c r="M2195" i="2"/>
  <c r="L2195" i="2"/>
  <c r="K2195" i="2"/>
  <c r="J2195" i="2"/>
  <c r="I2195" i="2"/>
  <c r="H2195" i="2"/>
  <c r="G2195" i="2"/>
  <c r="F2195" i="2"/>
  <c r="E2195" i="2"/>
  <c r="D2195" i="2"/>
  <c r="C2195" i="2"/>
  <c r="B2195" i="2"/>
  <c r="O2194" i="2"/>
  <c r="N2194" i="2"/>
  <c r="M2194" i="2"/>
  <c r="L2194" i="2"/>
  <c r="K2194" i="2"/>
  <c r="J2194" i="2"/>
  <c r="I2194" i="2"/>
  <c r="H2194" i="2"/>
  <c r="G2194" i="2"/>
  <c r="F2194" i="2"/>
  <c r="E2194" i="2"/>
  <c r="D2194" i="2"/>
  <c r="C2194" i="2"/>
  <c r="B2194" i="2"/>
  <c r="O2193" i="2"/>
  <c r="N2193" i="2"/>
  <c r="M2193" i="2"/>
  <c r="L2193" i="2"/>
  <c r="K2193" i="2"/>
  <c r="J2193" i="2"/>
  <c r="I2193" i="2"/>
  <c r="H2193" i="2"/>
  <c r="G2193" i="2"/>
  <c r="F2193" i="2"/>
  <c r="E2193" i="2"/>
  <c r="D2193" i="2"/>
  <c r="C2193" i="2"/>
  <c r="B2193" i="2"/>
  <c r="O2192" i="2"/>
  <c r="N2192" i="2"/>
  <c r="M2192" i="2"/>
  <c r="L2192" i="2"/>
  <c r="K2192" i="2"/>
  <c r="J2192" i="2"/>
  <c r="I2192" i="2"/>
  <c r="H2192" i="2"/>
  <c r="G2192" i="2"/>
  <c r="F2192" i="2"/>
  <c r="E2192" i="2"/>
  <c r="D2192" i="2"/>
  <c r="C2192" i="2"/>
  <c r="B2192" i="2"/>
  <c r="O2191" i="2"/>
  <c r="N2191" i="2"/>
  <c r="M2191" i="2"/>
  <c r="L2191" i="2"/>
  <c r="K2191" i="2"/>
  <c r="J2191" i="2"/>
  <c r="I2191" i="2"/>
  <c r="H2191" i="2"/>
  <c r="G2191" i="2"/>
  <c r="F2191" i="2"/>
  <c r="E2191" i="2"/>
  <c r="D2191" i="2"/>
  <c r="C2191" i="2"/>
  <c r="B2191" i="2"/>
  <c r="O2190" i="2"/>
  <c r="N2190" i="2"/>
  <c r="M2190" i="2"/>
  <c r="L2190" i="2"/>
  <c r="K2190" i="2"/>
  <c r="J2190" i="2"/>
  <c r="I2190" i="2"/>
  <c r="H2190" i="2"/>
  <c r="G2190" i="2"/>
  <c r="F2190" i="2"/>
  <c r="E2190" i="2"/>
  <c r="D2190" i="2"/>
  <c r="C2190" i="2"/>
  <c r="B2190" i="2"/>
  <c r="O2189" i="2"/>
  <c r="N2189" i="2"/>
  <c r="M2189" i="2"/>
  <c r="L2189" i="2"/>
  <c r="K2189" i="2"/>
  <c r="J2189" i="2"/>
  <c r="I2189" i="2"/>
  <c r="H2189" i="2"/>
  <c r="G2189" i="2"/>
  <c r="F2189" i="2"/>
  <c r="E2189" i="2"/>
  <c r="D2189" i="2"/>
  <c r="C2189" i="2"/>
  <c r="B2189" i="2"/>
  <c r="O2188" i="2"/>
  <c r="N2188" i="2"/>
  <c r="M2188" i="2"/>
  <c r="L2188" i="2"/>
  <c r="K2188" i="2"/>
  <c r="J2188" i="2"/>
  <c r="I2188" i="2"/>
  <c r="H2188" i="2"/>
  <c r="G2188" i="2"/>
  <c r="F2188" i="2"/>
  <c r="E2188" i="2"/>
  <c r="D2188" i="2"/>
  <c r="C2188" i="2"/>
  <c r="B2188" i="2"/>
  <c r="O2187" i="2"/>
  <c r="N2187" i="2"/>
  <c r="M2187" i="2"/>
  <c r="L2187" i="2"/>
  <c r="K2187" i="2"/>
  <c r="J2187" i="2"/>
  <c r="I2187" i="2"/>
  <c r="H2187" i="2"/>
  <c r="G2187" i="2"/>
  <c r="F2187" i="2"/>
  <c r="E2187" i="2"/>
  <c r="D2187" i="2"/>
  <c r="C2187" i="2"/>
  <c r="B2187" i="2"/>
  <c r="O2186" i="2"/>
  <c r="N2186" i="2"/>
  <c r="M2186" i="2"/>
  <c r="L2186" i="2"/>
  <c r="K2186" i="2"/>
  <c r="J2186" i="2"/>
  <c r="I2186" i="2"/>
  <c r="H2186" i="2"/>
  <c r="G2186" i="2"/>
  <c r="F2186" i="2"/>
  <c r="E2186" i="2"/>
  <c r="D2186" i="2"/>
  <c r="C2186" i="2"/>
  <c r="B2186" i="2"/>
  <c r="O2185" i="2"/>
  <c r="N2185" i="2"/>
  <c r="M2185" i="2"/>
  <c r="L2185" i="2"/>
  <c r="K2185" i="2"/>
  <c r="J2185" i="2"/>
  <c r="I2185" i="2"/>
  <c r="H2185" i="2"/>
  <c r="G2185" i="2"/>
  <c r="F2185" i="2"/>
  <c r="E2185" i="2"/>
  <c r="D2185" i="2"/>
  <c r="C2185" i="2"/>
  <c r="B2185" i="2"/>
  <c r="O2184" i="2"/>
  <c r="N2184" i="2"/>
  <c r="M2184" i="2"/>
  <c r="L2184" i="2"/>
  <c r="K2184" i="2"/>
  <c r="J2184" i="2"/>
  <c r="I2184" i="2"/>
  <c r="H2184" i="2"/>
  <c r="G2184" i="2"/>
  <c r="F2184" i="2"/>
  <c r="E2184" i="2"/>
  <c r="D2184" i="2"/>
  <c r="C2184" i="2"/>
  <c r="B2184" i="2"/>
  <c r="O2183" i="2"/>
  <c r="N2183" i="2"/>
  <c r="M2183" i="2"/>
  <c r="L2183" i="2"/>
  <c r="K2183" i="2"/>
  <c r="J2183" i="2"/>
  <c r="I2183" i="2"/>
  <c r="H2183" i="2"/>
  <c r="G2183" i="2"/>
  <c r="F2183" i="2"/>
  <c r="E2183" i="2"/>
  <c r="D2183" i="2"/>
  <c r="C2183" i="2"/>
  <c r="B2183" i="2"/>
  <c r="O2182" i="2"/>
  <c r="N2182" i="2"/>
  <c r="M2182" i="2"/>
  <c r="L2182" i="2"/>
  <c r="K2182" i="2"/>
  <c r="J2182" i="2"/>
  <c r="I2182" i="2"/>
  <c r="H2182" i="2"/>
  <c r="G2182" i="2"/>
  <c r="F2182" i="2"/>
  <c r="E2182" i="2"/>
  <c r="D2182" i="2"/>
  <c r="C2182" i="2"/>
  <c r="B2182" i="2"/>
  <c r="O2181" i="2"/>
  <c r="N2181" i="2"/>
  <c r="M2181" i="2"/>
  <c r="L2181" i="2"/>
  <c r="K2181" i="2"/>
  <c r="J2181" i="2"/>
  <c r="I2181" i="2"/>
  <c r="H2181" i="2"/>
  <c r="G2181" i="2"/>
  <c r="F2181" i="2"/>
  <c r="E2181" i="2"/>
  <c r="D2181" i="2"/>
  <c r="C2181" i="2"/>
  <c r="B2181" i="2"/>
  <c r="O2180" i="2"/>
  <c r="N2180" i="2"/>
  <c r="M2180" i="2"/>
  <c r="L2180" i="2"/>
  <c r="K2180" i="2"/>
  <c r="J2180" i="2"/>
  <c r="I2180" i="2"/>
  <c r="H2180" i="2"/>
  <c r="G2180" i="2"/>
  <c r="F2180" i="2"/>
  <c r="E2180" i="2"/>
  <c r="D2180" i="2"/>
  <c r="C2180" i="2"/>
  <c r="B2180" i="2"/>
  <c r="O2179" i="2"/>
  <c r="N2179" i="2"/>
  <c r="M2179" i="2"/>
  <c r="L2179" i="2"/>
  <c r="K2179" i="2"/>
  <c r="J2179" i="2"/>
  <c r="I2179" i="2"/>
  <c r="H2179" i="2"/>
  <c r="G2179" i="2"/>
  <c r="F2179" i="2"/>
  <c r="E2179" i="2"/>
  <c r="D2179" i="2"/>
  <c r="C2179" i="2"/>
  <c r="B2179" i="2"/>
  <c r="O2178" i="2"/>
  <c r="N2178" i="2"/>
  <c r="M2178" i="2"/>
  <c r="L2178" i="2"/>
  <c r="K2178" i="2"/>
  <c r="J2178" i="2"/>
  <c r="I2178" i="2"/>
  <c r="H2178" i="2"/>
  <c r="G2178" i="2"/>
  <c r="F2178" i="2"/>
  <c r="E2178" i="2"/>
  <c r="D2178" i="2"/>
  <c r="C2178" i="2"/>
  <c r="B2178" i="2"/>
  <c r="O2177" i="2"/>
  <c r="N2177" i="2"/>
  <c r="M2177" i="2"/>
  <c r="L2177" i="2"/>
  <c r="K2177" i="2"/>
  <c r="J2177" i="2"/>
  <c r="I2177" i="2"/>
  <c r="H2177" i="2"/>
  <c r="G2177" i="2"/>
  <c r="F2177" i="2"/>
  <c r="E2177" i="2"/>
  <c r="D2177" i="2"/>
  <c r="C2177" i="2"/>
  <c r="B2177" i="2"/>
  <c r="O2176" i="2"/>
  <c r="N2176" i="2"/>
  <c r="M2176" i="2"/>
  <c r="L2176" i="2"/>
  <c r="K2176" i="2"/>
  <c r="J2176" i="2"/>
  <c r="I2176" i="2"/>
  <c r="H2176" i="2"/>
  <c r="G2176" i="2"/>
  <c r="F2176" i="2"/>
  <c r="E2176" i="2"/>
  <c r="D2176" i="2"/>
  <c r="C2176" i="2"/>
  <c r="B2176" i="2"/>
  <c r="O2175" i="2"/>
  <c r="N2175" i="2"/>
  <c r="M2175" i="2"/>
  <c r="L2175" i="2"/>
  <c r="K2175" i="2"/>
  <c r="J2175" i="2"/>
  <c r="I2175" i="2"/>
  <c r="H2175" i="2"/>
  <c r="G2175" i="2"/>
  <c r="F2175" i="2"/>
  <c r="E2175" i="2"/>
  <c r="D2175" i="2"/>
  <c r="C2175" i="2"/>
  <c r="B2175" i="2"/>
  <c r="O2174" i="2"/>
  <c r="N2174" i="2"/>
  <c r="M2174" i="2"/>
  <c r="L2174" i="2"/>
  <c r="K2174" i="2"/>
  <c r="J2174" i="2"/>
  <c r="I2174" i="2"/>
  <c r="H2174" i="2"/>
  <c r="G2174" i="2"/>
  <c r="F2174" i="2"/>
  <c r="E2174" i="2"/>
  <c r="D2174" i="2"/>
  <c r="C2174" i="2"/>
  <c r="B2174" i="2"/>
  <c r="O2173" i="2"/>
  <c r="N2173" i="2"/>
  <c r="M2173" i="2"/>
  <c r="L2173" i="2"/>
  <c r="K2173" i="2"/>
  <c r="J2173" i="2"/>
  <c r="I2173" i="2"/>
  <c r="H2173" i="2"/>
  <c r="G2173" i="2"/>
  <c r="F2173" i="2"/>
  <c r="E2173" i="2"/>
  <c r="D2173" i="2"/>
  <c r="C2173" i="2"/>
  <c r="B2173" i="2"/>
  <c r="O2172" i="2"/>
  <c r="N2172" i="2"/>
  <c r="M2172" i="2"/>
  <c r="L2172" i="2"/>
  <c r="K2172" i="2"/>
  <c r="J2172" i="2"/>
  <c r="I2172" i="2"/>
  <c r="H2172" i="2"/>
  <c r="G2172" i="2"/>
  <c r="F2172" i="2"/>
  <c r="E2172" i="2"/>
  <c r="D2172" i="2"/>
  <c r="C2172" i="2"/>
  <c r="B2172" i="2"/>
  <c r="O2171" i="2"/>
  <c r="N2171" i="2"/>
  <c r="M2171" i="2"/>
  <c r="L2171" i="2"/>
  <c r="K2171" i="2"/>
  <c r="J2171" i="2"/>
  <c r="I2171" i="2"/>
  <c r="H2171" i="2"/>
  <c r="G2171" i="2"/>
  <c r="F2171" i="2"/>
  <c r="E2171" i="2"/>
  <c r="D2171" i="2"/>
  <c r="C2171" i="2"/>
  <c r="B2171" i="2"/>
  <c r="O2170" i="2"/>
  <c r="N2170" i="2"/>
  <c r="M2170" i="2"/>
  <c r="L2170" i="2"/>
  <c r="K2170" i="2"/>
  <c r="J2170" i="2"/>
  <c r="I2170" i="2"/>
  <c r="H2170" i="2"/>
  <c r="G2170" i="2"/>
  <c r="F2170" i="2"/>
  <c r="E2170" i="2"/>
  <c r="D2170" i="2"/>
  <c r="C2170" i="2"/>
  <c r="B2170" i="2"/>
  <c r="O2169" i="2"/>
  <c r="N2169" i="2"/>
  <c r="M2169" i="2"/>
  <c r="L2169" i="2"/>
  <c r="K2169" i="2"/>
  <c r="J2169" i="2"/>
  <c r="I2169" i="2"/>
  <c r="H2169" i="2"/>
  <c r="G2169" i="2"/>
  <c r="F2169" i="2"/>
  <c r="E2169" i="2"/>
  <c r="D2169" i="2"/>
  <c r="C2169" i="2"/>
  <c r="B2169" i="2"/>
  <c r="O2168" i="2"/>
  <c r="N2168" i="2"/>
  <c r="M2168" i="2"/>
  <c r="L2168" i="2"/>
  <c r="K2168" i="2"/>
  <c r="J2168" i="2"/>
  <c r="I2168" i="2"/>
  <c r="H2168" i="2"/>
  <c r="G2168" i="2"/>
  <c r="F2168" i="2"/>
  <c r="E2168" i="2"/>
  <c r="D2168" i="2"/>
  <c r="C2168" i="2"/>
  <c r="B2168" i="2"/>
  <c r="O2167" i="2"/>
  <c r="N2167" i="2"/>
  <c r="M2167" i="2"/>
  <c r="L2167" i="2"/>
  <c r="K2167" i="2"/>
  <c r="J2167" i="2"/>
  <c r="I2167" i="2"/>
  <c r="H2167" i="2"/>
  <c r="G2167" i="2"/>
  <c r="F2167" i="2"/>
  <c r="E2167" i="2"/>
  <c r="D2167" i="2"/>
  <c r="C2167" i="2"/>
  <c r="B2167" i="2"/>
  <c r="O2166" i="2"/>
  <c r="N2166" i="2"/>
  <c r="M2166" i="2"/>
  <c r="L2166" i="2"/>
  <c r="K2166" i="2"/>
  <c r="J2166" i="2"/>
  <c r="I2166" i="2"/>
  <c r="H2166" i="2"/>
  <c r="G2166" i="2"/>
  <c r="F2166" i="2"/>
  <c r="E2166" i="2"/>
  <c r="D2166" i="2"/>
  <c r="C2166" i="2"/>
  <c r="B2166" i="2"/>
  <c r="O2165" i="2"/>
  <c r="N2165" i="2"/>
  <c r="M2165" i="2"/>
  <c r="L2165" i="2"/>
  <c r="K2165" i="2"/>
  <c r="J2165" i="2"/>
  <c r="I2165" i="2"/>
  <c r="H2165" i="2"/>
  <c r="G2165" i="2"/>
  <c r="F2165" i="2"/>
  <c r="E2165" i="2"/>
  <c r="D2165" i="2"/>
  <c r="C2165" i="2"/>
  <c r="B2165" i="2"/>
  <c r="O2164" i="2"/>
  <c r="N2164" i="2"/>
  <c r="M2164" i="2"/>
  <c r="L2164" i="2"/>
  <c r="K2164" i="2"/>
  <c r="J2164" i="2"/>
  <c r="I2164" i="2"/>
  <c r="H2164" i="2"/>
  <c r="G2164" i="2"/>
  <c r="F2164" i="2"/>
  <c r="E2164" i="2"/>
  <c r="D2164" i="2"/>
  <c r="C2164" i="2"/>
  <c r="B2164" i="2"/>
  <c r="O2163" i="2"/>
  <c r="N2163" i="2"/>
  <c r="M2163" i="2"/>
  <c r="L2163" i="2"/>
  <c r="K2163" i="2"/>
  <c r="J2163" i="2"/>
  <c r="I2163" i="2"/>
  <c r="H2163" i="2"/>
  <c r="G2163" i="2"/>
  <c r="F2163" i="2"/>
  <c r="E2163" i="2"/>
  <c r="D2163" i="2"/>
  <c r="C2163" i="2"/>
  <c r="B2163" i="2"/>
  <c r="O2162" i="2"/>
  <c r="N2162" i="2"/>
  <c r="M2162" i="2"/>
  <c r="L2162" i="2"/>
  <c r="K2162" i="2"/>
  <c r="J2162" i="2"/>
  <c r="I2162" i="2"/>
  <c r="H2162" i="2"/>
  <c r="G2162" i="2"/>
  <c r="F2162" i="2"/>
  <c r="E2162" i="2"/>
  <c r="D2162" i="2"/>
  <c r="C2162" i="2"/>
  <c r="B2162" i="2"/>
  <c r="O2161" i="2"/>
  <c r="N2161" i="2"/>
  <c r="M2161" i="2"/>
  <c r="L2161" i="2"/>
  <c r="K2161" i="2"/>
  <c r="J2161" i="2"/>
  <c r="I2161" i="2"/>
  <c r="H2161" i="2"/>
  <c r="G2161" i="2"/>
  <c r="F2161" i="2"/>
  <c r="E2161" i="2"/>
  <c r="D2161" i="2"/>
  <c r="C2161" i="2"/>
  <c r="B2161" i="2"/>
  <c r="O2160" i="2"/>
  <c r="N2160" i="2"/>
  <c r="M2160" i="2"/>
  <c r="L2160" i="2"/>
  <c r="K2160" i="2"/>
  <c r="J2160" i="2"/>
  <c r="I2160" i="2"/>
  <c r="H2160" i="2"/>
  <c r="G2160" i="2"/>
  <c r="F2160" i="2"/>
  <c r="E2160" i="2"/>
  <c r="D2160" i="2"/>
  <c r="C2160" i="2"/>
  <c r="B2160" i="2"/>
  <c r="O2159" i="2"/>
  <c r="N2159" i="2"/>
  <c r="M2159" i="2"/>
  <c r="L2159" i="2"/>
  <c r="K2159" i="2"/>
  <c r="J2159" i="2"/>
  <c r="I2159" i="2"/>
  <c r="H2159" i="2"/>
  <c r="G2159" i="2"/>
  <c r="F2159" i="2"/>
  <c r="E2159" i="2"/>
  <c r="D2159" i="2"/>
  <c r="C2159" i="2"/>
  <c r="B2159" i="2"/>
  <c r="O2158" i="2"/>
  <c r="N2158" i="2"/>
  <c r="M2158" i="2"/>
  <c r="L2158" i="2"/>
  <c r="K2158" i="2"/>
  <c r="J2158" i="2"/>
  <c r="I2158" i="2"/>
  <c r="H2158" i="2"/>
  <c r="G2158" i="2"/>
  <c r="F2158" i="2"/>
  <c r="E2158" i="2"/>
  <c r="D2158" i="2"/>
  <c r="C2158" i="2"/>
  <c r="B2158" i="2"/>
  <c r="O2157" i="2"/>
  <c r="N2157" i="2"/>
  <c r="M2157" i="2"/>
  <c r="L2157" i="2"/>
  <c r="K2157" i="2"/>
  <c r="J2157" i="2"/>
  <c r="I2157" i="2"/>
  <c r="H2157" i="2"/>
  <c r="G2157" i="2"/>
  <c r="F2157" i="2"/>
  <c r="E2157" i="2"/>
  <c r="D2157" i="2"/>
  <c r="C2157" i="2"/>
  <c r="B2157" i="2"/>
  <c r="O2156" i="2"/>
  <c r="N2156" i="2"/>
  <c r="M2156" i="2"/>
  <c r="L2156" i="2"/>
  <c r="K2156" i="2"/>
  <c r="J2156" i="2"/>
  <c r="I2156" i="2"/>
  <c r="H2156" i="2"/>
  <c r="G2156" i="2"/>
  <c r="F2156" i="2"/>
  <c r="E2156" i="2"/>
  <c r="D2156" i="2"/>
  <c r="C2156" i="2"/>
  <c r="B2156" i="2"/>
  <c r="O2155" i="2"/>
  <c r="N2155" i="2"/>
  <c r="M2155" i="2"/>
  <c r="L2155" i="2"/>
  <c r="K2155" i="2"/>
  <c r="J2155" i="2"/>
  <c r="I2155" i="2"/>
  <c r="H2155" i="2"/>
  <c r="G2155" i="2"/>
  <c r="F2155" i="2"/>
  <c r="E2155" i="2"/>
  <c r="D2155" i="2"/>
  <c r="C2155" i="2"/>
  <c r="B2155" i="2"/>
  <c r="O2154" i="2"/>
  <c r="N2154" i="2"/>
  <c r="M2154" i="2"/>
  <c r="L2154" i="2"/>
  <c r="K2154" i="2"/>
  <c r="J2154" i="2"/>
  <c r="I2154" i="2"/>
  <c r="H2154" i="2"/>
  <c r="G2154" i="2"/>
  <c r="F2154" i="2"/>
  <c r="E2154" i="2"/>
  <c r="D2154" i="2"/>
  <c r="C2154" i="2"/>
  <c r="B2154" i="2"/>
  <c r="O2153" i="2"/>
  <c r="N2153" i="2"/>
  <c r="M2153" i="2"/>
  <c r="L2153" i="2"/>
  <c r="K2153" i="2"/>
  <c r="J2153" i="2"/>
  <c r="I2153" i="2"/>
  <c r="H2153" i="2"/>
  <c r="G2153" i="2"/>
  <c r="F2153" i="2"/>
  <c r="E2153" i="2"/>
  <c r="D2153" i="2"/>
  <c r="C2153" i="2"/>
  <c r="B2153" i="2"/>
  <c r="O2152" i="2"/>
  <c r="N2152" i="2"/>
  <c r="M2152" i="2"/>
  <c r="L2152" i="2"/>
  <c r="K2152" i="2"/>
  <c r="J2152" i="2"/>
  <c r="I2152" i="2"/>
  <c r="H2152" i="2"/>
  <c r="G2152" i="2"/>
  <c r="F2152" i="2"/>
  <c r="E2152" i="2"/>
  <c r="D2152" i="2"/>
  <c r="C2152" i="2"/>
  <c r="B2152" i="2"/>
  <c r="O2151" i="2"/>
  <c r="N2151" i="2"/>
  <c r="M2151" i="2"/>
  <c r="L2151" i="2"/>
  <c r="K2151" i="2"/>
  <c r="J2151" i="2"/>
  <c r="I2151" i="2"/>
  <c r="H2151" i="2"/>
  <c r="G2151" i="2"/>
  <c r="F2151" i="2"/>
  <c r="E2151" i="2"/>
  <c r="D2151" i="2"/>
  <c r="C2151" i="2"/>
  <c r="B2151" i="2"/>
  <c r="O2150" i="2"/>
  <c r="N2150" i="2"/>
  <c r="M2150" i="2"/>
  <c r="L2150" i="2"/>
  <c r="K2150" i="2"/>
  <c r="J2150" i="2"/>
  <c r="I2150" i="2"/>
  <c r="H2150" i="2"/>
  <c r="G2150" i="2"/>
  <c r="F2150" i="2"/>
  <c r="E2150" i="2"/>
  <c r="D2150" i="2"/>
  <c r="C2150" i="2"/>
  <c r="B2150" i="2"/>
  <c r="O2149" i="2"/>
  <c r="N2149" i="2"/>
  <c r="M2149" i="2"/>
  <c r="L2149" i="2"/>
  <c r="K2149" i="2"/>
  <c r="J2149" i="2"/>
  <c r="I2149" i="2"/>
  <c r="H2149" i="2"/>
  <c r="G2149" i="2"/>
  <c r="F2149" i="2"/>
  <c r="E2149" i="2"/>
  <c r="D2149" i="2"/>
  <c r="C2149" i="2"/>
  <c r="B2149" i="2"/>
  <c r="O2148" i="2"/>
  <c r="N2148" i="2"/>
  <c r="M2148" i="2"/>
  <c r="L2148" i="2"/>
  <c r="K2148" i="2"/>
  <c r="J2148" i="2"/>
  <c r="I2148" i="2"/>
  <c r="H2148" i="2"/>
  <c r="G2148" i="2"/>
  <c r="F2148" i="2"/>
  <c r="E2148" i="2"/>
  <c r="D2148" i="2"/>
  <c r="C2148" i="2"/>
  <c r="B2148" i="2"/>
  <c r="O2147" i="2"/>
  <c r="N2147" i="2"/>
  <c r="M2147" i="2"/>
  <c r="L2147" i="2"/>
  <c r="K2147" i="2"/>
  <c r="J2147" i="2"/>
  <c r="I2147" i="2"/>
  <c r="H2147" i="2"/>
  <c r="G2147" i="2"/>
  <c r="F2147" i="2"/>
  <c r="E2147" i="2"/>
  <c r="D2147" i="2"/>
  <c r="C2147" i="2"/>
  <c r="B2147" i="2"/>
  <c r="O2146" i="2"/>
  <c r="N2146" i="2"/>
  <c r="M2146" i="2"/>
  <c r="L2146" i="2"/>
  <c r="K2146" i="2"/>
  <c r="J2146" i="2"/>
  <c r="I2146" i="2"/>
  <c r="H2146" i="2"/>
  <c r="G2146" i="2"/>
  <c r="F2146" i="2"/>
  <c r="E2146" i="2"/>
  <c r="D2146" i="2"/>
  <c r="C2146" i="2"/>
  <c r="B2146" i="2"/>
  <c r="O2145" i="2"/>
  <c r="N2145" i="2"/>
  <c r="M2145" i="2"/>
  <c r="L2145" i="2"/>
  <c r="K2145" i="2"/>
  <c r="J2145" i="2"/>
  <c r="I2145" i="2"/>
  <c r="H2145" i="2"/>
  <c r="G2145" i="2"/>
  <c r="F2145" i="2"/>
  <c r="E2145" i="2"/>
  <c r="D2145" i="2"/>
  <c r="C2145" i="2"/>
  <c r="B2145" i="2"/>
  <c r="O2144" i="2"/>
  <c r="N2144" i="2"/>
  <c r="M2144" i="2"/>
  <c r="L2144" i="2"/>
  <c r="K2144" i="2"/>
  <c r="J2144" i="2"/>
  <c r="I2144" i="2"/>
  <c r="H2144" i="2"/>
  <c r="G2144" i="2"/>
  <c r="F2144" i="2"/>
  <c r="E2144" i="2"/>
  <c r="D2144" i="2"/>
  <c r="C2144" i="2"/>
  <c r="B2144" i="2"/>
  <c r="O2143" i="2"/>
  <c r="N2143" i="2"/>
  <c r="M2143" i="2"/>
  <c r="L2143" i="2"/>
  <c r="K2143" i="2"/>
  <c r="J2143" i="2"/>
  <c r="I2143" i="2"/>
  <c r="H2143" i="2"/>
  <c r="G2143" i="2"/>
  <c r="F2143" i="2"/>
  <c r="E2143" i="2"/>
  <c r="D2143" i="2"/>
  <c r="C2143" i="2"/>
  <c r="B2143" i="2"/>
  <c r="O2142" i="2"/>
  <c r="N2142" i="2"/>
  <c r="M2142" i="2"/>
  <c r="L2142" i="2"/>
  <c r="K2142" i="2"/>
  <c r="J2142" i="2"/>
  <c r="I2142" i="2"/>
  <c r="H2142" i="2"/>
  <c r="G2142" i="2"/>
  <c r="F2142" i="2"/>
  <c r="E2142" i="2"/>
  <c r="D2142" i="2"/>
  <c r="C2142" i="2"/>
  <c r="B2142" i="2"/>
  <c r="O2141" i="2"/>
  <c r="N2141" i="2"/>
  <c r="M2141" i="2"/>
  <c r="L2141" i="2"/>
  <c r="K2141" i="2"/>
  <c r="J2141" i="2"/>
  <c r="I2141" i="2"/>
  <c r="H2141" i="2"/>
  <c r="G2141" i="2"/>
  <c r="F2141" i="2"/>
  <c r="E2141" i="2"/>
  <c r="D2141" i="2"/>
  <c r="C2141" i="2"/>
  <c r="B2141" i="2"/>
  <c r="O2140" i="2"/>
  <c r="N2140" i="2"/>
  <c r="M2140" i="2"/>
  <c r="L2140" i="2"/>
  <c r="K2140" i="2"/>
  <c r="J2140" i="2"/>
  <c r="I2140" i="2"/>
  <c r="H2140" i="2"/>
  <c r="G2140" i="2"/>
  <c r="F2140" i="2"/>
  <c r="E2140" i="2"/>
  <c r="D2140" i="2"/>
  <c r="C2140" i="2"/>
  <c r="B2140" i="2"/>
  <c r="O2139" i="2"/>
  <c r="N2139" i="2"/>
  <c r="M2139" i="2"/>
  <c r="L2139" i="2"/>
  <c r="K2139" i="2"/>
  <c r="J2139" i="2"/>
  <c r="I2139" i="2"/>
  <c r="H2139" i="2"/>
  <c r="G2139" i="2"/>
  <c r="F2139" i="2"/>
  <c r="E2139" i="2"/>
  <c r="D2139" i="2"/>
  <c r="C2139" i="2"/>
  <c r="B2139" i="2"/>
  <c r="O2138" i="2"/>
  <c r="N2138" i="2"/>
  <c r="M2138" i="2"/>
  <c r="L2138" i="2"/>
  <c r="K2138" i="2"/>
  <c r="J2138" i="2"/>
  <c r="I2138" i="2"/>
  <c r="H2138" i="2"/>
  <c r="G2138" i="2"/>
  <c r="F2138" i="2"/>
  <c r="E2138" i="2"/>
  <c r="D2138" i="2"/>
  <c r="C2138" i="2"/>
  <c r="B2138" i="2"/>
  <c r="O2137" i="2"/>
  <c r="N2137" i="2"/>
  <c r="M2137" i="2"/>
  <c r="L2137" i="2"/>
  <c r="K2137" i="2"/>
  <c r="J2137" i="2"/>
  <c r="I2137" i="2"/>
  <c r="H2137" i="2"/>
  <c r="G2137" i="2"/>
  <c r="F2137" i="2"/>
  <c r="E2137" i="2"/>
  <c r="D2137" i="2"/>
  <c r="C2137" i="2"/>
  <c r="B2137" i="2"/>
  <c r="O2136" i="2"/>
  <c r="N2136" i="2"/>
  <c r="M2136" i="2"/>
  <c r="L2136" i="2"/>
  <c r="K2136" i="2"/>
  <c r="J2136" i="2"/>
  <c r="I2136" i="2"/>
  <c r="H2136" i="2"/>
  <c r="G2136" i="2"/>
  <c r="F2136" i="2"/>
  <c r="E2136" i="2"/>
  <c r="D2136" i="2"/>
  <c r="C2136" i="2"/>
  <c r="B2136" i="2"/>
  <c r="O2135" i="2"/>
  <c r="N2135" i="2"/>
  <c r="M2135" i="2"/>
  <c r="L2135" i="2"/>
  <c r="K2135" i="2"/>
  <c r="J2135" i="2"/>
  <c r="I2135" i="2"/>
  <c r="H2135" i="2"/>
  <c r="G2135" i="2"/>
  <c r="F2135" i="2"/>
  <c r="E2135" i="2"/>
  <c r="D2135" i="2"/>
  <c r="C2135" i="2"/>
  <c r="B2135" i="2"/>
  <c r="O2134" i="2"/>
  <c r="N2134" i="2"/>
  <c r="M2134" i="2"/>
  <c r="L2134" i="2"/>
  <c r="K2134" i="2"/>
  <c r="J2134" i="2"/>
  <c r="I2134" i="2"/>
  <c r="H2134" i="2"/>
  <c r="G2134" i="2"/>
  <c r="F2134" i="2"/>
  <c r="E2134" i="2"/>
  <c r="D2134" i="2"/>
  <c r="C2134" i="2"/>
  <c r="B2134" i="2"/>
  <c r="O2133" i="2"/>
  <c r="N2133" i="2"/>
  <c r="M2133" i="2"/>
  <c r="L2133" i="2"/>
  <c r="K2133" i="2"/>
  <c r="J2133" i="2"/>
  <c r="I2133" i="2"/>
  <c r="H2133" i="2"/>
  <c r="G2133" i="2"/>
  <c r="F2133" i="2"/>
  <c r="E2133" i="2"/>
  <c r="D2133" i="2"/>
  <c r="C2133" i="2"/>
  <c r="B2133" i="2"/>
  <c r="O2132" i="2"/>
  <c r="N2132" i="2"/>
  <c r="M2132" i="2"/>
  <c r="L2132" i="2"/>
  <c r="K2132" i="2"/>
  <c r="J2132" i="2"/>
  <c r="I2132" i="2"/>
  <c r="H2132" i="2"/>
  <c r="G2132" i="2"/>
  <c r="F2132" i="2"/>
  <c r="E2132" i="2"/>
  <c r="D2132" i="2"/>
  <c r="C2132" i="2"/>
  <c r="B2132" i="2"/>
  <c r="O2131" i="2"/>
  <c r="N2131" i="2"/>
  <c r="M2131" i="2"/>
  <c r="L2131" i="2"/>
  <c r="K2131" i="2"/>
  <c r="J2131" i="2"/>
  <c r="I2131" i="2"/>
  <c r="H2131" i="2"/>
  <c r="G2131" i="2"/>
  <c r="F2131" i="2"/>
  <c r="E2131" i="2"/>
  <c r="D2131" i="2"/>
  <c r="C2131" i="2"/>
  <c r="B2131" i="2"/>
  <c r="O2130" i="2"/>
  <c r="N2130" i="2"/>
  <c r="M2130" i="2"/>
  <c r="L2130" i="2"/>
  <c r="K2130" i="2"/>
  <c r="J2130" i="2"/>
  <c r="I2130" i="2"/>
  <c r="H2130" i="2"/>
  <c r="G2130" i="2"/>
  <c r="F2130" i="2"/>
  <c r="E2130" i="2"/>
  <c r="D2130" i="2"/>
  <c r="C2130" i="2"/>
  <c r="B2130" i="2"/>
  <c r="O2129" i="2"/>
  <c r="N2129" i="2"/>
  <c r="M2129" i="2"/>
  <c r="L2129" i="2"/>
  <c r="K2129" i="2"/>
  <c r="J2129" i="2"/>
  <c r="I2129" i="2"/>
  <c r="H2129" i="2"/>
  <c r="G2129" i="2"/>
  <c r="F2129" i="2"/>
  <c r="E2129" i="2"/>
  <c r="D2129" i="2"/>
  <c r="C2129" i="2"/>
  <c r="B2129" i="2"/>
  <c r="O2128" i="2"/>
  <c r="N2128" i="2"/>
  <c r="M2128" i="2"/>
  <c r="L2128" i="2"/>
  <c r="K2128" i="2"/>
  <c r="J2128" i="2"/>
  <c r="I2128" i="2"/>
  <c r="H2128" i="2"/>
  <c r="G2128" i="2"/>
  <c r="F2128" i="2"/>
  <c r="E2128" i="2"/>
  <c r="D2128" i="2"/>
  <c r="C2128" i="2"/>
  <c r="B2128" i="2"/>
  <c r="O2127" i="2"/>
  <c r="N2127" i="2"/>
  <c r="M2127" i="2"/>
  <c r="L2127" i="2"/>
  <c r="K2127" i="2"/>
  <c r="J2127" i="2"/>
  <c r="I2127" i="2"/>
  <c r="H2127" i="2"/>
  <c r="G2127" i="2"/>
  <c r="F2127" i="2"/>
  <c r="E2127" i="2"/>
  <c r="D2127" i="2"/>
  <c r="C2127" i="2"/>
  <c r="B2127" i="2"/>
  <c r="O2126" i="2"/>
  <c r="N2126" i="2"/>
  <c r="M2126" i="2"/>
  <c r="L2126" i="2"/>
  <c r="K2126" i="2"/>
  <c r="J2126" i="2"/>
  <c r="I2126" i="2"/>
  <c r="H2126" i="2"/>
  <c r="G2126" i="2"/>
  <c r="F2126" i="2"/>
  <c r="E2126" i="2"/>
  <c r="D2126" i="2"/>
  <c r="C2126" i="2"/>
  <c r="B2126" i="2"/>
  <c r="O2125" i="2"/>
  <c r="N2125" i="2"/>
  <c r="M2125" i="2"/>
  <c r="L2125" i="2"/>
  <c r="K2125" i="2"/>
  <c r="J2125" i="2"/>
  <c r="I2125" i="2"/>
  <c r="H2125" i="2"/>
  <c r="G2125" i="2"/>
  <c r="F2125" i="2"/>
  <c r="E2125" i="2"/>
  <c r="D2125" i="2"/>
  <c r="C2125" i="2"/>
  <c r="B2125" i="2"/>
  <c r="O2124" i="2"/>
  <c r="N2124" i="2"/>
  <c r="M2124" i="2"/>
  <c r="L2124" i="2"/>
  <c r="K2124" i="2"/>
  <c r="J2124" i="2"/>
  <c r="I2124" i="2"/>
  <c r="H2124" i="2"/>
  <c r="G2124" i="2"/>
  <c r="F2124" i="2"/>
  <c r="E2124" i="2"/>
  <c r="D2124" i="2"/>
  <c r="C2124" i="2"/>
  <c r="B2124" i="2"/>
  <c r="O2123" i="2"/>
  <c r="N2123" i="2"/>
  <c r="M2123" i="2"/>
  <c r="L2123" i="2"/>
  <c r="K2123" i="2"/>
  <c r="J2123" i="2"/>
  <c r="I2123" i="2"/>
  <c r="H2123" i="2"/>
  <c r="G2123" i="2"/>
  <c r="F2123" i="2"/>
  <c r="E2123" i="2"/>
  <c r="D2123" i="2"/>
  <c r="C2123" i="2"/>
  <c r="B2123" i="2"/>
  <c r="O2122" i="2"/>
  <c r="N2122" i="2"/>
  <c r="M2122" i="2"/>
  <c r="L2122" i="2"/>
  <c r="K2122" i="2"/>
  <c r="J2122" i="2"/>
  <c r="I2122" i="2"/>
  <c r="H2122" i="2"/>
  <c r="G2122" i="2"/>
  <c r="F2122" i="2"/>
  <c r="E2122" i="2"/>
  <c r="D2122" i="2"/>
  <c r="C2122" i="2"/>
  <c r="B2122" i="2"/>
  <c r="O2121" i="2"/>
  <c r="N2121" i="2"/>
  <c r="M2121" i="2"/>
  <c r="L2121" i="2"/>
  <c r="K2121" i="2"/>
  <c r="J2121" i="2"/>
  <c r="I2121" i="2"/>
  <c r="H2121" i="2"/>
  <c r="G2121" i="2"/>
  <c r="F2121" i="2"/>
  <c r="E2121" i="2"/>
  <c r="D2121" i="2"/>
  <c r="C2121" i="2"/>
  <c r="B2121" i="2"/>
  <c r="O2120" i="2"/>
  <c r="N2120" i="2"/>
  <c r="M2120" i="2"/>
  <c r="L2120" i="2"/>
  <c r="K2120" i="2"/>
  <c r="J2120" i="2"/>
  <c r="I2120" i="2"/>
  <c r="H2120" i="2"/>
  <c r="G2120" i="2"/>
  <c r="F2120" i="2"/>
  <c r="E2120" i="2"/>
  <c r="D2120" i="2"/>
  <c r="C2120" i="2"/>
  <c r="B2120" i="2"/>
  <c r="O2119" i="2"/>
  <c r="N2119" i="2"/>
  <c r="M2119" i="2"/>
  <c r="L2119" i="2"/>
  <c r="K2119" i="2"/>
  <c r="J2119" i="2"/>
  <c r="I2119" i="2"/>
  <c r="H2119" i="2"/>
  <c r="G2119" i="2"/>
  <c r="F2119" i="2"/>
  <c r="E2119" i="2"/>
  <c r="D2119" i="2"/>
  <c r="C2119" i="2"/>
  <c r="B2119" i="2"/>
  <c r="O2118" i="2"/>
  <c r="N2118" i="2"/>
  <c r="M2118" i="2"/>
  <c r="L2118" i="2"/>
  <c r="K2118" i="2"/>
  <c r="J2118" i="2"/>
  <c r="I2118" i="2"/>
  <c r="H2118" i="2"/>
  <c r="G2118" i="2"/>
  <c r="F2118" i="2"/>
  <c r="E2118" i="2"/>
  <c r="D2118" i="2"/>
  <c r="C2118" i="2"/>
  <c r="B2118" i="2"/>
  <c r="O2117" i="2"/>
  <c r="N2117" i="2"/>
  <c r="M2117" i="2"/>
  <c r="L2117" i="2"/>
  <c r="K2117" i="2"/>
  <c r="J2117" i="2"/>
  <c r="I2117" i="2"/>
  <c r="H2117" i="2"/>
  <c r="G2117" i="2"/>
  <c r="F2117" i="2"/>
  <c r="E2117" i="2"/>
  <c r="D2117" i="2"/>
  <c r="C2117" i="2"/>
  <c r="B2117" i="2"/>
  <c r="O2116" i="2"/>
  <c r="N2116" i="2"/>
  <c r="M2116" i="2"/>
  <c r="L2116" i="2"/>
  <c r="K2116" i="2"/>
  <c r="J2116" i="2"/>
  <c r="I2116" i="2"/>
  <c r="H2116" i="2"/>
  <c r="G2116" i="2"/>
  <c r="F2116" i="2"/>
  <c r="E2116" i="2"/>
  <c r="D2116" i="2"/>
  <c r="C2116" i="2"/>
  <c r="B2116" i="2"/>
  <c r="O2115" i="2"/>
  <c r="N2115" i="2"/>
  <c r="M2115" i="2"/>
  <c r="L2115" i="2"/>
  <c r="K2115" i="2"/>
  <c r="J2115" i="2"/>
  <c r="I2115" i="2"/>
  <c r="H2115" i="2"/>
  <c r="G2115" i="2"/>
  <c r="F2115" i="2"/>
  <c r="E2115" i="2"/>
  <c r="D2115" i="2"/>
  <c r="C2115" i="2"/>
  <c r="B2115" i="2"/>
  <c r="O2114" i="2"/>
  <c r="N2114" i="2"/>
  <c r="M2114" i="2"/>
  <c r="L2114" i="2"/>
  <c r="K2114" i="2"/>
  <c r="J2114" i="2"/>
  <c r="I2114" i="2"/>
  <c r="H2114" i="2"/>
  <c r="G2114" i="2"/>
  <c r="F2114" i="2"/>
  <c r="E2114" i="2"/>
  <c r="D2114" i="2"/>
  <c r="C2114" i="2"/>
  <c r="B2114" i="2"/>
  <c r="O2113" i="2"/>
  <c r="N2113" i="2"/>
  <c r="M2113" i="2"/>
  <c r="L2113" i="2"/>
  <c r="K2113" i="2"/>
  <c r="J2113" i="2"/>
  <c r="I2113" i="2"/>
  <c r="H2113" i="2"/>
  <c r="G2113" i="2"/>
  <c r="F2113" i="2"/>
  <c r="E2113" i="2"/>
  <c r="D2113" i="2"/>
  <c r="C2113" i="2"/>
  <c r="B2113" i="2"/>
  <c r="O2112" i="2"/>
  <c r="N2112" i="2"/>
  <c r="M2112" i="2"/>
  <c r="L2112" i="2"/>
  <c r="K2112" i="2"/>
  <c r="J2112" i="2"/>
  <c r="I2112" i="2"/>
  <c r="H2112" i="2"/>
  <c r="G2112" i="2"/>
  <c r="F2112" i="2"/>
  <c r="E2112" i="2"/>
  <c r="D2112" i="2"/>
  <c r="C2112" i="2"/>
  <c r="B2112" i="2"/>
  <c r="O2111" i="2"/>
  <c r="N2111" i="2"/>
  <c r="M2111" i="2"/>
  <c r="L2111" i="2"/>
  <c r="K2111" i="2"/>
  <c r="J2111" i="2"/>
  <c r="I2111" i="2"/>
  <c r="H2111" i="2"/>
  <c r="G2111" i="2"/>
  <c r="F2111" i="2"/>
  <c r="E2111" i="2"/>
  <c r="D2111" i="2"/>
  <c r="C2111" i="2"/>
  <c r="B2111" i="2"/>
  <c r="O2110" i="2"/>
  <c r="N2110" i="2"/>
  <c r="M2110" i="2"/>
  <c r="L2110" i="2"/>
  <c r="K2110" i="2"/>
  <c r="J2110" i="2"/>
  <c r="I2110" i="2"/>
  <c r="H2110" i="2"/>
  <c r="G2110" i="2"/>
  <c r="F2110" i="2"/>
  <c r="E2110" i="2"/>
  <c r="D2110" i="2"/>
  <c r="C2110" i="2"/>
  <c r="B2110" i="2"/>
  <c r="O2109" i="2"/>
  <c r="N2109" i="2"/>
  <c r="M2109" i="2"/>
  <c r="L2109" i="2"/>
  <c r="K2109" i="2"/>
  <c r="J2109" i="2"/>
  <c r="I2109" i="2"/>
  <c r="H2109" i="2"/>
  <c r="G2109" i="2"/>
  <c r="F2109" i="2"/>
  <c r="E2109" i="2"/>
  <c r="D2109" i="2"/>
  <c r="C2109" i="2"/>
  <c r="B2109" i="2"/>
  <c r="O2108" i="2"/>
  <c r="N2108" i="2"/>
  <c r="M2108" i="2"/>
  <c r="L2108" i="2"/>
  <c r="K2108" i="2"/>
  <c r="J2108" i="2"/>
  <c r="I2108" i="2"/>
  <c r="H2108" i="2"/>
  <c r="G2108" i="2"/>
  <c r="F2108" i="2"/>
  <c r="E2108" i="2"/>
  <c r="D2108" i="2"/>
  <c r="C2108" i="2"/>
  <c r="B2108" i="2"/>
  <c r="O2107" i="2"/>
  <c r="N2107" i="2"/>
  <c r="M2107" i="2"/>
  <c r="L2107" i="2"/>
  <c r="K2107" i="2"/>
  <c r="J2107" i="2"/>
  <c r="I2107" i="2"/>
  <c r="H2107" i="2"/>
  <c r="G2107" i="2"/>
  <c r="F2107" i="2"/>
  <c r="E2107" i="2"/>
  <c r="D2107" i="2"/>
  <c r="C2107" i="2"/>
  <c r="B2107" i="2"/>
  <c r="O2106" i="2"/>
  <c r="N2106" i="2"/>
  <c r="M2106" i="2"/>
  <c r="L2106" i="2"/>
  <c r="K2106" i="2"/>
  <c r="J2106" i="2"/>
  <c r="I2106" i="2"/>
  <c r="H2106" i="2"/>
  <c r="G2106" i="2"/>
  <c r="F2106" i="2"/>
  <c r="E2106" i="2"/>
  <c r="D2106" i="2"/>
  <c r="C2106" i="2"/>
  <c r="B2106" i="2"/>
  <c r="O2105" i="2"/>
  <c r="N2105" i="2"/>
  <c r="M2105" i="2"/>
  <c r="L2105" i="2"/>
  <c r="K2105" i="2"/>
  <c r="J2105" i="2"/>
  <c r="I2105" i="2"/>
  <c r="H2105" i="2"/>
  <c r="G2105" i="2"/>
  <c r="F2105" i="2"/>
  <c r="E2105" i="2"/>
  <c r="D2105" i="2"/>
  <c r="C2105" i="2"/>
  <c r="B2105" i="2"/>
  <c r="O2104" i="2"/>
  <c r="N2104" i="2"/>
  <c r="M2104" i="2"/>
  <c r="L2104" i="2"/>
  <c r="K2104" i="2"/>
  <c r="J2104" i="2"/>
  <c r="I2104" i="2"/>
  <c r="H2104" i="2"/>
  <c r="G2104" i="2"/>
  <c r="F2104" i="2"/>
  <c r="E2104" i="2"/>
  <c r="D2104" i="2"/>
  <c r="C2104" i="2"/>
  <c r="B2104" i="2"/>
  <c r="O2103" i="2"/>
  <c r="N2103" i="2"/>
  <c r="M2103" i="2"/>
  <c r="L2103" i="2"/>
  <c r="K2103" i="2"/>
  <c r="J2103" i="2"/>
  <c r="I2103" i="2"/>
  <c r="H2103" i="2"/>
  <c r="G2103" i="2"/>
  <c r="F2103" i="2"/>
  <c r="E2103" i="2"/>
  <c r="D2103" i="2"/>
  <c r="C2103" i="2"/>
  <c r="B2103" i="2"/>
  <c r="O2102" i="2"/>
  <c r="N2102" i="2"/>
  <c r="M2102" i="2"/>
  <c r="L2102" i="2"/>
  <c r="K2102" i="2"/>
  <c r="J2102" i="2"/>
  <c r="I2102" i="2"/>
  <c r="H2102" i="2"/>
  <c r="G2102" i="2"/>
  <c r="F2102" i="2"/>
  <c r="E2102" i="2"/>
  <c r="D2102" i="2"/>
  <c r="C2102" i="2"/>
  <c r="B2102" i="2"/>
  <c r="O2101" i="2"/>
  <c r="N2101" i="2"/>
  <c r="M2101" i="2"/>
  <c r="L2101" i="2"/>
  <c r="K2101" i="2"/>
  <c r="J2101" i="2"/>
  <c r="I2101" i="2"/>
  <c r="H2101" i="2"/>
  <c r="G2101" i="2"/>
  <c r="F2101" i="2"/>
  <c r="E2101" i="2"/>
  <c r="D2101" i="2"/>
  <c r="C2101" i="2"/>
  <c r="B2101" i="2"/>
  <c r="O2100" i="2"/>
  <c r="N2100" i="2"/>
  <c r="M2100" i="2"/>
  <c r="L2100" i="2"/>
  <c r="K2100" i="2"/>
  <c r="J2100" i="2"/>
  <c r="I2100" i="2"/>
  <c r="H2100" i="2"/>
  <c r="G2100" i="2"/>
  <c r="F2100" i="2"/>
  <c r="E2100" i="2"/>
  <c r="D2100" i="2"/>
  <c r="C2100" i="2"/>
  <c r="B2100" i="2"/>
  <c r="O2099" i="2"/>
  <c r="N2099" i="2"/>
  <c r="M2099" i="2"/>
  <c r="L2099" i="2"/>
  <c r="K2099" i="2"/>
  <c r="J2099" i="2"/>
  <c r="I2099" i="2"/>
  <c r="H2099" i="2"/>
  <c r="G2099" i="2"/>
  <c r="F2099" i="2"/>
  <c r="E2099" i="2"/>
  <c r="D2099" i="2"/>
  <c r="C2099" i="2"/>
  <c r="B2099" i="2"/>
  <c r="O2098" i="2"/>
  <c r="N2098" i="2"/>
  <c r="M2098" i="2"/>
  <c r="L2098" i="2"/>
  <c r="K2098" i="2"/>
  <c r="J2098" i="2"/>
  <c r="I2098" i="2"/>
  <c r="H2098" i="2"/>
  <c r="G2098" i="2"/>
  <c r="F2098" i="2"/>
  <c r="E2098" i="2"/>
  <c r="D2098" i="2"/>
  <c r="C2098" i="2"/>
  <c r="B2098" i="2"/>
  <c r="O2097" i="2"/>
  <c r="N2097" i="2"/>
  <c r="M2097" i="2"/>
  <c r="L2097" i="2"/>
  <c r="K2097" i="2"/>
  <c r="J2097" i="2"/>
  <c r="I2097" i="2"/>
  <c r="H2097" i="2"/>
  <c r="G2097" i="2"/>
  <c r="F2097" i="2"/>
  <c r="E2097" i="2"/>
  <c r="D2097" i="2"/>
  <c r="C2097" i="2"/>
  <c r="B2097" i="2"/>
  <c r="O2096" i="2"/>
  <c r="N2096" i="2"/>
  <c r="M2096" i="2"/>
  <c r="L2096" i="2"/>
  <c r="K2096" i="2"/>
  <c r="J2096" i="2"/>
  <c r="I2096" i="2"/>
  <c r="H2096" i="2"/>
  <c r="G2096" i="2"/>
  <c r="F2096" i="2"/>
  <c r="E2096" i="2"/>
  <c r="D2096" i="2"/>
  <c r="C2096" i="2"/>
  <c r="B2096" i="2"/>
  <c r="O2095" i="2"/>
  <c r="N2095" i="2"/>
  <c r="M2095" i="2"/>
  <c r="L2095" i="2"/>
  <c r="K2095" i="2"/>
  <c r="J2095" i="2"/>
  <c r="I2095" i="2"/>
  <c r="H2095" i="2"/>
  <c r="G2095" i="2"/>
  <c r="F2095" i="2"/>
  <c r="E2095" i="2"/>
  <c r="D2095" i="2"/>
  <c r="C2095" i="2"/>
  <c r="B2095" i="2"/>
  <c r="O2094" i="2"/>
  <c r="N2094" i="2"/>
  <c r="M2094" i="2"/>
  <c r="L2094" i="2"/>
  <c r="K2094" i="2"/>
  <c r="J2094" i="2"/>
  <c r="I2094" i="2"/>
  <c r="H2094" i="2"/>
  <c r="G2094" i="2"/>
  <c r="F2094" i="2"/>
  <c r="E2094" i="2"/>
  <c r="D2094" i="2"/>
  <c r="C2094" i="2"/>
  <c r="B2094" i="2"/>
  <c r="O2093" i="2"/>
  <c r="N2093" i="2"/>
  <c r="M2093" i="2"/>
  <c r="L2093" i="2"/>
  <c r="K2093" i="2"/>
  <c r="J2093" i="2"/>
  <c r="I2093" i="2"/>
  <c r="H2093" i="2"/>
  <c r="G2093" i="2"/>
  <c r="F2093" i="2"/>
  <c r="E2093" i="2"/>
  <c r="D2093" i="2"/>
  <c r="C2093" i="2"/>
  <c r="B2093" i="2"/>
  <c r="O2092" i="2"/>
  <c r="N2092" i="2"/>
  <c r="M2092" i="2"/>
  <c r="L2092" i="2"/>
  <c r="K2092" i="2"/>
  <c r="J2092" i="2"/>
  <c r="I2092" i="2"/>
  <c r="H2092" i="2"/>
  <c r="G2092" i="2"/>
  <c r="F2092" i="2"/>
  <c r="E2092" i="2"/>
  <c r="D2092" i="2"/>
  <c r="C2092" i="2"/>
  <c r="B2092" i="2"/>
  <c r="O2091" i="2"/>
  <c r="N2091" i="2"/>
  <c r="M2091" i="2"/>
  <c r="L2091" i="2"/>
  <c r="K2091" i="2"/>
  <c r="J2091" i="2"/>
  <c r="I2091" i="2"/>
  <c r="H2091" i="2"/>
  <c r="G2091" i="2"/>
  <c r="F2091" i="2"/>
  <c r="E2091" i="2"/>
  <c r="D2091" i="2"/>
  <c r="C2091" i="2"/>
  <c r="B2091" i="2"/>
  <c r="O2090" i="2"/>
  <c r="N2090" i="2"/>
  <c r="M2090" i="2"/>
  <c r="L2090" i="2"/>
  <c r="K2090" i="2"/>
  <c r="J2090" i="2"/>
  <c r="I2090" i="2"/>
  <c r="H2090" i="2"/>
  <c r="G2090" i="2"/>
  <c r="F2090" i="2"/>
  <c r="E2090" i="2"/>
  <c r="D2090" i="2"/>
  <c r="C2090" i="2"/>
  <c r="B2090" i="2"/>
  <c r="O2089" i="2"/>
  <c r="N2089" i="2"/>
  <c r="M2089" i="2"/>
  <c r="L2089" i="2"/>
  <c r="K2089" i="2"/>
  <c r="J2089" i="2"/>
  <c r="I2089" i="2"/>
  <c r="H2089" i="2"/>
  <c r="G2089" i="2"/>
  <c r="F2089" i="2"/>
  <c r="E2089" i="2"/>
  <c r="D2089" i="2"/>
  <c r="C2089" i="2"/>
  <c r="B2089" i="2"/>
  <c r="O2088" i="2"/>
  <c r="N2088" i="2"/>
  <c r="M2088" i="2"/>
  <c r="L2088" i="2"/>
  <c r="K2088" i="2"/>
  <c r="J2088" i="2"/>
  <c r="I2088" i="2"/>
  <c r="H2088" i="2"/>
  <c r="G2088" i="2"/>
  <c r="F2088" i="2"/>
  <c r="E2088" i="2"/>
  <c r="D2088" i="2"/>
  <c r="C2088" i="2"/>
  <c r="B2088" i="2"/>
  <c r="O2087" i="2"/>
  <c r="N2087" i="2"/>
  <c r="M2087" i="2"/>
  <c r="L2087" i="2"/>
  <c r="K2087" i="2"/>
  <c r="J2087" i="2"/>
  <c r="I2087" i="2"/>
  <c r="H2087" i="2"/>
  <c r="G2087" i="2"/>
  <c r="F2087" i="2"/>
  <c r="E2087" i="2"/>
  <c r="D2087" i="2"/>
  <c r="C2087" i="2"/>
  <c r="B2087" i="2"/>
  <c r="O2086" i="2"/>
  <c r="N2086" i="2"/>
  <c r="M2086" i="2"/>
  <c r="L2086" i="2"/>
  <c r="K2086" i="2"/>
  <c r="J2086" i="2"/>
  <c r="I2086" i="2"/>
  <c r="H2086" i="2"/>
  <c r="G2086" i="2"/>
  <c r="F2086" i="2"/>
  <c r="E2086" i="2"/>
  <c r="D2086" i="2"/>
  <c r="C2086" i="2"/>
  <c r="B2086" i="2"/>
  <c r="O2085" i="2"/>
  <c r="N2085" i="2"/>
  <c r="M2085" i="2"/>
  <c r="L2085" i="2"/>
  <c r="K2085" i="2"/>
  <c r="J2085" i="2"/>
  <c r="I2085" i="2"/>
  <c r="H2085" i="2"/>
  <c r="G2085" i="2"/>
  <c r="F2085" i="2"/>
  <c r="E2085" i="2"/>
  <c r="D2085" i="2"/>
  <c r="C2085" i="2"/>
  <c r="B2085" i="2"/>
  <c r="O2084" i="2"/>
  <c r="N2084" i="2"/>
  <c r="M2084" i="2"/>
  <c r="L2084" i="2"/>
  <c r="K2084" i="2"/>
  <c r="J2084" i="2"/>
  <c r="I2084" i="2"/>
  <c r="H2084" i="2"/>
  <c r="G2084" i="2"/>
  <c r="F2084" i="2"/>
  <c r="E2084" i="2"/>
  <c r="D2084" i="2"/>
  <c r="C2084" i="2"/>
  <c r="B2084" i="2"/>
  <c r="O2083" i="2"/>
  <c r="N2083" i="2"/>
  <c r="M2083" i="2"/>
  <c r="L2083" i="2"/>
  <c r="K2083" i="2"/>
  <c r="J2083" i="2"/>
  <c r="I2083" i="2"/>
  <c r="H2083" i="2"/>
  <c r="G2083" i="2"/>
  <c r="F2083" i="2"/>
  <c r="E2083" i="2"/>
  <c r="D2083" i="2"/>
  <c r="C2083" i="2"/>
  <c r="B2083" i="2"/>
  <c r="O2082" i="2"/>
  <c r="N2082" i="2"/>
  <c r="M2082" i="2"/>
  <c r="L2082" i="2"/>
  <c r="K2082" i="2"/>
  <c r="J2082" i="2"/>
  <c r="I2082" i="2"/>
  <c r="H2082" i="2"/>
  <c r="G2082" i="2"/>
  <c r="F2082" i="2"/>
  <c r="E2082" i="2"/>
  <c r="D2082" i="2"/>
  <c r="C2082" i="2"/>
  <c r="B2082" i="2"/>
  <c r="O2081" i="2"/>
  <c r="N2081" i="2"/>
  <c r="M2081" i="2"/>
  <c r="L2081" i="2"/>
  <c r="K2081" i="2"/>
  <c r="J2081" i="2"/>
  <c r="I2081" i="2"/>
  <c r="H2081" i="2"/>
  <c r="G2081" i="2"/>
  <c r="F2081" i="2"/>
  <c r="E2081" i="2"/>
  <c r="D2081" i="2"/>
  <c r="C2081" i="2"/>
  <c r="B2081" i="2"/>
  <c r="O2080" i="2"/>
  <c r="N2080" i="2"/>
  <c r="M2080" i="2"/>
  <c r="L2080" i="2"/>
  <c r="K2080" i="2"/>
  <c r="J2080" i="2"/>
  <c r="I2080" i="2"/>
  <c r="H2080" i="2"/>
  <c r="G2080" i="2"/>
  <c r="F2080" i="2"/>
  <c r="E2080" i="2"/>
  <c r="D2080" i="2"/>
  <c r="C2080" i="2"/>
  <c r="B2080" i="2"/>
  <c r="O2079" i="2"/>
  <c r="N2079" i="2"/>
  <c r="M2079" i="2"/>
  <c r="L2079" i="2"/>
  <c r="K2079" i="2"/>
  <c r="J2079" i="2"/>
  <c r="I2079" i="2"/>
  <c r="H2079" i="2"/>
  <c r="G2079" i="2"/>
  <c r="F2079" i="2"/>
  <c r="E2079" i="2"/>
  <c r="D2079" i="2"/>
  <c r="C2079" i="2"/>
  <c r="B2079" i="2"/>
  <c r="O2078" i="2"/>
  <c r="N2078" i="2"/>
  <c r="M2078" i="2"/>
  <c r="L2078" i="2"/>
  <c r="K2078" i="2"/>
  <c r="J2078" i="2"/>
  <c r="I2078" i="2"/>
  <c r="H2078" i="2"/>
  <c r="G2078" i="2"/>
  <c r="F2078" i="2"/>
  <c r="E2078" i="2"/>
  <c r="D2078" i="2"/>
  <c r="C2078" i="2"/>
  <c r="B2078" i="2"/>
  <c r="O2077" i="2"/>
  <c r="N2077" i="2"/>
  <c r="M2077" i="2"/>
  <c r="L2077" i="2"/>
  <c r="K2077" i="2"/>
  <c r="J2077" i="2"/>
  <c r="I2077" i="2"/>
  <c r="H2077" i="2"/>
  <c r="G2077" i="2"/>
  <c r="F2077" i="2"/>
  <c r="E2077" i="2"/>
  <c r="D2077" i="2"/>
  <c r="C2077" i="2"/>
  <c r="B2077" i="2"/>
  <c r="O2076" i="2"/>
  <c r="N2076" i="2"/>
  <c r="M2076" i="2"/>
  <c r="L2076" i="2"/>
  <c r="K2076" i="2"/>
  <c r="J2076" i="2"/>
  <c r="I2076" i="2"/>
  <c r="H2076" i="2"/>
  <c r="G2076" i="2"/>
  <c r="F2076" i="2"/>
  <c r="E2076" i="2"/>
  <c r="D2076" i="2"/>
  <c r="C2076" i="2"/>
  <c r="B2076" i="2"/>
  <c r="O2075" i="2"/>
  <c r="N2075" i="2"/>
  <c r="M2075" i="2"/>
  <c r="L2075" i="2"/>
  <c r="K2075" i="2"/>
  <c r="J2075" i="2"/>
  <c r="I2075" i="2"/>
  <c r="H2075" i="2"/>
  <c r="G2075" i="2"/>
  <c r="F2075" i="2"/>
  <c r="E2075" i="2"/>
  <c r="D2075" i="2"/>
  <c r="C2075" i="2"/>
  <c r="B2075" i="2"/>
  <c r="O2074" i="2"/>
  <c r="N2074" i="2"/>
  <c r="M2074" i="2"/>
  <c r="L2074" i="2"/>
  <c r="K2074" i="2"/>
  <c r="J2074" i="2"/>
  <c r="I2074" i="2"/>
  <c r="H2074" i="2"/>
  <c r="G2074" i="2"/>
  <c r="F2074" i="2"/>
  <c r="E2074" i="2"/>
  <c r="D2074" i="2"/>
  <c r="C2074" i="2"/>
  <c r="B2074" i="2"/>
  <c r="O2073" i="2"/>
  <c r="N2073" i="2"/>
  <c r="M2073" i="2"/>
  <c r="L2073" i="2"/>
  <c r="K2073" i="2"/>
  <c r="J2073" i="2"/>
  <c r="I2073" i="2"/>
  <c r="H2073" i="2"/>
  <c r="G2073" i="2"/>
  <c r="F2073" i="2"/>
  <c r="E2073" i="2"/>
  <c r="D2073" i="2"/>
  <c r="C2073" i="2"/>
  <c r="B2073" i="2"/>
  <c r="O2072" i="2"/>
  <c r="N2072" i="2"/>
  <c r="M2072" i="2"/>
  <c r="L2072" i="2"/>
  <c r="K2072" i="2"/>
  <c r="J2072" i="2"/>
  <c r="I2072" i="2"/>
  <c r="H2072" i="2"/>
  <c r="G2072" i="2"/>
  <c r="F2072" i="2"/>
  <c r="E2072" i="2"/>
  <c r="D2072" i="2"/>
  <c r="C2072" i="2"/>
  <c r="B2072" i="2"/>
  <c r="O2071" i="2"/>
  <c r="N2071" i="2"/>
  <c r="M2071" i="2"/>
  <c r="L2071" i="2"/>
  <c r="K2071" i="2"/>
  <c r="J2071" i="2"/>
  <c r="I2071" i="2"/>
  <c r="H2071" i="2"/>
  <c r="G2071" i="2"/>
  <c r="F2071" i="2"/>
  <c r="E2071" i="2"/>
  <c r="D2071" i="2"/>
  <c r="C2071" i="2"/>
  <c r="B2071" i="2"/>
  <c r="O2070" i="2"/>
  <c r="N2070" i="2"/>
  <c r="M2070" i="2"/>
  <c r="L2070" i="2"/>
  <c r="K2070" i="2"/>
  <c r="J2070" i="2"/>
  <c r="I2070" i="2"/>
  <c r="H2070" i="2"/>
  <c r="G2070" i="2"/>
  <c r="F2070" i="2"/>
  <c r="E2070" i="2"/>
  <c r="D2070" i="2"/>
  <c r="C2070" i="2"/>
  <c r="B2070" i="2"/>
  <c r="O2069" i="2"/>
  <c r="N2069" i="2"/>
  <c r="M2069" i="2"/>
  <c r="L2069" i="2"/>
  <c r="K2069" i="2"/>
  <c r="J2069" i="2"/>
  <c r="I2069" i="2"/>
  <c r="H2069" i="2"/>
  <c r="G2069" i="2"/>
  <c r="F2069" i="2"/>
  <c r="E2069" i="2"/>
  <c r="D2069" i="2"/>
  <c r="C2069" i="2"/>
  <c r="B2069" i="2"/>
  <c r="O2068" i="2"/>
  <c r="N2068" i="2"/>
  <c r="M2068" i="2"/>
  <c r="L2068" i="2"/>
  <c r="K2068" i="2"/>
  <c r="J2068" i="2"/>
  <c r="I2068" i="2"/>
  <c r="H2068" i="2"/>
  <c r="G2068" i="2"/>
  <c r="F2068" i="2"/>
  <c r="E2068" i="2"/>
  <c r="D2068" i="2"/>
  <c r="C2068" i="2"/>
  <c r="B2068" i="2"/>
  <c r="O2067" i="2"/>
  <c r="N2067" i="2"/>
  <c r="M2067" i="2"/>
  <c r="L2067" i="2"/>
  <c r="K2067" i="2"/>
  <c r="J2067" i="2"/>
  <c r="I2067" i="2"/>
  <c r="H2067" i="2"/>
  <c r="G2067" i="2"/>
  <c r="F2067" i="2"/>
  <c r="E2067" i="2"/>
  <c r="D2067" i="2"/>
  <c r="C2067" i="2"/>
  <c r="B2067" i="2"/>
  <c r="O2066" i="2"/>
  <c r="N2066" i="2"/>
  <c r="M2066" i="2"/>
  <c r="L2066" i="2"/>
  <c r="K2066" i="2"/>
  <c r="J2066" i="2"/>
  <c r="I2066" i="2"/>
  <c r="H2066" i="2"/>
  <c r="G2066" i="2"/>
  <c r="F2066" i="2"/>
  <c r="E2066" i="2"/>
  <c r="D2066" i="2"/>
  <c r="C2066" i="2"/>
  <c r="B2066" i="2"/>
  <c r="O2065" i="2"/>
  <c r="N2065" i="2"/>
  <c r="M2065" i="2"/>
  <c r="L2065" i="2"/>
  <c r="K2065" i="2"/>
  <c r="J2065" i="2"/>
  <c r="I2065" i="2"/>
  <c r="H2065" i="2"/>
  <c r="G2065" i="2"/>
  <c r="F2065" i="2"/>
  <c r="E2065" i="2"/>
  <c r="D2065" i="2"/>
  <c r="C2065" i="2"/>
  <c r="B2065" i="2"/>
  <c r="O2064" i="2"/>
  <c r="N2064" i="2"/>
  <c r="M2064" i="2"/>
  <c r="L2064" i="2"/>
  <c r="K2064" i="2"/>
  <c r="J2064" i="2"/>
  <c r="I2064" i="2"/>
  <c r="H2064" i="2"/>
  <c r="G2064" i="2"/>
  <c r="F2064" i="2"/>
  <c r="E2064" i="2"/>
  <c r="D2064" i="2"/>
  <c r="C2064" i="2"/>
  <c r="B2064" i="2"/>
  <c r="O2063" i="2"/>
  <c r="N2063" i="2"/>
  <c r="M2063" i="2"/>
  <c r="L2063" i="2"/>
  <c r="K2063" i="2"/>
  <c r="J2063" i="2"/>
  <c r="I2063" i="2"/>
  <c r="H2063" i="2"/>
  <c r="G2063" i="2"/>
  <c r="F2063" i="2"/>
  <c r="E2063" i="2"/>
  <c r="D2063" i="2"/>
  <c r="C2063" i="2"/>
  <c r="B2063" i="2"/>
  <c r="O2062" i="2"/>
  <c r="N2062" i="2"/>
  <c r="M2062" i="2"/>
  <c r="L2062" i="2"/>
  <c r="K2062" i="2"/>
  <c r="J2062" i="2"/>
  <c r="I2062" i="2"/>
  <c r="H2062" i="2"/>
  <c r="G2062" i="2"/>
  <c r="F2062" i="2"/>
  <c r="E2062" i="2"/>
  <c r="D2062" i="2"/>
  <c r="C2062" i="2"/>
  <c r="B2062" i="2"/>
  <c r="O2061" i="2"/>
  <c r="N2061" i="2"/>
  <c r="M2061" i="2"/>
  <c r="L2061" i="2"/>
  <c r="K2061" i="2"/>
  <c r="J2061" i="2"/>
  <c r="I2061" i="2"/>
  <c r="H2061" i="2"/>
  <c r="G2061" i="2"/>
  <c r="F2061" i="2"/>
  <c r="E2061" i="2"/>
  <c r="D2061" i="2"/>
  <c r="C2061" i="2"/>
  <c r="B2061" i="2"/>
  <c r="O2060" i="2"/>
  <c r="N2060" i="2"/>
  <c r="M2060" i="2"/>
  <c r="L2060" i="2"/>
  <c r="K2060" i="2"/>
  <c r="J2060" i="2"/>
  <c r="I2060" i="2"/>
  <c r="H2060" i="2"/>
  <c r="G2060" i="2"/>
  <c r="F2060" i="2"/>
  <c r="E2060" i="2"/>
  <c r="D2060" i="2"/>
  <c r="C2060" i="2"/>
  <c r="B2060" i="2"/>
  <c r="O2059" i="2"/>
  <c r="N2059" i="2"/>
  <c r="M2059" i="2"/>
  <c r="L2059" i="2"/>
  <c r="K2059" i="2"/>
  <c r="J2059" i="2"/>
  <c r="I2059" i="2"/>
  <c r="H2059" i="2"/>
  <c r="G2059" i="2"/>
  <c r="F2059" i="2"/>
  <c r="E2059" i="2"/>
  <c r="D2059" i="2"/>
  <c r="C2059" i="2"/>
  <c r="B2059" i="2"/>
  <c r="O2058" i="2"/>
  <c r="N2058" i="2"/>
  <c r="M2058" i="2"/>
  <c r="L2058" i="2"/>
  <c r="K2058" i="2"/>
  <c r="J2058" i="2"/>
  <c r="I2058" i="2"/>
  <c r="H2058" i="2"/>
  <c r="G2058" i="2"/>
  <c r="F2058" i="2"/>
  <c r="E2058" i="2"/>
  <c r="D2058" i="2"/>
  <c r="C2058" i="2"/>
  <c r="B2058" i="2"/>
  <c r="O2057" i="2"/>
  <c r="N2057" i="2"/>
  <c r="M2057" i="2"/>
  <c r="L2057" i="2"/>
  <c r="K2057" i="2"/>
  <c r="J2057" i="2"/>
  <c r="I2057" i="2"/>
  <c r="H2057" i="2"/>
  <c r="G2057" i="2"/>
  <c r="F2057" i="2"/>
  <c r="E2057" i="2"/>
  <c r="D2057" i="2"/>
  <c r="C2057" i="2"/>
  <c r="B2057" i="2"/>
  <c r="O2056" i="2"/>
  <c r="N2056" i="2"/>
  <c r="M2056" i="2"/>
  <c r="L2056" i="2"/>
  <c r="K2056" i="2"/>
  <c r="J2056" i="2"/>
  <c r="I2056" i="2"/>
  <c r="H2056" i="2"/>
  <c r="G2056" i="2"/>
  <c r="F2056" i="2"/>
  <c r="E2056" i="2"/>
  <c r="D2056" i="2"/>
  <c r="C2056" i="2"/>
  <c r="B2056" i="2"/>
  <c r="O2055" i="2"/>
  <c r="N2055" i="2"/>
  <c r="M2055" i="2"/>
  <c r="L2055" i="2"/>
  <c r="K2055" i="2"/>
  <c r="J2055" i="2"/>
  <c r="I2055" i="2"/>
  <c r="H2055" i="2"/>
  <c r="G2055" i="2"/>
  <c r="F2055" i="2"/>
  <c r="E2055" i="2"/>
  <c r="D2055" i="2"/>
  <c r="C2055" i="2"/>
  <c r="B2055" i="2"/>
  <c r="O2054" i="2"/>
  <c r="N2054" i="2"/>
  <c r="M2054" i="2"/>
  <c r="L2054" i="2"/>
  <c r="K2054" i="2"/>
  <c r="J2054" i="2"/>
  <c r="I2054" i="2"/>
  <c r="H2054" i="2"/>
  <c r="G2054" i="2"/>
  <c r="F2054" i="2"/>
  <c r="E2054" i="2"/>
  <c r="D2054" i="2"/>
  <c r="C2054" i="2"/>
  <c r="B2054" i="2"/>
  <c r="O2053" i="2"/>
  <c r="N2053" i="2"/>
  <c r="M2053" i="2"/>
  <c r="L2053" i="2"/>
  <c r="K2053" i="2"/>
  <c r="J2053" i="2"/>
  <c r="I2053" i="2"/>
  <c r="H2053" i="2"/>
  <c r="G2053" i="2"/>
  <c r="F2053" i="2"/>
  <c r="E2053" i="2"/>
  <c r="D2053" i="2"/>
  <c r="C2053" i="2"/>
  <c r="B2053" i="2"/>
  <c r="O2052" i="2"/>
  <c r="N2052" i="2"/>
  <c r="M2052" i="2"/>
  <c r="L2052" i="2"/>
  <c r="K2052" i="2"/>
  <c r="J2052" i="2"/>
  <c r="I2052" i="2"/>
  <c r="H2052" i="2"/>
  <c r="G2052" i="2"/>
  <c r="F2052" i="2"/>
  <c r="E2052" i="2"/>
  <c r="D2052" i="2"/>
  <c r="C2052" i="2"/>
  <c r="B2052" i="2"/>
  <c r="O2051" i="2"/>
  <c r="N2051" i="2"/>
  <c r="M2051" i="2"/>
  <c r="L2051" i="2"/>
  <c r="K2051" i="2"/>
  <c r="J2051" i="2"/>
  <c r="I2051" i="2"/>
  <c r="H2051" i="2"/>
  <c r="G2051" i="2"/>
  <c r="F2051" i="2"/>
  <c r="E2051" i="2"/>
  <c r="D2051" i="2"/>
  <c r="C2051" i="2"/>
  <c r="B2051" i="2"/>
  <c r="O2050" i="2"/>
  <c r="N2050" i="2"/>
  <c r="M2050" i="2"/>
  <c r="L2050" i="2"/>
  <c r="K2050" i="2"/>
  <c r="J2050" i="2"/>
  <c r="I2050" i="2"/>
  <c r="H2050" i="2"/>
  <c r="G2050" i="2"/>
  <c r="F2050" i="2"/>
  <c r="E2050" i="2"/>
  <c r="D2050" i="2"/>
  <c r="C2050" i="2"/>
  <c r="B2050" i="2"/>
  <c r="O2049" i="2"/>
  <c r="N2049" i="2"/>
  <c r="M2049" i="2"/>
  <c r="L2049" i="2"/>
  <c r="K2049" i="2"/>
  <c r="J2049" i="2"/>
  <c r="I2049" i="2"/>
  <c r="H2049" i="2"/>
  <c r="G2049" i="2"/>
  <c r="F2049" i="2"/>
  <c r="E2049" i="2"/>
  <c r="D2049" i="2"/>
  <c r="C2049" i="2"/>
  <c r="B2049" i="2"/>
  <c r="O2048" i="2"/>
  <c r="N2048" i="2"/>
  <c r="M2048" i="2"/>
  <c r="L2048" i="2"/>
  <c r="K2048" i="2"/>
  <c r="J2048" i="2"/>
  <c r="I2048" i="2"/>
  <c r="H2048" i="2"/>
  <c r="G2048" i="2"/>
  <c r="F2048" i="2"/>
  <c r="E2048" i="2"/>
  <c r="D2048" i="2"/>
  <c r="C2048" i="2"/>
  <c r="B2048" i="2"/>
  <c r="O2047" i="2"/>
  <c r="N2047" i="2"/>
  <c r="M2047" i="2"/>
  <c r="L2047" i="2"/>
  <c r="K2047" i="2"/>
  <c r="J2047" i="2"/>
  <c r="I2047" i="2"/>
  <c r="H2047" i="2"/>
  <c r="G2047" i="2"/>
  <c r="F2047" i="2"/>
  <c r="E2047" i="2"/>
  <c r="D2047" i="2"/>
  <c r="C2047" i="2"/>
  <c r="B2047" i="2"/>
  <c r="O2046" i="2"/>
  <c r="N2046" i="2"/>
  <c r="M2046" i="2"/>
  <c r="L2046" i="2"/>
  <c r="K2046" i="2"/>
  <c r="J2046" i="2"/>
  <c r="I2046" i="2"/>
  <c r="H2046" i="2"/>
  <c r="G2046" i="2"/>
  <c r="F2046" i="2"/>
  <c r="E2046" i="2"/>
  <c r="D2046" i="2"/>
  <c r="C2046" i="2"/>
  <c r="B2046" i="2"/>
  <c r="O2045" i="2"/>
  <c r="N2045" i="2"/>
  <c r="M2045" i="2"/>
  <c r="L2045" i="2"/>
  <c r="K2045" i="2"/>
  <c r="J2045" i="2"/>
  <c r="I2045" i="2"/>
  <c r="H2045" i="2"/>
  <c r="G2045" i="2"/>
  <c r="F2045" i="2"/>
  <c r="E2045" i="2"/>
  <c r="D2045" i="2"/>
  <c r="C2045" i="2"/>
  <c r="B2045" i="2"/>
  <c r="O2044" i="2"/>
  <c r="N2044" i="2"/>
  <c r="M2044" i="2"/>
  <c r="L2044" i="2"/>
  <c r="K2044" i="2"/>
  <c r="J2044" i="2"/>
  <c r="I2044" i="2"/>
  <c r="H2044" i="2"/>
  <c r="G2044" i="2"/>
  <c r="F2044" i="2"/>
  <c r="E2044" i="2"/>
  <c r="D2044" i="2"/>
  <c r="C2044" i="2"/>
  <c r="B2044" i="2"/>
  <c r="O2043" i="2"/>
  <c r="N2043" i="2"/>
  <c r="M2043" i="2"/>
  <c r="L2043" i="2"/>
  <c r="K2043" i="2"/>
  <c r="J2043" i="2"/>
  <c r="I2043" i="2"/>
  <c r="H2043" i="2"/>
  <c r="G2043" i="2"/>
  <c r="F2043" i="2"/>
  <c r="E2043" i="2"/>
  <c r="D2043" i="2"/>
  <c r="C2043" i="2"/>
  <c r="B2043" i="2"/>
  <c r="O2042" i="2"/>
  <c r="N2042" i="2"/>
  <c r="M2042" i="2"/>
  <c r="L2042" i="2"/>
  <c r="K2042" i="2"/>
  <c r="J2042" i="2"/>
  <c r="I2042" i="2"/>
  <c r="H2042" i="2"/>
  <c r="G2042" i="2"/>
  <c r="F2042" i="2"/>
  <c r="E2042" i="2"/>
  <c r="D2042" i="2"/>
  <c r="C2042" i="2"/>
  <c r="B2042" i="2"/>
  <c r="O2041" i="2"/>
  <c r="N2041" i="2"/>
  <c r="M2041" i="2"/>
  <c r="L2041" i="2"/>
  <c r="K2041" i="2"/>
  <c r="J2041" i="2"/>
  <c r="I2041" i="2"/>
  <c r="H2041" i="2"/>
  <c r="G2041" i="2"/>
  <c r="F2041" i="2"/>
  <c r="E2041" i="2"/>
  <c r="D2041" i="2"/>
  <c r="C2041" i="2"/>
  <c r="B2041" i="2"/>
  <c r="O2040" i="2"/>
  <c r="N2040" i="2"/>
  <c r="M2040" i="2"/>
  <c r="L2040" i="2"/>
  <c r="K2040" i="2"/>
  <c r="J2040" i="2"/>
  <c r="I2040" i="2"/>
  <c r="H2040" i="2"/>
  <c r="G2040" i="2"/>
  <c r="F2040" i="2"/>
  <c r="E2040" i="2"/>
  <c r="D2040" i="2"/>
  <c r="C2040" i="2"/>
  <c r="B2040" i="2"/>
  <c r="O2039" i="2"/>
  <c r="N2039" i="2"/>
  <c r="M2039" i="2"/>
  <c r="L2039" i="2"/>
  <c r="K2039" i="2"/>
  <c r="J2039" i="2"/>
  <c r="I2039" i="2"/>
  <c r="H2039" i="2"/>
  <c r="G2039" i="2"/>
  <c r="F2039" i="2"/>
  <c r="E2039" i="2"/>
  <c r="D2039" i="2"/>
  <c r="C2039" i="2"/>
  <c r="B2039" i="2"/>
  <c r="O2038" i="2"/>
  <c r="N2038" i="2"/>
  <c r="M2038" i="2"/>
  <c r="L2038" i="2"/>
  <c r="K2038" i="2"/>
  <c r="J2038" i="2"/>
  <c r="I2038" i="2"/>
  <c r="H2038" i="2"/>
  <c r="G2038" i="2"/>
  <c r="F2038" i="2"/>
  <c r="E2038" i="2"/>
  <c r="D2038" i="2"/>
  <c r="C2038" i="2"/>
  <c r="B2038" i="2"/>
  <c r="O2037" i="2"/>
  <c r="N2037" i="2"/>
  <c r="M2037" i="2"/>
  <c r="L2037" i="2"/>
  <c r="K2037" i="2"/>
  <c r="J2037" i="2"/>
  <c r="I2037" i="2"/>
  <c r="H2037" i="2"/>
  <c r="G2037" i="2"/>
  <c r="F2037" i="2"/>
  <c r="E2037" i="2"/>
  <c r="D2037" i="2"/>
  <c r="C2037" i="2"/>
  <c r="B2037" i="2"/>
  <c r="O2036" i="2"/>
  <c r="N2036" i="2"/>
  <c r="M2036" i="2"/>
  <c r="L2036" i="2"/>
  <c r="K2036" i="2"/>
  <c r="J2036" i="2"/>
  <c r="I2036" i="2"/>
  <c r="H2036" i="2"/>
  <c r="G2036" i="2"/>
  <c r="F2036" i="2"/>
  <c r="E2036" i="2"/>
  <c r="D2036" i="2"/>
  <c r="C2036" i="2"/>
  <c r="B2036" i="2"/>
  <c r="O2035" i="2"/>
  <c r="N2035" i="2"/>
  <c r="M2035" i="2"/>
  <c r="L2035" i="2"/>
  <c r="K2035" i="2"/>
  <c r="J2035" i="2"/>
  <c r="I2035" i="2"/>
  <c r="H2035" i="2"/>
  <c r="G2035" i="2"/>
  <c r="F2035" i="2"/>
  <c r="E2035" i="2"/>
  <c r="D2035" i="2"/>
  <c r="C2035" i="2"/>
  <c r="B2035" i="2"/>
  <c r="O2034" i="2"/>
  <c r="N2034" i="2"/>
  <c r="M2034" i="2"/>
  <c r="L2034" i="2"/>
  <c r="K2034" i="2"/>
  <c r="J2034" i="2"/>
  <c r="I2034" i="2"/>
  <c r="H2034" i="2"/>
  <c r="G2034" i="2"/>
  <c r="F2034" i="2"/>
  <c r="E2034" i="2"/>
  <c r="D2034" i="2"/>
  <c r="C2034" i="2"/>
  <c r="B2034" i="2"/>
  <c r="O2033" i="2"/>
  <c r="N2033" i="2"/>
  <c r="M2033" i="2"/>
  <c r="L2033" i="2"/>
  <c r="K2033" i="2"/>
  <c r="J2033" i="2"/>
  <c r="I2033" i="2"/>
  <c r="H2033" i="2"/>
  <c r="G2033" i="2"/>
  <c r="F2033" i="2"/>
  <c r="E2033" i="2"/>
  <c r="D2033" i="2"/>
  <c r="C2033" i="2"/>
  <c r="B2033" i="2"/>
  <c r="O2032" i="2"/>
  <c r="N2032" i="2"/>
  <c r="M2032" i="2"/>
  <c r="L2032" i="2"/>
  <c r="K2032" i="2"/>
  <c r="J2032" i="2"/>
  <c r="I2032" i="2"/>
  <c r="H2032" i="2"/>
  <c r="G2032" i="2"/>
  <c r="F2032" i="2"/>
  <c r="E2032" i="2"/>
  <c r="D2032" i="2"/>
  <c r="C2032" i="2"/>
  <c r="B2032" i="2"/>
  <c r="O2031" i="2"/>
  <c r="N2031" i="2"/>
  <c r="M2031" i="2"/>
  <c r="L2031" i="2"/>
  <c r="K2031" i="2"/>
  <c r="J2031" i="2"/>
  <c r="I2031" i="2"/>
  <c r="H2031" i="2"/>
  <c r="G2031" i="2"/>
  <c r="F2031" i="2"/>
  <c r="E2031" i="2"/>
  <c r="D2031" i="2"/>
  <c r="C2031" i="2"/>
  <c r="B2031" i="2"/>
  <c r="O2030" i="2"/>
  <c r="N2030" i="2"/>
  <c r="M2030" i="2"/>
  <c r="L2030" i="2"/>
  <c r="K2030" i="2"/>
  <c r="J2030" i="2"/>
  <c r="I2030" i="2"/>
  <c r="H2030" i="2"/>
  <c r="G2030" i="2"/>
  <c r="F2030" i="2"/>
  <c r="E2030" i="2"/>
  <c r="D2030" i="2"/>
  <c r="C2030" i="2"/>
  <c r="B2030" i="2"/>
  <c r="O2029" i="2"/>
  <c r="N2029" i="2"/>
  <c r="M2029" i="2"/>
  <c r="L2029" i="2"/>
  <c r="K2029" i="2"/>
  <c r="J2029" i="2"/>
  <c r="I2029" i="2"/>
  <c r="H2029" i="2"/>
  <c r="G2029" i="2"/>
  <c r="F2029" i="2"/>
  <c r="E2029" i="2"/>
  <c r="D2029" i="2"/>
  <c r="C2029" i="2"/>
  <c r="B2029" i="2"/>
  <c r="O2028" i="2"/>
  <c r="N2028" i="2"/>
  <c r="M2028" i="2"/>
  <c r="L2028" i="2"/>
  <c r="K2028" i="2"/>
  <c r="J2028" i="2"/>
  <c r="I2028" i="2"/>
  <c r="H2028" i="2"/>
  <c r="G2028" i="2"/>
  <c r="F2028" i="2"/>
  <c r="E2028" i="2"/>
  <c r="D2028" i="2"/>
  <c r="C2028" i="2"/>
  <c r="B2028" i="2"/>
  <c r="O2027" i="2"/>
  <c r="N2027" i="2"/>
  <c r="M2027" i="2"/>
  <c r="L2027" i="2"/>
  <c r="K2027" i="2"/>
  <c r="J2027" i="2"/>
  <c r="I2027" i="2"/>
  <c r="H2027" i="2"/>
  <c r="G2027" i="2"/>
  <c r="F2027" i="2"/>
  <c r="E2027" i="2"/>
  <c r="D2027" i="2"/>
  <c r="C2027" i="2"/>
  <c r="B2027" i="2"/>
  <c r="O2026" i="2"/>
  <c r="N2026" i="2"/>
  <c r="M2026" i="2"/>
  <c r="L2026" i="2"/>
  <c r="K2026" i="2"/>
  <c r="J2026" i="2"/>
  <c r="I2026" i="2"/>
  <c r="H2026" i="2"/>
  <c r="G2026" i="2"/>
  <c r="F2026" i="2"/>
  <c r="E2026" i="2"/>
  <c r="D2026" i="2"/>
  <c r="C2026" i="2"/>
  <c r="B2026" i="2"/>
  <c r="O2025" i="2"/>
  <c r="N2025" i="2"/>
  <c r="M2025" i="2"/>
  <c r="L2025" i="2"/>
  <c r="K2025" i="2"/>
  <c r="J2025" i="2"/>
  <c r="I2025" i="2"/>
  <c r="H2025" i="2"/>
  <c r="G2025" i="2"/>
  <c r="F2025" i="2"/>
  <c r="E2025" i="2"/>
  <c r="D2025" i="2"/>
  <c r="C2025" i="2"/>
  <c r="B2025" i="2"/>
  <c r="O2024" i="2"/>
  <c r="N2024" i="2"/>
  <c r="M2024" i="2"/>
  <c r="L2024" i="2"/>
  <c r="K2024" i="2"/>
  <c r="J2024" i="2"/>
  <c r="I2024" i="2"/>
  <c r="H2024" i="2"/>
  <c r="G2024" i="2"/>
  <c r="F2024" i="2"/>
  <c r="E2024" i="2"/>
  <c r="D2024" i="2"/>
  <c r="C2024" i="2"/>
  <c r="B2024" i="2"/>
  <c r="O2023" i="2"/>
  <c r="N2023" i="2"/>
  <c r="M2023" i="2"/>
  <c r="L2023" i="2"/>
  <c r="K2023" i="2"/>
  <c r="J2023" i="2"/>
  <c r="I2023" i="2"/>
  <c r="H2023" i="2"/>
  <c r="G2023" i="2"/>
  <c r="F2023" i="2"/>
  <c r="E2023" i="2"/>
  <c r="D2023" i="2"/>
  <c r="C2023" i="2"/>
  <c r="B2023" i="2"/>
  <c r="O2022" i="2"/>
  <c r="N2022" i="2"/>
  <c r="M2022" i="2"/>
  <c r="L2022" i="2"/>
  <c r="K2022" i="2"/>
  <c r="J2022" i="2"/>
  <c r="I2022" i="2"/>
  <c r="H2022" i="2"/>
  <c r="G2022" i="2"/>
  <c r="F2022" i="2"/>
  <c r="E2022" i="2"/>
  <c r="D2022" i="2"/>
  <c r="C2022" i="2"/>
  <c r="B2022" i="2"/>
  <c r="O2021" i="2"/>
  <c r="N2021" i="2"/>
  <c r="M2021" i="2"/>
  <c r="L2021" i="2"/>
  <c r="K2021" i="2"/>
  <c r="J2021" i="2"/>
  <c r="I2021" i="2"/>
  <c r="H2021" i="2"/>
  <c r="G2021" i="2"/>
  <c r="F2021" i="2"/>
  <c r="E2021" i="2"/>
  <c r="D2021" i="2"/>
  <c r="C2021" i="2"/>
  <c r="B2021" i="2"/>
  <c r="O2020" i="2"/>
  <c r="N2020" i="2"/>
  <c r="M2020" i="2"/>
  <c r="L2020" i="2"/>
  <c r="K2020" i="2"/>
  <c r="J2020" i="2"/>
  <c r="I2020" i="2"/>
  <c r="H2020" i="2"/>
  <c r="G2020" i="2"/>
  <c r="F2020" i="2"/>
  <c r="E2020" i="2"/>
  <c r="D2020" i="2"/>
  <c r="C2020" i="2"/>
  <c r="B2020" i="2"/>
  <c r="O2019" i="2"/>
  <c r="N2019" i="2"/>
  <c r="M2019" i="2"/>
  <c r="L2019" i="2"/>
  <c r="K2019" i="2"/>
  <c r="J2019" i="2"/>
  <c r="I2019" i="2"/>
  <c r="H2019" i="2"/>
  <c r="G2019" i="2"/>
  <c r="F2019" i="2"/>
  <c r="E2019" i="2"/>
  <c r="D2019" i="2"/>
  <c r="C2019" i="2"/>
  <c r="B2019" i="2"/>
  <c r="O2018" i="2"/>
  <c r="N2018" i="2"/>
  <c r="M2018" i="2"/>
  <c r="L2018" i="2"/>
  <c r="K2018" i="2"/>
  <c r="J2018" i="2"/>
  <c r="I2018" i="2"/>
  <c r="H2018" i="2"/>
  <c r="G2018" i="2"/>
  <c r="F2018" i="2"/>
  <c r="E2018" i="2"/>
  <c r="D2018" i="2"/>
  <c r="C2018" i="2"/>
  <c r="B2018" i="2"/>
  <c r="O2017" i="2"/>
  <c r="N2017" i="2"/>
  <c r="M2017" i="2"/>
  <c r="L2017" i="2"/>
  <c r="K2017" i="2"/>
  <c r="J2017" i="2"/>
  <c r="I2017" i="2"/>
  <c r="H2017" i="2"/>
  <c r="G2017" i="2"/>
  <c r="F2017" i="2"/>
  <c r="E2017" i="2"/>
  <c r="D2017" i="2"/>
  <c r="C2017" i="2"/>
  <c r="B2017" i="2"/>
  <c r="O2016" i="2"/>
  <c r="N2016" i="2"/>
  <c r="M2016" i="2"/>
  <c r="L2016" i="2"/>
  <c r="K2016" i="2"/>
  <c r="J2016" i="2"/>
  <c r="I2016" i="2"/>
  <c r="H2016" i="2"/>
  <c r="G2016" i="2"/>
  <c r="F2016" i="2"/>
  <c r="E2016" i="2"/>
  <c r="D2016" i="2"/>
  <c r="C2016" i="2"/>
  <c r="B2016" i="2"/>
  <c r="O2015" i="2"/>
  <c r="N2015" i="2"/>
  <c r="M2015" i="2"/>
  <c r="L2015" i="2"/>
  <c r="K2015" i="2"/>
  <c r="J2015" i="2"/>
  <c r="I2015" i="2"/>
  <c r="H2015" i="2"/>
  <c r="G2015" i="2"/>
  <c r="F2015" i="2"/>
  <c r="E2015" i="2"/>
  <c r="D2015" i="2"/>
  <c r="C2015" i="2"/>
  <c r="B2015" i="2"/>
  <c r="O2014" i="2"/>
  <c r="N2014" i="2"/>
  <c r="M2014" i="2"/>
  <c r="L2014" i="2"/>
  <c r="K2014" i="2"/>
  <c r="J2014" i="2"/>
  <c r="I2014" i="2"/>
  <c r="H2014" i="2"/>
  <c r="G2014" i="2"/>
  <c r="F2014" i="2"/>
  <c r="E2014" i="2"/>
  <c r="D2014" i="2"/>
  <c r="C2014" i="2"/>
  <c r="B2014" i="2"/>
  <c r="O2013" i="2"/>
  <c r="N2013" i="2"/>
  <c r="M2013" i="2"/>
  <c r="L2013" i="2"/>
  <c r="K2013" i="2"/>
  <c r="J2013" i="2"/>
  <c r="I2013" i="2"/>
  <c r="H2013" i="2"/>
  <c r="G2013" i="2"/>
  <c r="F2013" i="2"/>
  <c r="E2013" i="2"/>
  <c r="D2013" i="2"/>
  <c r="C2013" i="2"/>
  <c r="B2013" i="2"/>
  <c r="O2012" i="2"/>
  <c r="N2012" i="2"/>
  <c r="M2012" i="2"/>
  <c r="L2012" i="2"/>
  <c r="K2012" i="2"/>
  <c r="J2012" i="2"/>
  <c r="I2012" i="2"/>
  <c r="H2012" i="2"/>
  <c r="G2012" i="2"/>
  <c r="F2012" i="2"/>
  <c r="E2012" i="2"/>
  <c r="D2012" i="2"/>
  <c r="C2012" i="2"/>
  <c r="B2012" i="2"/>
  <c r="O2011" i="2"/>
  <c r="N2011" i="2"/>
  <c r="M2011" i="2"/>
  <c r="L2011" i="2"/>
  <c r="K2011" i="2"/>
  <c r="J2011" i="2"/>
  <c r="I2011" i="2"/>
  <c r="H2011" i="2"/>
  <c r="G2011" i="2"/>
  <c r="F2011" i="2"/>
  <c r="E2011" i="2"/>
  <c r="D2011" i="2"/>
  <c r="C2011" i="2"/>
  <c r="B2011" i="2"/>
  <c r="O2010" i="2"/>
  <c r="N2010" i="2"/>
  <c r="M2010" i="2"/>
  <c r="L2010" i="2"/>
  <c r="K2010" i="2"/>
  <c r="J2010" i="2"/>
  <c r="I2010" i="2"/>
  <c r="H2010" i="2"/>
  <c r="G2010" i="2"/>
  <c r="F2010" i="2"/>
  <c r="E2010" i="2"/>
  <c r="D2010" i="2"/>
  <c r="C2010" i="2"/>
  <c r="B2010" i="2"/>
  <c r="O2009" i="2"/>
  <c r="N2009" i="2"/>
  <c r="M2009" i="2"/>
  <c r="L2009" i="2"/>
  <c r="K2009" i="2"/>
  <c r="J2009" i="2"/>
  <c r="I2009" i="2"/>
  <c r="H2009" i="2"/>
  <c r="G2009" i="2"/>
  <c r="F2009" i="2"/>
  <c r="E2009" i="2"/>
  <c r="D2009" i="2"/>
  <c r="C2009" i="2"/>
  <c r="B2009" i="2"/>
  <c r="O2008" i="2"/>
  <c r="N2008" i="2"/>
  <c r="M2008" i="2"/>
  <c r="L2008" i="2"/>
  <c r="K2008" i="2"/>
  <c r="J2008" i="2"/>
  <c r="I2008" i="2"/>
  <c r="H2008" i="2"/>
  <c r="G2008" i="2"/>
  <c r="F2008" i="2"/>
  <c r="E2008" i="2"/>
  <c r="D2008" i="2"/>
  <c r="C2008" i="2"/>
  <c r="B2008" i="2"/>
  <c r="O2007" i="2"/>
  <c r="N2007" i="2"/>
  <c r="M2007" i="2"/>
  <c r="L2007" i="2"/>
  <c r="K2007" i="2"/>
  <c r="J2007" i="2"/>
  <c r="I2007" i="2"/>
  <c r="H2007" i="2"/>
  <c r="G2007" i="2"/>
  <c r="F2007" i="2"/>
  <c r="E2007" i="2"/>
  <c r="D2007" i="2"/>
  <c r="C2007" i="2"/>
  <c r="B2007" i="2"/>
  <c r="O2006" i="2"/>
  <c r="N2006" i="2"/>
  <c r="M2006" i="2"/>
  <c r="L2006" i="2"/>
  <c r="K2006" i="2"/>
  <c r="J2006" i="2"/>
  <c r="I2006" i="2"/>
  <c r="H2006" i="2"/>
  <c r="G2006" i="2"/>
  <c r="F2006" i="2"/>
  <c r="E2006" i="2"/>
  <c r="D2006" i="2"/>
  <c r="C2006" i="2"/>
  <c r="B2006" i="2"/>
  <c r="O2005" i="2"/>
  <c r="N2005" i="2"/>
  <c r="M2005" i="2"/>
  <c r="L2005" i="2"/>
  <c r="K2005" i="2"/>
  <c r="J2005" i="2"/>
  <c r="I2005" i="2"/>
  <c r="H2005" i="2"/>
  <c r="G2005" i="2"/>
  <c r="F2005" i="2"/>
  <c r="E2005" i="2"/>
  <c r="D2005" i="2"/>
  <c r="C2005" i="2"/>
  <c r="B2005" i="2"/>
  <c r="O2004" i="2"/>
  <c r="N2004" i="2"/>
  <c r="M2004" i="2"/>
  <c r="L2004" i="2"/>
  <c r="K2004" i="2"/>
  <c r="J2004" i="2"/>
  <c r="I2004" i="2"/>
  <c r="H2004" i="2"/>
  <c r="G2004" i="2"/>
  <c r="F2004" i="2"/>
  <c r="E2004" i="2"/>
  <c r="D2004" i="2"/>
  <c r="C2004" i="2"/>
  <c r="B2004" i="2"/>
  <c r="O2003" i="2"/>
  <c r="N2003" i="2"/>
  <c r="M2003" i="2"/>
  <c r="L2003" i="2"/>
  <c r="K2003" i="2"/>
  <c r="J2003" i="2"/>
  <c r="I2003" i="2"/>
  <c r="H2003" i="2"/>
  <c r="G2003" i="2"/>
  <c r="F2003" i="2"/>
  <c r="E2003" i="2"/>
  <c r="D2003" i="2"/>
  <c r="C2003" i="2"/>
  <c r="B2003" i="2"/>
  <c r="O2002" i="2"/>
  <c r="N2002" i="2"/>
  <c r="M2002" i="2"/>
  <c r="L2002" i="2"/>
  <c r="K2002" i="2"/>
  <c r="J2002" i="2"/>
  <c r="I2002" i="2"/>
  <c r="H2002" i="2"/>
  <c r="G2002" i="2"/>
  <c r="F2002" i="2"/>
  <c r="E2002" i="2"/>
  <c r="D2002" i="2"/>
  <c r="C2002" i="2"/>
  <c r="B2002" i="2"/>
  <c r="O2001" i="2"/>
  <c r="N2001" i="2"/>
  <c r="M2001" i="2"/>
  <c r="L2001" i="2"/>
  <c r="K2001" i="2"/>
  <c r="J2001" i="2"/>
  <c r="I2001" i="2"/>
  <c r="H2001" i="2"/>
  <c r="G2001" i="2"/>
  <c r="F2001" i="2"/>
  <c r="E2001" i="2"/>
  <c r="D2001" i="2"/>
  <c r="C2001" i="2"/>
  <c r="B2001" i="2"/>
  <c r="O2000" i="2"/>
  <c r="N2000" i="2"/>
  <c r="M2000" i="2"/>
  <c r="L2000" i="2"/>
  <c r="K2000" i="2"/>
  <c r="J2000" i="2"/>
  <c r="I2000" i="2"/>
  <c r="H2000" i="2"/>
  <c r="G2000" i="2"/>
  <c r="F2000" i="2"/>
  <c r="E2000" i="2"/>
  <c r="D2000" i="2"/>
  <c r="C2000" i="2"/>
  <c r="B2000" i="2"/>
  <c r="O1999" i="2"/>
  <c r="N1999" i="2"/>
  <c r="M1999" i="2"/>
  <c r="L1999" i="2"/>
  <c r="K1999" i="2"/>
  <c r="J1999" i="2"/>
  <c r="I1999" i="2"/>
  <c r="H1999" i="2"/>
  <c r="G1999" i="2"/>
  <c r="F1999" i="2"/>
  <c r="E1999" i="2"/>
  <c r="D1999" i="2"/>
  <c r="C1999" i="2"/>
  <c r="B1999" i="2"/>
  <c r="O1998" i="2"/>
  <c r="N1998" i="2"/>
  <c r="M1998" i="2"/>
  <c r="L1998" i="2"/>
  <c r="K1998" i="2"/>
  <c r="J1998" i="2"/>
  <c r="I1998" i="2"/>
  <c r="H1998" i="2"/>
  <c r="G1998" i="2"/>
  <c r="F1998" i="2"/>
  <c r="E1998" i="2"/>
  <c r="D1998" i="2"/>
  <c r="C1998" i="2"/>
  <c r="B1998" i="2"/>
  <c r="O1997" i="2"/>
  <c r="N1997" i="2"/>
  <c r="M1997" i="2"/>
  <c r="L1997" i="2"/>
  <c r="K1997" i="2"/>
  <c r="J1997" i="2"/>
  <c r="I1997" i="2"/>
  <c r="H1997" i="2"/>
  <c r="G1997" i="2"/>
  <c r="F1997" i="2"/>
  <c r="E1997" i="2"/>
  <c r="D1997" i="2"/>
  <c r="C1997" i="2"/>
  <c r="B1997" i="2"/>
  <c r="O1996" i="2"/>
  <c r="N1996" i="2"/>
  <c r="M1996" i="2"/>
  <c r="L1996" i="2"/>
  <c r="K1996" i="2"/>
  <c r="J1996" i="2"/>
  <c r="I1996" i="2"/>
  <c r="H1996" i="2"/>
  <c r="G1996" i="2"/>
  <c r="F1996" i="2"/>
  <c r="E1996" i="2"/>
  <c r="D1996" i="2"/>
  <c r="C1996" i="2"/>
  <c r="B1996" i="2"/>
  <c r="O1995" i="2"/>
  <c r="N1995" i="2"/>
  <c r="M1995" i="2"/>
  <c r="L1995" i="2"/>
  <c r="K1995" i="2"/>
  <c r="J1995" i="2"/>
  <c r="I1995" i="2"/>
  <c r="H1995" i="2"/>
  <c r="G1995" i="2"/>
  <c r="F1995" i="2"/>
  <c r="E1995" i="2"/>
  <c r="D1995" i="2"/>
  <c r="C1995" i="2"/>
  <c r="B1995" i="2"/>
  <c r="O1994" i="2"/>
  <c r="N1994" i="2"/>
  <c r="M1994" i="2"/>
  <c r="L1994" i="2"/>
  <c r="K1994" i="2"/>
  <c r="J1994" i="2"/>
  <c r="I1994" i="2"/>
  <c r="H1994" i="2"/>
  <c r="G1994" i="2"/>
  <c r="F1994" i="2"/>
  <c r="E1994" i="2"/>
  <c r="D1994" i="2"/>
  <c r="C1994" i="2"/>
  <c r="B1994" i="2"/>
  <c r="O1993" i="2"/>
  <c r="N1993" i="2"/>
  <c r="M1993" i="2"/>
  <c r="L1993" i="2"/>
  <c r="K1993" i="2"/>
  <c r="J1993" i="2"/>
  <c r="I1993" i="2"/>
  <c r="H1993" i="2"/>
  <c r="G1993" i="2"/>
  <c r="F1993" i="2"/>
  <c r="E1993" i="2"/>
  <c r="D1993" i="2"/>
  <c r="C1993" i="2"/>
  <c r="B1993" i="2"/>
  <c r="O1992" i="2"/>
  <c r="N1992" i="2"/>
  <c r="M1992" i="2"/>
  <c r="L1992" i="2"/>
  <c r="K1992" i="2"/>
  <c r="J1992" i="2"/>
  <c r="I1992" i="2"/>
  <c r="H1992" i="2"/>
  <c r="G1992" i="2"/>
  <c r="F1992" i="2"/>
  <c r="E1992" i="2"/>
  <c r="D1992" i="2"/>
  <c r="C1992" i="2"/>
  <c r="B1992" i="2"/>
  <c r="O1991" i="2"/>
  <c r="N1991" i="2"/>
  <c r="M1991" i="2"/>
  <c r="L1991" i="2"/>
  <c r="K1991" i="2"/>
  <c r="J1991" i="2"/>
  <c r="I1991" i="2"/>
  <c r="H1991" i="2"/>
  <c r="G1991" i="2"/>
  <c r="F1991" i="2"/>
  <c r="E1991" i="2"/>
  <c r="D1991" i="2"/>
  <c r="C1991" i="2"/>
  <c r="B1991" i="2"/>
  <c r="O1990" i="2"/>
  <c r="N1990" i="2"/>
  <c r="M1990" i="2"/>
  <c r="L1990" i="2"/>
  <c r="K1990" i="2"/>
  <c r="J1990" i="2"/>
  <c r="I1990" i="2"/>
  <c r="H1990" i="2"/>
  <c r="G1990" i="2"/>
  <c r="F1990" i="2"/>
  <c r="E1990" i="2"/>
  <c r="D1990" i="2"/>
  <c r="C1990" i="2"/>
  <c r="B1990" i="2"/>
  <c r="O1989" i="2"/>
  <c r="N1989" i="2"/>
  <c r="M1989" i="2"/>
  <c r="L1989" i="2"/>
  <c r="K1989" i="2"/>
  <c r="J1989" i="2"/>
  <c r="I1989" i="2"/>
  <c r="H1989" i="2"/>
  <c r="G1989" i="2"/>
  <c r="F1989" i="2"/>
  <c r="E1989" i="2"/>
  <c r="D1989" i="2"/>
  <c r="C1989" i="2"/>
  <c r="B1989" i="2"/>
  <c r="O1988" i="2"/>
  <c r="N1988" i="2"/>
  <c r="M1988" i="2"/>
  <c r="L1988" i="2"/>
  <c r="K1988" i="2"/>
  <c r="J1988" i="2"/>
  <c r="I1988" i="2"/>
  <c r="H1988" i="2"/>
  <c r="G1988" i="2"/>
  <c r="F1988" i="2"/>
  <c r="E1988" i="2"/>
  <c r="D1988" i="2"/>
  <c r="C1988" i="2"/>
  <c r="B1988" i="2"/>
  <c r="O1987" i="2"/>
  <c r="N1987" i="2"/>
  <c r="M1987" i="2"/>
  <c r="L1987" i="2"/>
  <c r="K1987" i="2"/>
  <c r="J1987" i="2"/>
  <c r="I1987" i="2"/>
  <c r="H1987" i="2"/>
  <c r="G1987" i="2"/>
  <c r="F1987" i="2"/>
  <c r="E1987" i="2"/>
  <c r="D1987" i="2"/>
  <c r="C1987" i="2"/>
  <c r="B1987" i="2"/>
  <c r="O1986" i="2"/>
  <c r="N1986" i="2"/>
  <c r="M1986" i="2"/>
  <c r="L1986" i="2"/>
  <c r="K1986" i="2"/>
  <c r="J1986" i="2"/>
  <c r="I1986" i="2"/>
  <c r="H1986" i="2"/>
  <c r="G1986" i="2"/>
  <c r="F1986" i="2"/>
  <c r="E1986" i="2"/>
  <c r="D1986" i="2"/>
  <c r="C1986" i="2"/>
  <c r="B1986" i="2"/>
  <c r="O1985" i="2"/>
  <c r="N1985" i="2"/>
  <c r="M1985" i="2"/>
  <c r="L1985" i="2"/>
  <c r="K1985" i="2"/>
  <c r="J1985" i="2"/>
  <c r="I1985" i="2"/>
  <c r="H1985" i="2"/>
  <c r="G1985" i="2"/>
  <c r="F1985" i="2"/>
  <c r="E1985" i="2"/>
  <c r="D1985" i="2"/>
  <c r="C1985" i="2"/>
  <c r="B1985" i="2"/>
  <c r="O1984" i="2"/>
  <c r="N1984" i="2"/>
  <c r="M1984" i="2"/>
  <c r="L1984" i="2"/>
  <c r="K1984" i="2"/>
  <c r="J1984" i="2"/>
  <c r="I1984" i="2"/>
  <c r="H1984" i="2"/>
  <c r="G1984" i="2"/>
  <c r="F1984" i="2"/>
  <c r="E1984" i="2"/>
  <c r="D1984" i="2"/>
  <c r="C1984" i="2"/>
  <c r="B1984" i="2"/>
  <c r="O1983" i="2"/>
  <c r="N1983" i="2"/>
  <c r="M1983" i="2"/>
  <c r="L1983" i="2"/>
  <c r="K1983" i="2"/>
  <c r="J1983" i="2"/>
  <c r="I1983" i="2"/>
  <c r="H1983" i="2"/>
  <c r="G1983" i="2"/>
  <c r="F1983" i="2"/>
  <c r="E1983" i="2"/>
  <c r="D1983" i="2"/>
  <c r="C1983" i="2"/>
  <c r="B1983" i="2"/>
  <c r="O1982" i="2"/>
  <c r="N1982" i="2"/>
  <c r="M1982" i="2"/>
  <c r="L1982" i="2"/>
  <c r="K1982" i="2"/>
  <c r="J1982" i="2"/>
  <c r="I1982" i="2"/>
  <c r="H1982" i="2"/>
  <c r="G1982" i="2"/>
  <c r="F1982" i="2"/>
  <c r="E1982" i="2"/>
  <c r="D1982" i="2"/>
  <c r="C1982" i="2"/>
  <c r="B1982" i="2"/>
  <c r="O1981" i="2"/>
  <c r="N1981" i="2"/>
  <c r="M1981" i="2"/>
  <c r="L1981" i="2"/>
  <c r="K1981" i="2"/>
  <c r="J1981" i="2"/>
  <c r="I1981" i="2"/>
  <c r="H1981" i="2"/>
  <c r="G1981" i="2"/>
  <c r="F1981" i="2"/>
  <c r="E1981" i="2"/>
  <c r="D1981" i="2"/>
  <c r="C1981" i="2"/>
  <c r="B1981" i="2"/>
  <c r="O1980" i="2"/>
  <c r="N1980" i="2"/>
  <c r="M1980" i="2"/>
  <c r="L1980" i="2"/>
  <c r="K1980" i="2"/>
  <c r="J1980" i="2"/>
  <c r="I1980" i="2"/>
  <c r="H1980" i="2"/>
  <c r="G1980" i="2"/>
  <c r="F1980" i="2"/>
  <c r="E1980" i="2"/>
  <c r="D1980" i="2"/>
  <c r="C1980" i="2"/>
  <c r="B1980" i="2"/>
  <c r="O1979" i="2"/>
  <c r="N1979" i="2"/>
  <c r="M1979" i="2"/>
  <c r="L1979" i="2"/>
  <c r="K1979" i="2"/>
  <c r="J1979" i="2"/>
  <c r="I1979" i="2"/>
  <c r="H1979" i="2"/>
  <c r="G1979" i="2"/>
  <c r="F1979" i="2"/>
  <c r="E1979" i="2"/>
  <c r="D1979" i="2"/>
  <c r="C1979" i="2"/>
  <c r="B1979" i="2"/>
  <c r="O1978" i="2"/>
  <c r="N1978" i="2"/>
  <c r="M1978" i="2"/>
  <c r="L1978" i="2"/>
  <c r="K1978" i="2"/>
  <c r="J1978" i="2"/>
  <c r="I1978" i="2"/>
  <c r="H1978" i="2"/>
  <c r="G1978" i="2"/>
  <c r="F1978" i="2"/>
  <c r="E1978" i="2"/>
  <c r="D1978" i="2"/>
  <c r="C1978" i="2"/>
  <c r="B1978" i="2"/>
  <c r="O1977" i="2"/>
  <c r="N1977" i="2"/>
  <c r="M1977" i="2"/>
  <c r="L1977" i="2"/>
  <c r="K1977" i="2"/>
  <c r="J1977" i="2"/>
  <c r="I1977" i="2"/>
  <c r="H1977" i="2"/>
  <c r="G1977" i="2"/>
  <c r="F1977" i="2"/>
  <c r="E1977" i="2"/>
  <c r="D1977" i="2"/>
  <c r="C1977" i="2"/>
  <c r="B1977" i="2"/>
  <c r="O1976" i="2"/>
  <c r="N1976" i="2"/>
  <c r="M1976" i="2"/>
  <c r="L1976" i="2"/>
  <c r="K1976" i="2"/>
  <c r="J1976" i="2"/>
  <c r="I1976" i="2"/>
  <c r="H1976" i="2"/>
  <c r="G1976" i="2"/>
  <c r="F1976" i="2"/>
  <c r="E1976" i="2"/>
  <c r="D1976" i="2"/>
  <c r="C1976" i="2"/>
  <c r="B1976" i="2"/>
  <c r="O1975" i="2"/>
  <c r="N1975" i="2"/>
  <c r="M1975" i="2"/>
  <c r="L1975" i="2"/>
  <c r="K1975" i="2"/>
  <c r="J1975" i="2"/>
  <c r="I1975" i="2"/>
  <c r="H1975" i="2"/>
  <c r="G1975" i="2"/>
  <c r="F1975" i="2"/>
  <c r="E1975" i="2"/>
  <c r="D1975" i="2"/>
  <c r="C1975" i="2"/>
  <c r="B1975" i="2"/>
  <c r="O1974" i="2"/>
  <c r="N1974" i="2"/>
  <c r="M1974" i="2"/>
  <c r="L1974" i="2"/>
  <c r="K1974" i="2"/>
  <c r="J1974" i="2"/>
  <c r="I1974" i="2"/>
  <c r="H1974" i="2"/>
  <c r="G1974" i="2"/>
  <c r="F1974" i="2"/>
  <c r="E1974" i="2"/>
  <c r="D1974" i="2"/>
  <c r="C1974" i="2"/>
  <c r="B1974" i="2"/>
  <c r="O1973" i="2"/>
  <c r="N1973" i="2"/>
  <c r="M1973" i="2"/>
  <c r="L1973" i="2"/>
  <c r="K1973" i="2"/>
  <c r="J1973" i="2"/>
  <c r="I1973" i="2"/>
  <c r="H1973" i="2"/>
  <c r="G1973" i="2"/>
  <c r="F1973" i="2"/>
  <c r="E1973" i="2"/>
  <c r="D1973" i="2"/>
  <c r="C1973" i="2"/>
  <c r="B1973" i="2"/>
  <c r="O1972" i="2"/>
  <c r="N1972" i="2"/>
  <c r="M1972" i="2"/>
  <c r="L1972" i="2"/>
  <c r="K1972" i="2"/>
  <c r="J1972" i="2"/>
  <c r="I1972" i="2"/>
  <c r="H1972" i="2"/>
  <c r="G1972" i="2"/>
  <c r="F1972" i="2"/>
  <c r="E1972" i="2"/>
  <c r="D1972" i="2"/>
  <c r="C1972" i="2"/>
  <c r="B1972" i="2"/>
  <c r="O1971" i="2"/>
  <c r="N1971" i="2"/>
  <c r="M1971" i="2"/>
  <c r="L1971" i="2"/>
  <c r="K1971" i="2"/>
  <c r="J1971" i="2"/>
  <c r="I1971" i="2"/>
  <c r="H1971" i="2"/>
  <c r="G1971" i="2"/>
  <c r="F1971" i="2"/>
  <c r="E1971" i="2"/>
  <c r="D1971" i="2"/>
  <c r="C1971" i="2"/>
  <c r="B1971" i="2"/>
  <c r="O1970" i="2"/>
  <c r="N1970" i="2"/>
  <c r="M1970" i="2"/>
  <c r="L1970" i="2"/>
  <c r="K1970" i="2"/>
  <c r="J1970" i="2"/>
  <c r="I1970" i="2"/>
  <c r="H1970" i="2"/>
  <c r="G1970" i="2"/>
  <c r="F1970" i="2"/>
  <c r="E1970" i="2"/>
  <c r="D1970" i="2"/>
  <c r="C1970" i="2"/>
  <c r="B1970" i="2"/>
  <c r="O1969" i="2"/>
  <c r="N1969" i="2"/>
  <c r="M1969" i="2"/>
  <c r="L1969" i="2"/>
  <c r="K1969" i="2"/>
  <c r="J1969" i="2"/>
  <c r="I1969" i="2"/>
  <c r="H1969" i="2"/>
  <c r="G1969" i="2"/>
  <c r="F1969" i="2"/>
  <c r="E1969" i="2"/>
  <c r="D1969" i="2"/>
  <c r="C1969" i="2"/>
  <c r="B1969" i="2"/>
  <c r="O1968" i="2"/>
  <c r="N1968" i="2"/>
  <c r="M1968" i="2"/>
  <c r="L1968" i="2"/>
  <c r="K1968" i="2"/>
  <c r="J1968" i="2"/>
  <c r="I1968" i="2"/>
  <c r="H1968" i="2"/>
  <c r="G1968" i="2"/>
  <c r="F1968" i="2"/>
  <c r="E1968" i="2"/>
  <c r="D1968" i="2"/>
  <c r="C1968" i="2"/>
  <c r="B1968" i="2"/>
  <c r="O1967" i="2"/>
  <c r="N1967" i="2"/>
  <c r="M1967" i="2"/>
  <c r="L1967" i="2"/>
  <c r="K1967" i="2"/>
  <c r="J1967" i="2"/>
  <c r="I1967" i="2"/>
  <c r="H1967" i="2"/>
  <c r="G1967" i="2"/>
  <c r="F1967" i="2"/>
  <c r="E1967" i="2"/>
  <c r="D1967" i="2"/>
  <c r="C1967" i="2"/>
  <c r="B1967" i="2"/>
  <c r="O1966" i="2"/>
  <c r="N1966" i="2"/>
  <c r="M1966" i="2"/>
  <c r="L1966" i="2"/>
  <c r="K1966" i="2"/>
  <c r="J1966" i="2"/>
  <c r="I1966" i="2"/>
  <c r="H1966" i="2"/>
  <c r="G1966" i="2"/>
  <c r="F1966" i="2"/>
  <c r="E1966" i="2"/>
  <c r="D1966" i="2"/>
  <c r="C1966" i="2"/>
  <c r="B1966" i="2"/>
  <c r="O1965" i="2"/>
  <c r="N1965" i="2"/>
  <c r="M1965" i="2"/>
  <c r="L1965" i="2"/>
  <c r="K1965" i="2"/>
  <c r="J1965" i="2"/>
  <c r="I1965" i="2"/>
  <c r="H1965" i="2"/>
  <c r="G1965" i="2"/>
  <c r="F1965" i="2"/>
  <c r="E1965" i="2"/>
  <c r="D1965" i="2"/>
  <c r="C1965" i="2"/>
  <c r="B1965" i="2"/>
  <c r="O1964" i="2"/>
  <c r="N1964" i="2"/>
  <c r="M1964" i="2"/>
  <c r="L1964" i="2"/>
  <c r="K1964" i="2"/>
  <c r="J1964" i="2"/>
  <c r="I1964" i="2"/>
  <c r="H1964" i="2"/>
  <c r="G1964" i="2"/>
  <c r="F1964" i="2"/>
  <c r="E1964" i="2"/>
  <c r="D1964" i="2"/>
  <c r="C1964" i="2"/>
  <c r="B1964" i="2"/>
  <c r="O1963" i="2"/>
  <c r="N1963" i="2"/>
  <c r="M1963" i="2"/>
  <c r="L1963" i="2"/>
  <c r="K1963" i="2"/>
  <c r="J1963" i="2"/>
  <c r="I1963" i="2"/>
  <c r="H1963" i="2"/>
  <c r="G1963" i="2"/>
  <c r="F1963" i="2"/>
  <c r="E1963" i="2"/>
  <c r="D1963" i="2"/>
  <c r="C1963" i="2"/>
  <c r="B1963" i="2"/>
  <c r="O1962" i="2"/>
  <c r="N1962" i="2"/>
  <c r="M1962" i="2"/>
  <c r="L1962" i="2"/>
  <c r="K1962" i="2"/>
  <c r="J1962" i="2"/>
  <c r="I1962" i="2"/>
  <c r="H1962" i="2"/>
  <c r="G1962" i="2"/>
  <c r="F1962" i="2"/>
  <c r="E1962" i="2"/>
  <c r="D1962" i="2"/>
  <c r="C1962" i="2"/>
  <c r="B1962" i="2"/>
  <c r="O1961" i="2"/>
  <c r="N1961" i="2"/>
  <c r="M1961" i="2"/>
  <c r="L1961" i="2"/>
  <c r="K1961" i="2"/>
  <c r="J1961" i="2"/>
  <c r="I1961" i="2"/>
  <c r="H1961" i="2"/>
  <c r="G1961" i="2"/>
  <c r="F1961" i="2"/>
  <c r="E1961" i="2"/>
  <c r="D1961" i="2"/>
  <c r="C1961" i="2"/>
  <c r="B1961" i="2"/>
  <c r="O1960" i="2"/>
  <c r="N1960" i="2"/>
  <c r="M1960" i="2"/>
  <c r="L1960" i="2"/>
  <c r="K1960" i="2"/>
  <c r="J1960" i="2"/>
  <c r="I1960" i="2"/>
  <c r="H1960" i="2"/>
  <c r="G1960" i="2"/>
  <c r="F1960" i="2"/>
  <c r="E1960" i="2"/>
  <c r="D1960" i="2"/>
  <c r="C1960" i="2"/>
  <c r="B1960" i="2"/>
  <c r="O1959" i="2"/>
  <c r="N1959" i="2"/>
  <c r="M1959" i="2"/>
  <c r="L1959" i="2"/>
  <c r="K1959" i="2"/>
  <c r="J1959" i="2"/>
  <c r="I1959" i="2"/>
  <c r="H1959" i="2"/>
  <c r="G1959" i="2"/>
  <c r="F1959" i="2"/>
  <c r="E1959" i="2"/>
  <c r="D1959" i="2"/>
  <c r="C1959" i="2"/>
  <c r="B1959" i="2"/>
  <c r="O1958" i="2"/>
  <c r="N1958" i="2"/>
  <c r="M1958" i="2"/>
  <c r="L1958" i="2"/>
  <c r="K1958" i="2"/>
  <c r="J1958" i="2"/>
  <c r="I1958" i="2"/>
  <c r="H1958" i="2"/>
  <c r="G1958" i="2"/>
  <c r="F1958" i="2"/>
  <c r="E1958" i="2"/>
  <c r="D1958" i="2"/>
  <c r="C1958" i="2"/>
  <c r="B1958" i="2"/>
  <c r="O1957" i="2"/>
  <c r="N1957" i="2"/>
  <c r="M1957" i="2"/>
  <c r="L1957" i="2"/>
  <c r="K1957" i="2"/>
  <c r="J1957" i="2"/>
  <c r="I1957" i="2"/>
  <c r="H1957" i="2"/>
  <c r="G1957" i="2"/>
  <c r="F1957" i="2"/>
  <c r="E1957" i="2"/>
  <c r="D1957" i="2"/>
  <c r="C1957" i="2"/>
  <c r="B1957" i="2"/>
  <c r="O1956" i="2"/>
  <c r="N1956" i="2"/>
  <c r="M1956" i="2"/>
  <c r="L1956" i="2"/>
  <c r="K1956" i="2"/>
  <c r="J1956" i="2"/>
  <c r="I1956" i="2"/>
  <c r="H1956" i="2"/>
  <c r="G1956" i="2"/>
  <c r="F1956" i="2"/>
  <c r="E1956" i="2"/>
  <c r="D1956" i="2"/>
  <c r="C1956" i="2"/>
  <c r="B1956" i="2"/>
  <c r="O1955" i="2"/>
  <c r="N1955" i="2"/>
  <c r="M1955" i="2"/>
  <c r="L1955" i="2"/>
  <c r="K1955" i="2"/>
  <c r="J1955" i="2"/>
  <c r="I1955" i="2"/>
  <c r="H1955" i="2"/>
  <c r="G1955" i="2"/>
  <c r="F1955" i="2"/>
  <c r="E1955" i="2"/>
  <c r="D1955" i="2"/>
  <c r="C1955" i="2"/>
  <c r="B1955" i="2"/>
  <c r="O1954" i="2"/>
  <c r="N1954" i="2"/>
  <c r="M1954" i="2"/>
  <c r="L1954" i="2"/>
  <c r="K1954" i="2"/>
  <c r="J1954" i="2"/>
  <c r="I1954" i="2"/>
  <c r="H1954" i="2"/>
  <c r="G1954" i="2"/>
  <c r="F1954" i="2"/>
  <c r="E1954" i="2"/>
  <c r="D1954" i="2"/>
  <c r="C1954" i="2"/>
  <c r="B1954" i="2"/>
  <c r="O1953" i="2"/>
  <c r="N1953" i="2"/>
  <c r="M1953" i="2"/>
  <c r="L1953" i="2"/>
  <c r="K1953" i="2"/>
  <c r="J1953" i="2"/>
  <c r="I1953" i="2"/>
  <c r="H1953" i="2"/>
  <c r="G1953" i="2"/>
  <c r="F1953" i="2"/>
  <c r="E1953" i="2"/>
  <c r="D1953" i="2"/>
  <c r="C1953" i="2"/>
  <c r="B1953" i="2"/>
  <c r="O1952" i="2"/>
  <c r="N1952" i="2"/>
  <c r="M1952" i="2"/>
  <c r="L1952" i="2"/>
  <c r="K1952" i="2"/>
  <c r="J1952" i="2"/>
  <c r="I1952" i="2"/>
  <c r="H1952" i="2"/>
  <c r="G1952" i="2"/>
  <c r="F1952" i="2"/>
  <c r="E1952" i="2"/>
  <c r="D1952" i="2"/>
  <c r="C1952" i="2"/>
  <c r="B1952" i="2"/>
  <c r="O1951" i="2"/>
  <c r="N1951" i="2"/>
  <c r="M1951" i="2"/>
  <c r="L1951" i="2"/>
  <c r="K1951" i="2"/>
  <c r="J1951" i="2"/>
  <c r="I1951" i="2"/>
  <c r="H1951" i="2"/>
  <c r="G1951" i="2"/>
  <c r="F1951" i="2"/>
  <c r="E1951" i="2"/>
  <c r="D1951" i="2"/>
  <c r="C1951" i="2"/>
  <c r="B1951" i="2"/>
  <c r="O1950" i="2"/>
  <c r="N1950" i="2"/>
  <c r="M1950" i="2"/>
  <c r="L1950" i="2"/>
  <c r="K1950" i="2"/>
  <c r="J1950" i="2"/>
  <c r="I1950" i="2"/>
  <c r="H1950" i="2"/>
  <c r="G1950" i="2"/>
  <c r="F1950" i="2"/>
  <c r="E1950" i="2"/>
  <c r="D1950" i="2"/>
  <c r="C1950" i="2"/>
  <c r="B1950" i="2"/>
  <c r="O1949" i="2"/>
  <c r="N1949" i="2"/>
  <c r="M1949" i="2"/>
  <c r="L1949" i="2"/>
  <c r="K1949" i="2"/>
  <c r="J1949" i="2"/>
  <c r="I1949" i="2"/>
  <c r="H1949" i="2"/>
  <c r="G1949" i="2"/>
  <c r="F1949" i="2"/>
  <c r="E1949" i="2"/>
  <c r="D1949" i="2"/>
  <c r="C1949" i="2"/>
  <c r="B1949" i="2"/>
  <c r="O1948" i="2"/>
  <c r="N1948" i="2"/>
  <c r="M1948" i="2"/>
  <c r="L1948" i="2"/>
  <c r="K1948" i="2"/>
  <c r="J1948" i="2"/>
  <c r="I1948" i="2"/>
  <c r="H1948" i="2"/>
  <c r="G1948" i="2"/>
  <c r="F1948" i="2"/>
  <c r="E1948" i="2"/>
  <c r="D1948" i="2"/>
  <c r="C1948" i="2"/>
  <c r="B1948" i="2"/>
  <c r="O1947" i="2"/>
  <c r="N1947" i="2"/>
  <c r="M1947" i="2"/>
  <c r="L1947" i="2"/>
  <c r="K1947" i="2"/>
  <c r="J1947" i="2"/>
  <c r="I1947" i="2"/>
  <c r="H1947" i="2"/>
  <c r="G1947" i="2"/>
  <c r="F1947" i="2"/>
  <c r="E1947" i="2"/>
  <c r="D1947" i="2"/>
  <c r="C1947" i="2"/>
  <c r="B1947" i="2"/>
  <c r="O1946" i="2"/>
  <c r="N1946" i="2"/>
  <c r="M1946" i="2"/>
  <c r="L1946" i="2"/>
  <c r="K1946" i="2"/>
  <c r="J1946" i="2"/>
  <c r="I1946" i="2"/>
  <c r="H1946" i="2"/>
  <c r="G1946" i="2"/>
  <c r="F1946" i="2"/>
  <c r="E1946" i="2"/>
  <c r="D1946" i="2"/>
  <c r="C1946" i="2"/>
  <c r="B1946" i="2"/>
  <c r="O1945" i="2"/>
  <c r="N1945" i="2"/>
  <c r="M1945" i="2"/>
  <c r="L1945" i="2"/>
  <c r="K1945" i="2"/>
  <c r="J1945" i="2"/>
  <c r="I1945" i="2"/>
  <c r="H1945" i="2"/>
  <c r="G1945" i="2"/>
  <c r="F1945" i="2"/>
  <c r="E1945" i="2"/>
  <c r="D1945" i="2"/>
  <c r="C1945" i="2"/>
  <c r="B1945" i="2"/>
  <c r="O1944" i="2"/>
  <c r="N1944" i="2"/>
  <c r="M1944" i="2"/>
  <c r="L1944" i="2"/>
  <c r="K1944" i="2"/>
  <c r="J1944" i="2"/>
  <c r="I1944" i="2"/>
  <c r="H1944" i="2"/>
  <c r="G1944" i="2"/>
  <c r="F1944" i="2"/>
  <c r="E1944" i="2"/>
  <c r="D1944" i="2"/>
  <c r="C1944" i="2"/>
  <c r="B1944" i="2"/>
  <c r="O1943" i="2"/>
  <c r="N1943" i="2"/>
  <c r="M1943" i="2"/>
  <c r="L1943" i="2"/>
  <c r="K1943" i="2"/>
  <c r="J1943" i="2"/>
  <c r="I1943" i="2"/>
  <c r="H1943" i="2"/>
  <c r="G1943" i="2"/>
  <c r="F1943" i="2"/>
  <c r="E1943" i="2"/>
  <c r="D1943" i="2"/>
  <c r="C1943" i="2"/>
  <c r="B1943" i="2"/>
  <c r="O1942" i="2"/>
  <c r="N1942" i="2"/>
  <c r="M1942" i="2"/>
  <c r="L1942" i="2"/>
  <c r="K1942" i="2"/>
  <c r="J1942" i="2"/>
  <c r="I1942" i="2"/>
  <c r="H1942" i="2"/>
  <c r="G1942" i="2"/>
  <c r="F1942" i="2"/>
  <c r="E1942" i="2"/>
  <c r="D1942" i="2"/>
  <c r="C1942" i="2"/>
  <c r="B1942" i="2"/>
  <c r="O1941" i="2"/>
  <c r="N1941" i="2"/>
  <c r="M1941" i="2"/>
  <c r="L1941" i="2"/>
  <c r="K1941" i="2"/>
  <c r="J1941" i="2"/>
  <c r="I1941" i="2"/>
  <c r="H1941" i="2"/>
  <c r="G1941" i="2"/>
  <c r="F1941" i="2"/>
  <c r="E1941" i="2"/>
  <c r="D1941" i="2"/>
  <c r="C1941" i="2"/>
  <c r="B1941" i="2"/>
  <c r="O1940" i="2"/>
  <c r="N1940" i="2"/>
  <c r="M1940" i="2"/>
  <c r="L1940" i="2"/>
  <c r="K1940" i="2"/>
  <c r="J1940" i="2"/>
  <c r="I1940" i="2"/>
  <c r="H1940" i="2"/>
  <c r="G1940" i="2"/>
  <c r="F1940" i="2"/>
  <c r="E1940" i="2"/>
  <c r="D1940" i="2"/>
  <c r="C1940" i="2"/>
  <c r="B1940" i="2"/>
  <c r="O1939" i="2"/>
  <c r="N1939" i="2"/>
  <c r="M1939" i="2"/>
  <c r="L1939" i="2"/>
  <c r="K1939" i="2"/>
  <c r="J1939" i="2"/>
  <c r="I1939" i="2"/>
  <c r="H1939" i="2"/>
  <c r="G1939" i="2"/>
  <c r="F1939" i="2"/>
  <c r="E1939" i="2"/>
  <c r="D1939" i="2"/>
  <c r="C1939" i="2"/>
  <c r="B1939" i="2"/>
  <c r="O1938" i="2"/>
  <c r="N1938" i="2"/>
  <c r="M1938" i="2"/>
  <c r="L1938" i="2"/>
  <c r="K1938" i="2"/>
  <c r="J1938" i="2"/>
  <c r="I1938" i="2"/>
  <c r="H1938" i="2"/>
  <c r="G1938" i="2"/>
  <c r="F1938" i="2"/>
  <c r="E1938" i="2"/>
  <c r="D1938" i="2"/>
  <c r="C1938" i="2"/>
  <c r="B1938" i="2"/>
  <c r="O1937" i="2"/>
  <c r="N1937" i="2"/>
  <c r="M1937" i="2"/>
  <c r="L1937" i="2"/>
  <c r="K1937" i="2"/>
  <c r="J1937" i="2"/>
  <c r="I1937" i="2"/>
  <c r="H1937" i="2"/>
  <c r="G1937" i="2"/>
  <c r="F1937" i="2"/>
  <c r="E1937" i="2"/>
  <c r="D1937" i="2"/>
  <c r="C1937" i="2"/>
  <c r="B1937" i="2"/>
  <c r="O1936" i="2"/>
  <c r="N1936" i="2"/>
  <c r="M1936" i="2"/>
  <c r="L1936" i="2"/>
  <c r="K1936" i="2"/>
  <c r="J1936" i="2"/>
  <c r="I1936" i="2"/>
  <c r="H1936" i="2"/>
  <c r="G1936" i="2"/>
  <c r="F1936" i="2"/>
  <c r="E1936" i="2"/>
  <c r="D1936" i="2"/>
  <c r="C1936" i="2"/>
  <c r="B1936" i="2"/>
  <c r="O1935" i="2"/>
  <c r="N1935" i="2"/>
  <c r="M1935" i="2"/>
  <c r="L1935" i="2"/>
  <c r="K1935" i="2"/>
  <c r="J1935" i="2"/>
  <c r="I1935" i="2"/>
  <c r="H1935" i="2"/>
  <c r="G1935" i="2"/>
  <c r="F1935" i="2"/>
  <c r="E1935" i="2"/>
  <c r="D1935" i="2"/>
  <c r="C1935" i="2"/>
  <c r="B1935" i="2"/>
  <c r="O1934" i="2"/>
  <c r="N1934" i="2"/>
  <c r="M1934" i="2"/>
  <c r="L1934" i="2"/>
  <c r="K1934" i="2"/>
  <c r="J1934" i="2"/>
  <c r="I1934" i="2"/>
  <c r="H1934" i="2"/>
  <c r="G1934" i="2"/>
  <c r="F1934" i="2"/>
  <c r="E1934" i="2"/>
  <c r="D1934" i="2"/>
  <c r="C1934" i="2"/>
  <c r="B1934" i="2"/>
  <c r="O1933" i="2"/>
  <c r="N1933" i="2"/>
  <c r="M1933" i="2"/>
  <c r="L1933" i="2"/>
  <c r="K1933" i="2"/>
  <c r="J1933" i="2"/>
  <c r="I1933" i="2"/>
  <c r="H1933" i="2"/>
  <c r="G1933" i="2"/>
  <c r="F1933" i="2"/>
  <c r="E1933" i="2"/>
  <c r="D1933" i="2"/>
  <c r="C1933" i="2"/>
  <c r="B1933" i="2"/>
  <c r="O1932" i="2"/>
  <c r="N1932" i="2"/>
  <c r="M1932" i="2"/>
  <c r="L1932" i="2"/>
  <c r="K1932" i="2"/>
  <c r="J1932" i="2"/>
  <c r="I1932" i="2"/>
  <c r="H1932" i="2"/>
  <c r="G1932" i="2"/>
  <c r="F1932" i="2"/>
  <c r="E1932" i="2"/>
  <c r="D1932" i="2"/>
  <c r="C1932" i="2"/>
  <c r="B1932" i="2"/>
  <c r="O1931" i="2"/>
  <c r="N1931" i="2"/>
  <c r="M1931" i="2"/>
  <c r="L1931" i="2"/>
  <c r="K1931" i="2"/>
  <c r="J1931" i="2"/>
  <c r="I1931" i="2"/>
  <c r="H1931" i="2"/>
  <c r="G1931" i="2"/>
  <c r="F1931" i="2"/>
  <c r="E1931" i="2"/>
  <c r="D1931" i="2"/>
  <c r="C1931" i="2"/>
  <c r="B1931" i="2"/>
  <c r="O1930" i="2"/>
  <c r="N1930" i="2"/>
  <c r="M1930" i="2"/>
  <c r="L1930" i="2"/>
  <c r="K1930" i="2"/>
  <c r="J1930" i="2"/>
  <c r="I1930" i="2"/>
  <c r="H1930" i="2"/>
  <c r="G1930" i="2"/>
  <c r="F1930" i="2"/>
  <c r="E1930" i="2"/>
  <c r="D1930" i="2"/>
  <c r="C1930" i="2"/>
  <c r="B1930" i="2"/>
  <c r="O1929" i="2"/>
  <c r="N1929" i="2"/>
  <c r="M1929" i="2"/>
  <c r="L1929" i="2"/>
  <c r="K1929" i="2"/>
  <c r="J1929" i="2"/>
  <c r="I1929" i="2"/>
  <c r="H1929" i="2"/>
  <c r="G1929" i="2"/>
  <c r="F1929" i="2"/>
  <c r="E1929" i="2"/>
  <c r="D1929" i="2"/>
  <c r="C1929" i="2"/>
  <c r="B1929" i="2"/>
  <c r="O1928" i="2"/>
  <c r="N1928" i="2"/>
  <c r="M1928" i="2"/>
  <c r="L1928" i="2"/>
  <c r="K1928" i="2"/>
  <c r="J1928" i="2"/>
  <c r="I1928" i="2"/>
  <c r="H1928" i="2"/>
  <c r="G1928" i="2"/>
  <c r="F1928" i="2"/>
  <c r="E1928" i="2"/>
  <c r="D1928" i="2"/>
  <c r="C1928" i="2"/>
  <c r="B1928" i="2"/>
  <c r="O1927" i="2"/>
  <c r="N1927" i="2"/>
  <c r="M1927" i="2"/>
  <c r="L1927" i="2"/>
  <c r="K1927" i="2"/>
  <c r="J1927" i="2"/>
  <c r="I1927" i="2"/>
  <c r="H1927" i="2"/>
  <c r="G1927" i="2"/>
  <c r="F1927" i="2"/>
  <c r="E1927" i="2"/>
  <c r="D1927" i="2"/>
  <c r="C1927" i="2"/>
  <c r="B1927" i="2"/>
  <c r="O1926" i="2"/>
  <c r="N1926" i="2"/>
  <c r="M1926" i="2"/>
  <c r="L1926" i="2"/>
  <c r="K1926" i="2"/>
  <c r="J1926" i="2"/>
  <c r="I1926" i="2"/>
  <c r="H1926" i="2"/>
  <c r="G1926" i="2"/>
  <c r="F1926" i="2"/>
  <c r="E1926" i="2"/>
  <c r="D1926" i="2"/>
  <c r="C1926" i="2"/>
  <c r="B1926" i="2"/>
  <c r="O1925" i="2"/>
  <c r="N1925" i="2"/>
  <c r="M1925" i="2"/>
  <c r="L1925" i="2"/>
  <c r="K1925" i="2"/>
  <c r="J1925" i="2"/>
  <c r="I1925" i="2"/>
  <c r="H1925" i="2"/>
  <c r="G1925" i="2"/>
  <c r="F1925" i="2"/>
  <c r="E1925" i="2"/>
  <c r="D1925" i="2"/>
  <c r="C1925" i="2"/>
  <c r="B1925" i="2"/>
  <c r="O1924" i="2"/>
  <c r="N1924" i="2"/>
  <c r="M1924" i="2"/>
  <c r="L1924" i="2"/>
  <c r="K1924" i="2"/>
  <c r="J1924" i="2"/>
  <c r="I1924" i="2"/>
  <c r="H1924" i="2"/>
  <c r="G1924" i="2"/>
  <c r="F1924" i="2"/>
  <c r="E1924" i="2"/>
  <c r="D1924" i="2"/>
  <c r="C1924" i="2"/>
  <c r="B1924" i="2"/>
  <c r="O1923" i="2"/>
  <c r="N1923" i="2"/>
  <c r="M1923" i="2"/>
  <c r="L1923" i="2"/>
  <c r="K1923" i="2"/>
  <c r="J1923" i="2"/>
  <c r="I1923" i="2"/>
  <c r="H1923" i="2"/>
  <c r="G1923" i="2"/>
  <c r="F1923" i="2"/>
  <c r="E1923" i="2"/>
  <c r="D1923" i="2"/>
  <c r="C1923" i="2"/>
  <c r="B1923" i="2"/>
  <c r="O1922" i="2"/>
  <c r="N1922" i="2"/>
  <c r="M1922" i="2"/>
  <c r="L1922" i="2"/>
  <c r="K1922" i="2"/>
  <c r="J1922" i="2"/>
  <c r="I1922" i="2"/>
  <c r="H1922" i="2"/>
  <c r="G1922" i="2"/>
  <c r="F1922" i="2"/>
  <c r="E1922" i="2"/>
  <c r="D1922" i="2"/>
  <c r="C1922" i="2"/>
  <c r="B1922" i="2"/>
  <c r="O1921" i="2"/>
  <c r="N1921" i="2"/>
  <c r="M1921" i="2"/>
  <c r="L1921" i="2"/>
  <c r="K1921" i="2"/>
  <c r="J1921" i="2"/>
  <c r="I1921" i="2"/>
  <c r="H1921" i="2"/>
  <c r="G1921" i="2"/>
  <c r="F1921" i="2"/>
  <c r="E1921" i="2"/>
  <c r="D1921" i="2"/>
  <c r="C1921" i="2"/>
  <c r="B1921" i="2"/>
  <c r="O1920" i="2"/>
  <c r="N1920" i="2"/>
  <c r="M1920" i="2"/>
  <c r="L1920" i="2"/>
  <c r="K1920" i="2"/>
  <c r="J1920" i="2"/>
  <c r="I1920" i="2"/>
  <c r="H1920" i="2"/>
  <c r="G1920" i="2"/>
  <c r="F1920" i="2"/>
  <c r="E1920" i="2"/>
  <c r="D1920" i="2"/>
  <c r="C1920" i="2"/>
  <c r="B1920" i="2"/>
  <c r="O1919" i="2"/>
  <c r="N1919" i="2"/>
  <c r="M1919" i="2"/>
  <c r="L1919" i="2"/>
  <c r="K1919" i="2"/>
  <c r="J1919" i="2"/>
  <c r="I1919" i="2"/>
  <c r="H1919" i="2"/>
  <c r="G1919" i="2"/>
  <c r="F1919" i="2"/>
  <c r="E1919" i="2"/>
  <c r="D1919" i="2"/>
  <c r="C1919" i="2"/>
  <c r="B1919" i="2"/>
  <c r="O1918" i="2"/>
  <c r="N1918" i="2"/>
  <c r="M1918" i="2"/>
  <c r="L1918" i="2"/>
  <c r="K1918" i="2"/>
  <c r="J1918" i="2"/>
  <c r="I1918" i="2"/>
  <c r="H1918" i="2"/>
  <c r="G1918" i="2"/>
  <c r="F1918" i="2"/>
  <c r="E1918" i="2"/>
  <c r="D1918" i="2"/>
  <c r="C1918" i="2"/>
  <c r="B1918" i="2"/>
  <c r="O1917" i="2"/>
  <c r="N1917" i="2"/>
  <c r="M1917" i="2"/>
  <c r="L1917" i="2"/>
  <c r="K1917" i="2"/>
  <c r="J1917" i="2"/>
  <c r="I1917" i="2"/>
  <c r="H1917" i="2"/>
  <c r="G1917" i="2"/>
  <c r="F1917" i="2"/>
  <c r="E1917" i="2"/>
  <c r="D1917" i="2"/>
  <c r="C1917" i="2"/>
  <c r="B1917" i="2"/>
  <c r="O1916" i="2"/>
  <c r="N1916" i="2"/>
  <c r="M1916" i="2"/>
  <c r="L1916" i="2"/>
  <c r="K1916" i="2"/>
  <c r="J1916" i="2"/>
  <c r="I1916" i="2"/>
  <c r="H1916" i="2"/>
  <c r="G1916" i="2"/>
  <c r="F1916" i="2"/>
  <c r="E1916" i="2"/>
  <c r="D1916" i="2"/>
  <c r="C1916" i="2"/>
  <c r="B1916" i="2"/>
  <c r="O1915" i="2"/>
  <c r="N1915" i="2"/>
  <c r="M1915" i="2"/>
  <c r="L1915" i="2"/>
  <c r="K1915" i="2"/>
  <c r="J1915" i="2"/>
  <c r="I1915" i="2"/>
  <c r="H1915" i="2"/>
  <c r="G1915" i="2"/>
  <c r="F1915" i="2"/>
  <c r="E1915" i="2"/>
  <c r="D1915" i="2"/>
  <c r="C1915" i="2"/>
  <c r="B1915" i="2"/>
  <c r="O1914" i="2"/>
  <c r="N1914" i="2"/>
  <c r="M1914" i="2"/>
  <c r="L1914" i="2"/>
  <c r="K1914" i="2"/>
  <c r="J1914" i="2"/>
  <c r="I1914" i="2"/>
  <c r="H1914" i="2"/>
  <c r="G1914" i="2"/>
  <c r="F1914" i="2"/>
  <c r="E1914" i="2"/>
  <c r="D1914" i="2"/>
  <c r="C1914" i="2"/>
  <c r="B1914" i="2"/>
  <c r="O1913" i="2"/>
  <c r="N1913" i="2"/>
  <c r="M1913" i="2"/>
  <c r="L1913" i="2"/>
  <c r="K1913" i="2"/>
  <c r="J1913" i="2"/>
  <c r="I1913" i="2"/>
  <c r="H1913" i="2"/>
  <c r="G1913" i="2"/>
  <c r="F1913" i="2"/>
  <c r="E1913" i="2"/>
  <c r="D1913" i="2"/>
  <c r="C1913" i="2"/>
  <c r="B1913" i="2"/>
  <c r="O1912" i="2"/>
  <c r="N1912" i="2"/>
  <c r="M1912" i="2"/>
  <c r="L1912" i="2"/>
  <c r="K1912" i="2"/>
  <c r="J1912" i="2"/>
  <c r="I1912" i="2"/>
  <c r="H1912" i="2"/>
  <c r="G1912" i="2"/>
  <c r="F1912" i="2"/>
  <c r="E1912" i="2"/>
  <c r="D1912" i="2"/>
  <c r="C1912" i="2"/>
  <c r="B1912" i="2"/>
  <c r="O1911" i="2"/>
  <c r="N1911" i="2"/>
  <c r="M1911" i="2"/>
  <c r="L1911" i="2"/>
  <c r="K1911" i="2"/>
  <c r="J1911" i="2"/>
  <c r="I1911" i="2"/>
  <c r="H1911" i="2"/>
  <c r="G1911" i="2"/>
  <c r="F1911" i="2"/>
  <c r="E1911" i="2"/>
  <c r="D1911" i="2"/>
  <c r="C1911" i="2"/>
  <c r="B1911" i="2"/>
  <c r="O1910" i="2"/>
  <c r="N1910" i="2"/>
  <c r="M1910" i="2"/>
  <c r="L1910" i="2"/>
  <c r="K1910" i="2"/>
  <c r="J1910" i="2"/>
  <c r="I1910" i="2"/>
  <c r="H1910" i="2"/>
  <c r="G1910" i="2"/>
  <c r="F1910" i="2"/>
  <c r="E1910" i="2"/>
  <c r="D1910" i="2"/>
  <c r="C1910" i="2"/>
  <c r="B1910" i="2"/>
  <c r="O1909" i="2"/>
  <c r="N1909" i="2"/>
  <c r="M1909" i="2"/>
  <c r="L1909" i="2"/>
  <c r="K1909" i="2"/>
  <c r="J1909" i="2"/>
  <c r="I1909" i="2"/>
  <c r="H1909" i="2"/>
  <c r="G1909" i="2"/>
  <c r="F1909" i="2"/>
  <c r="E1909" i="2"/>
  <c r="D1909" i="2"/>
  <c r="C1909" i="2"/>
  <c r="B1909" i="2"/>
  <c r="O1908" i="2"/>
  <c r="N1908" i="2"/>
  <c r="M1908" i="2"/>
  <c r="L1908" i="2"/>
  <c r="K1908" i="2"/>
  <c r="J1908" i="2"/>
  <c r="I1908" i="2"/>
  <c r="H1908" i="2"/>
  <c r="G1908" i="2"/>
  <c r="F1908" i="2"/>
  <c r="E1908" i="2"/>
  <c r="D1908" i="2"/>
  <c r="C1908" i="2"/>
  <c r="B1908" i="2"/>
  <c r="O1907" i="2"/>
  <c r="N1907" i="2"/>
  <c r="M1907" i="2"/>
  <c r="L1907" i="2"/>
  <c r="K1907" i="2"/>
  <c r="J1907" i="2"/>
  <c r="I1907" i="2"/>
  <c r="H1907" i="2"/>
  <c r="G1907" i="2"/>
  <c r="F1907" i="2"/>
  <c r="E1907" i="2"/>
  <c r="D1907" i="2"/>
  <c r="C1907" i="2"/>
  <c r="B1907" i="2"/>
  <c r="O1906" i="2"/>
  <c r="N1906" i="2"/>
  <c r="M1906" i="2"/>
  <c r="L1906" i="2"/>
  <c r="K1906" i="2"/>
  <c r="J1906" i="2"/>
  <c r="I1906" i="2"/>
  <c r="H1906" i="2"/>
  <c r="G1906" i="2"/>
  <c r="F1906" i="2"/>
  <c r="E1906" i="2"/>
  <c r="D1906" i="2"/>
  <c r="C1906" i="2"/>
  <c r="B1906" i="2"/>
  <c r="O1905" i="2"/>
  <c r="N1905" i="2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O1904" i="2"/>
  <c r="N1904" i="2"/>
  <c r="M1904" i="2"/>
  <c r="L1904" i="2"/>
  <c r="K1904" i="2"/>
  <c r="J1904" i="2"/>
  <c r="I1904" i="2"/>
  <c r="H1904" i="2"/>
  <c r="G1904" i="2"/>
  <c r="F1904" i="2"/>
  <c r="E1904" i="2"/>
  <c r="D1904" i="2"/>
  <c r="C1904" i="2"/>
  <c r="B1904" i="2"/>
  <c r="O1903" i="2"/>
  <c r="N1903" i="2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O1902" i="2"/>
  <c r="N1902" i="2"/>
  <c r="M1902" i="2"/>
  <c r="L1902" i="2"/>
  <c r="K1902" i="2"/>
  <c r="J1902" i="2"/>
  <c r="I1902" i="2"/>
  <c r="H1902" i="2"/>
  <c r="G1902" i="2"/>
  <c r="F1902" i="2"/>
  <c r="E1902" i="2"/>
  <c r="D1902" i="2"/>
  <c r="C1902" i="2"/>
  <c r="B1902" i="2"/>
  <c r="O1901" i="2"/>
  <c r="N1901" i="2"/>
  <c r="M1901" i="2"/>
  <c r="L1901" i="2"/>
  <c r="K1901" i="2"/>
  <c r="J1901" i="2"/>
  <c r="I1901" i="2"/>
  <c r="H1901" i="2"/>
  <c r="G1901" i="2"/>
  <c r="F1901" i="2"/>
  <c r="E1901" i="2"/>
  <c r="D1901" i="2"/>
  <c r="C1901" i="2"/>
  <c r="B1901" i="2"/>
  <c r="O1900" i="2"/>
  <c r="N1900" i="2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O1899" i="2"/>
  <c r="N1899" i="2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O1898" i="2"/>
  <c r="N1898" i="2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O1897" i="2"/>
  <c r="N1897" i="2"/>
  <c r="M1897" i="2"/>
  <c r="L1897" i="2"/>
  <c r="K1897" i="2"/>
  <c r="J1897" i="2"/>
  <c r="I1897" i="2"/>
  <c r="H1897" i="2"/>
  <c r="G1897" i="2"/>
  <c r="F1897" i="2"/>
  <c r="E1897" i="2"/>
  <c r="D1897" i="2"/>
  <c r="C1897" i="2"/>
  <c r="B1897" i="2"/>
  <c r="O1896" i="2"/>
  <c r="N1896" i="2"/>
  <c r="M1896" i="2"/>
  <c r="L1896" i="2"/>
  <c r="K1896" i="2"/>
  <c r="J1896" i="2"/>
  <c r="I1896" i="2"/>
  <c r="H1896" i="2"/>
  <c r="G1896" i="2"/>
  <c r="F1896" i="2"/>
  <c r="E1896" i="2"/>
  <c r="D1896" i="2"/>
  <c r="C1896" i="2"/>
  <c r="B1896" i="2"/>
  <c r="O1895" i="2"/>
  <c r="N1895" i="2"/>
  <c r="M1895" i="2"/>
  <c r="L1895" i="2"/>
  <c r="K1895" i="2"/>
  <c r="J1895" i="2"/>
  <c r="I1895" i="2"/>
  <c r="H1895" i="2"/>
  <c r="G1895" i="2"/>
  <c r="F1895" i="2"/>
  <c r="E1895" i="2"/>
  <c r="D1895" i="2"/>
  <c r="C1895" i="2"/>
  <c r="B1895" i="2"/>
  <c r="O1894" i="2"/>
  <c r="N1894" i="2"/>
  <c r="M1894" i="2"/>
  <c r="L1894" i="2"/>
  <c r="K1894" i="2"/>
  <c r="J1894" i="2"/>
  <c r="I1894" i="2"/>
  <c r="H1894" i="2"/>
  <c r="G1894" i="2"/>
  <c r="F1894" i="2"/>
  <c r="E1894" i="2"/>
  <c r="D1894" i="2"/>
  <c r="C1894" i="2"/>
  <c r="B1894" i="2"/>
  <c r="O1893" i="2"/>
  <c r="N1893" i="2"/>
  <c r="M1893" i="2"/>
  <c r="L1893" i="2"/>
  <c r="K1893" i="2"/>
  <c r="J1893" i="2"/>
  <c r="I1893" i="2"/>
  <c r="H1893" i="2"/>
  <c r="G1893" i="2"/>
  <c r="F1893" i="2"/>
  <c r="E1893" i="2"/>
  <c r="D1893" i="2"/>
  <c r="C1893" i="2"/>
  <c r="B1893" i="2"/>
  <c r="O1892" i="2"/>
  <c r="N1892" i="2"/>
  <c r="M1892" i="2"/>
  <c r="L1892" i="2"/>
  <c r="K1892" i="2"/>
  <c r="J1892" i="2"/>
  <c r="I1892" i="2"/>
  <c r="H1892" i="2"/>
  <c r="G1892" i="2"/>
  <c r="F1892" i="2"/>
  <c r="E1892" i="2"/>
  <c r="D1892" i="2"/>
  <c r="C1892" i="2"/>
  <c r="B1892" i="2"/>
  <c r="O1891" i="2"/>
  <c r="N1891" i="2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O1890" i="2"/>
  <c r="N1890" i="2"/>
  <c r="M1890" i="2"/>
  <c r="L1890" i="2"/>
  <c r="K1890" i="2"/>
  <c r="J1890" i="2"/>
  <c r="I1890" i="2"/>
  <c r="H1890" i="2"/>
  <c r="G1890" i="2"/>
  <c r="F1890" i="2"/>
  <c r="E1890" i="2"/>
  <c r="D1890" i="2"/>
  <c r="C1890" i="2"/>
  <c r="B1890" i="2"/>
  <c r="O1889" i="2"/>
  <c r="N1889" i="2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O1888" i="2"/>
  <c r="N1888" i="2"/>
  <c r="M1888" i="2"/>
  <c r="L1888" i="2"/>
  <c r="K1888" i="2"/>
  <c r="J1888" i="2"/>
  <c r="I1888" i="2"/>
  <c r="H1888" i="2"/>
  <c r="G1888" i="2"/>
  <c r="F1888" i="2"/>
  <c r="E1888" i="2"/>
  <c r="D1888" i="2"/>
  <c r="C1888" i="2"/>
  <c r="B1888" i="2"/>
  <c r="O1887" i="2"/>
  <c r="N1887" i="2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O1886" i="2"/>
  <c r="N1886" i="2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O1885" i="2"/>
  <c r="N1885" i="2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O1884" i="2"/>
  <c r="N1884" i="2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O1883" i="2"/>
  <c r="N1883" i="2"/>
  <c r="M1883" i="2"/>
  <c r="L1883" i="2"/>
  <c r="K1883" i="2"/>
  <c r="J1883" i="2"/>
  <c r="I1883" i="2"/>
  <c r="H1883" i="2"/>
  <c r="G1883" i="2"/>
  <c r="F1883" i="2"/>
  <c r="E1883" i="2"/>
  <c r="D1883" i="2"/>
  <c r="C1883" i="2"/>
  <c r="B1883" i="2"/>
  <c r="O1882" i="2"/>
  <c r="N1882" i="2"/>
  <c r="M1882" i="2"/>
  <c r="L1882" i="2"/>
  <c r="K1882" i="2"/>
  <c r="J1882" i="2"/>
  <c r="I1882" i="2"/>
  <c r="H1882" i="2"/>
  <c r="G1882" i="2"/>
  <c r="F1882" i="2"/>
  <c r="E1882" i="2"/>
  <c r="D1882" i="2"/>
  <c r="C1882" i="2"/>
  <c r="B1882" i="2"/>
  <c r="O1881" i="2"/>
  <c r="N1881" i="2"/>
  <c r="M1881" i="2"/>
  <c r="L1881" i="2"/>
  <c r="K1881" i="2"/>
  <c r="J1881" i="2"/>
  <c r="I1881" i="2"/>
  <c r="H1881" i="2"/>
  <c r="G1881" i="2"/>
  <c r="F1881" i="2"/>
  <c r="E1881" i="2"/>
  <c r="D1881" i="2"/>
  <c r="C1881" i="2"/>
  <c r="B1881" i="2"/>
  <c r="O1880" i="2"/>
  <c r="N1880" i="2"/>
  <c r="M1880" i="2"/>
  <c r="L1880" i="2"/>
  <c r="K1880" i="2"/>
  <c r="J1880" i="2"/>
  <c r="I1880" i="2"/>
  <c r="H1880" i="2"/>
  <c r="G1880" i="2"/>
  <c r="F1880" i="2"/>
  <c r="E1880" i="2"/>
  <c r="D1880" i="2"/>
  <c r="C1880" i="2"/>
  <c r="B1880" i="2"/>
  <c r="O1879" i="2"/>
  <c r="N1879" i="2"/>
  <c r="M1879" i="2"/>
  <c r="L1879" i="2"/>
  <c r="K1879" i="2"/>
  <c r="J1879" i="2"/>
  <c r="I1879" i="2"/>
  <c r="H1879" i="2"/>
  <c r="G1879" i="2"/>
  <c r="F1879" i="2"/>
  <c r="E1879" i="2"/>
  <c r="D1879" i="2"/>
  <c r="C1879" i="2"/>
  <c r="B1879" i="2"/>
  <c r="O1878" i="2"/>
  <c r="N1878" i="2"/>
  <c r="M1878" i="2"/>
  <c r="L1878" i="2"/>
  <c r="K1878" i="2"/>
  <c r="J1878" i="2"/>
  <c r="I1878" i="2"/>
  <c r="H1878" i="2"/>
  <c r="G1878" i="2"/>
  <c r="F1878" i="2"/>
  <c r="E1878" i="2"/>
  <c r="D1878" i="2"/>
  <c r="C1878" i="2"/>
  <c r="B1878" i="2"/>
  <c r="O1877" i="2"/>
  <c r="N1877" i="2"/>
  <c r="M1877" i="2"/>
  <c r="L1877" i="2"/>
  <c r="K1877" i="2"/>
  <c r="J1877" i="2"/>
  <c r="I1877" i="2"/>
  <c r="H1877" i="2"/>
  <c r="G1877" i="2"/>
  <c r="F1877" i="2"/>
  <c r="E1877" i="2"/>
  <c r="D1877" i="2"/>
  <c r="C1877" i="2"/>
  <c r="B1877" i="2"/>
  <c r="O1876" i="2"/>
  <c r="N1876" i="2"/>
  <c r="M1876" i="2"/>
  <c r="L1876" i="2"/>
  <c r="K1876" i="2"/>
  <c r="J1876" i="2"/>
  <c r="I1876" i="2"/>
  <c r="H1876" i="2"/>
  <c r="G1876" i="2"/>
  <c r="F1876" i="2"/>
  <c r="E1876" i="2"/>
  <c r="D1876" i="2"/>
  <c r="C1876" i="2"/>
  <c r="B1876" i="2"/>
  <c r="O1875" i="2"/>
  <c r="N1875" i="2"/>
  <c r="M1875" i="2"/>
  <c r="L1875" i="2"/>
  <c r="K1875" i="2"/>
  <c r="J1875" i="2"/>
  <c r="I1875" i="2"/>
  <c r="H1875" i="2"/>
  <c r="G1875" i="2"/>
  <c r="F1875" i="2"/>
  <c r="E1875" i="2"/>
  <c r="D1875" i="2"/>
  <c r="C1875" i="2"/>
  <c r="B1875" i="2"/>
  <c r="O1874" i="2"/>
  <c r="N1874" i="2"/>
  <c r="M1874" i="2"/>
  <c r="L1874" i="2"/>
  <c r="K1874" i="2"/>
  <c r="J1874" i="2"/>
  <c r="I1874" i="2"/>
  <c r="H1874" i="2"/>
  <c r="G1874" i="2"/>
  <c r="F1874" i="2"/>
  <c r="E1874" i="2"/>
  <c r="D1874" i="2"/>
  <c r="C1874" i="2"/>
  <c r="B1874" i="2"/>
  <c r="O1873" i="2"/>
  <c r="N1873" i="2"/>
  <c r="M1873" i="2"/>
  <c r="L1873" i="2"/>
  <c r="K1873" i="2"/>
  <c r="J1873" i="2"/>
  <c r="I1873" i="2"/>
  <c r="H1873" i="2"/>
  <c r="G1873" i="2"/>
  <c r="F1873" i="2"/>
  <c r="E1873" i="2"/>
  <c r="D1873" i="2"/>
  <c r="C1873" i="2"/>
  <c r="B1873" i="2"/>
  <c r="O1872" i="2"/>
  <c r="N1872" i="2"/>
  <c r="M1872" i="2"/>
  <c r="L1872" i="2"/>
  <c r="K1872" i="2"/>
  <c r="J1872" i="2"/>
  <c r="I1872" i="2"/>
  <c r="H1872" i="2"/>
  <c r="G1872" i="2"/>
  <c r="F1872" i="2"/>
  <c r="E1872" i="2"/>
  <c r="D1872" i="2"/>
  <c r="C1872" i="2"/>
  <c r="B1872" i="2"/>
  <c r="O1871" i="2"/>
  <c r="N1871" i="2"/>
  <c r="M1871" i="2"/>
  <c r="L1871" i="2"/>
  <c r="K1871" i="2"/>
  <c r="J1871" i="2"/>
  <c r="I1871" i="2"/>
  <c r="H1871" i="2"/>
  <c r="G1871" i="2"/>
  <c r="F1871" i="2"/>
  <c r="E1871" i="2"/>
  <c r="D1871" i="2"/>
  <c r="C1871" i="2"/>
  <c r="B1871" i="2"/>
  <c r="O1870" i="2"/>
  <c r="N1870" i="2"/>
  <c r="M1870" i="2"/>
  <c r="L1870" i="2"/>
  <c r="K1870" i="2"/>
  <c r="J1870" i="2"/>
  <c r="I1870" i="2"/>
  <c r="H1870" i="2"/>
  <c r="G1870" i="2"/>
  <c r="F1870" i="2"/>
  <c r="E1870" i="2"/>
  <c r="D1870" i="2"/>
  <c r="C1870" i="2"/>
  <c r="B1870" i="2"/>
  <c r="O1869" i="2"/>
  <c r="N1869" i="2"/>
  <c r="M1869" i="2"/>
  <c r="L1869" i="2"/>
  <c r="K1869" i="2"/>
  <c r="J1869" i="2"/>
  <c r="I1869" i="2"/>
  <c r="H1869" i="2"/>
  <c r="G1869" i="2"/>
  <c r="F1869" i="2"/>
  <c r="E1869" i="2"/>
  <c r="D1869" i="2"/>
  <c r="C1869" i="2"/>
  <c r="B1869" i="2"/>
  <c r="O1868" i="2"/>
  <c r="N1868" i="2"/>
  <c r="M1868" i="2"/>
  <c r="L1868" i="2"/>
  <c r="K1868" i="2"/>
  <c r="J1868" i="2"/>
  <c r="I1868" i="2"/>
  <c r="H1868" i="2"/>
  <c r="G1868" i="2"/>
  <c r="F1868" i="2"/>
  <c r="E1868" i="2"/>
  <c r="D1868" i="2"/>
  <c r="C1868" i="2"/>
  <c r="B1868" i="2"/>
  <c r="O1867" i="2"/>
  <c r="N1867" i="2"/>
  <c r="M1867" i="2"/>
  <c r="L1867" i="2"/>
  <c r="K1867" i="2"/>
  <c r="J1867" i="2"/>
  <c r="I1867" i="2"/>
  <c r="H1867" i="2"/>
  <c r="G1867" i="2"/>
  <c r="F1867" i="2"/>
  <c r="E1867" i="2"/>
  <c r="D1867" i="2"/>
  <c r="C1867" i="2"/>
  <c r="B1867" i="2"/>
  <c r="O1866" i="2"/>
  <c r="N1866" i="2"/>
  <c r="M1866" i="2"/>
  <c r="L1866" i="2"/>
  <c r="K1866" i="2"/>
  <c r="J1866" i="2"/>
  <c r="I1866" i="2"/>
  <c r="H1866" i="2"/>
  <c r="G1866" i="2"/>
  <c r="F1866" i="2"/>
  <c r="E1866" i="2"/>
  <c r="D1866" i="2"/>
  <c r="C1866" i="2"/>
  <c r="B1866" i="2"/>
  <c r="O1865" i="2"/>
  <c r="N1865" i="2"/>
  <c r="M1865" i="2"/>
  <c r="L1865" i="2"/>
  <c r="K1865" i="2"/>
  <c r="J1865" i="2"/>
  <c r="I1865" i="2"/>
  <c r="H1865" i="2"/>
  <c r="G1865" i="2"/>
  <c r="F1865" i="2"/>
  <c r="E1865" i="2"/>
  <c r="D1865" i="2"/>
  <c r="C1865" i="2"/>
  <c r="B1865" i="2"/>
  <c r="O1864" i="2"/>
  <c r="N1864" i="2"/>
  <c r="M1864" i="2"/>
  <c r="L1864" i="2"/>
  <c r="K1864" i="2"/>
  <c r="J1864" i="2"/>
  <c r="I1864" i="2"/>
  <c r="H1864" i="2"/>
  <c r="G1864" i="2"/>
  <c r="F1864" i="2"/>
  <c r="E1864" i="2"/>
  <c r="D1864" i="2"/>
  <c r="C1864" i="2"/>
  <c r="B1864" i="2"/>
  <c r="O1863" i="2"/>
  <c r="N1863" i="2"/>
  <c r="M1863" i="2"/>
  <c r="L1863" i="2"/>
  <c r="K1863" i="2"/>
  <c r="J1863" i="2"/>
  <c r="I1863" i="2"/>
  <c r="H1863" i="2"/>
  <c r="G1863" i="2"/>
  <c r="F1863" i="2"/>
  <c r="E1863" i="2"/>
  <c r="D1863" i="2"/>
  <c r="C1863" i="2"/>
  <c r="B1863" i="2"/>
  <c r="O1862" i="2"/>
  <c r="N1862" i="2"/>
  <c r="M1862" i="2"/>
  <c r="L1862" i="2"/>
  <c r="K1862" i="2"/>
  <c r="J1862" i="2"/>
  <c r="I1862" i="2"/>
  <c r="H1862" i="2"/>
  <c r="G1862" i="2"/>
  <c r="F1862" i="2"/>
  <c r="E1862" i="2"/>
  <c r="D1862" i="2"/>
  <c r="C1862" i="2"/>
  <c r="B1862" i="2"/>
  <c r="O1861" i="2"/>
  <c r="N1861" i="2"/>
  <c r="M1861" i="2"/>
  <c r="L1861" i="2"/>
  <c r="K1861" i="2"/>
  <c r="J1861" i="2"/>
  <c r="I1861" i="2"/>
  <c r="H1861" i="2"/>
  <c r="G1861" i="2"/>
  <c r="F1861" i="2"/>
  <c r="E1861" i="2"/>
  <c r="D1861" i="2"/>
  <c r="C1861" i="2"/>
  <c r="B1861" i="2"/>
  <c r="O1860" i="2"/>
  <c r="N1860" i="2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O1859" i="2"/>
  <c r="N1859" i="2"/>
  <c r="M1859" i="2"/>
  <c r="L1859" i="2"/>
  <c r="K1859" i="2"/>
  <c r="J1859" i="2"/>
  <c r="I1859" i="2"/>
  <c r="H1859" i="2"/>
  <c r="G1859" i="2"/>
  <c r="F1859" i="2"/>
  <c r="E1859" i="2"/>
  <c r="D1859" i="2"/>
  <c r="C1859" i="2"/>
  <c r="B1859" i="2"/>
  <c r="O1858" i="2"/>
  <c r="N1858" i="2"/>
  <c r="M1858" i="2"/>
  <c r="L1858" i="2"/>
  <c r="K1858" i="2"/>
  <c r="J1858" i="2"/>
  <c r="I1858" i="2"/>
  <c r="H1858" i="2"/>
  <c r="G1858" i="2"/>
  <c r="F1858" i="2"/>
  <c r="E1858" i="2"/>
  <c r="D1858" i="2"/>
  <c r="C1858" i="2"/>
  <c r="B1858" i="2"/>
  <c r="O1857" i="2"/>
  <c r="N1857" i="2"/>
  <c r="M1857" i="2"/>
  <c r="L1857" i="2"/>
  <c r="K1857" i="2"/>
  <c r="J1857" i="2"/>
  <c r="I1857" i="2"/>
  <c r="H1857" i="2"/>
  <c r="G1857" i="2"/>
  <c r="F1857" i="2"/>
  <c r="E1857" i="2"/>
  <c r="D1857" i="2"/>
  <c r="C1857" i="2"/>
  <c r="B1857" i="2"/>
  <c r="O1856" i="2"/>
  <c r="N1856" i="2"/>
  <c r="M1856" i="2"/>
  <c r="L1856" i="2"/>
  <c r="K1856" i="2"/>
  <c r="J1856" i="2"/>
  <c r="I1856" i="2"/>
  <c r="H1856" i="2"/>
  <c r="G1856" i="2"/>
  <c r="F1856" i="2"/>
  <c r="E1856" i="2"/>
  <c r="D1856" i="2"/>
  <c r="C1856" i="2"/>
  <c r="B1856" i="2"/>
  <c r="O1855" i="2"/>
  <c r="N1855" i="2"/>
  <c r="M1855" i="2"/>
  <c r="L1855" i="2"/>
  <c r="K1855" i="2"/>
  <c r="J1855" i="2"/>
  <c r="I1855" i="2"/>
  <c r="H1855" i="2"/>
  <c r="G1855" i="2"/>
  <c r="F1855" i="2"/>
  <c r="E1855" i="2"/>
  <c r="D1855" i="2"/>
  <c r="C1855" i="2"/>
  <c r="B1855" i="2"/>
  <c r="O1854" i="2"/>
  <c r="N1854" i="2"/>
  <c r="M1854" i="2"/>
  <c r="L1854" i="2"/>
  <c r="K1854" i="2"/>
  <c r="J1854" i="2"/>
  <c r="I1854" i="2"/>
  <c r="H1854" i="2"/>
  <c r="G1854" i="2"/>
  <c r="F1854" i="2"/>
  <c r="E1854" i="2"/>
  <c r="D1854" i="2"/>
  <c r="C1854" i="2"/>
  <c r="B1854" i="2"/>
  <c r="O1853" i="2"/>
  <c r="N1853" i="2"/>
  <c r="M1853" i="2"/>
  <c r="L1853" i="2"/>
  <c r="K1853" i="2"/>
  <c r="J1853" i="2"/>
  <c r="I1853" i="2"/>
  <c r="H1853" i="2"/>
  <c r="G1853" i="2"/>
  <c r="F1853" i="2"/>
  <c r="E1853" i="2"/>
  <c r="D1853" i="2"/>
  <c r="C1853" i="2"/>
  <c r="B1853" i="2"/>
  <c r="O1852" i="2"/>
  <c r="N1852" i="2"/>
  <c r="M1852" i="2"/>
  <c r="L1852" i="2"/>
  <c r="K1852" i="2"/>
  <c r="J1852" i="2"/>
  <c r="I1852" i="2"/>
  <c r="H1852" i="2"/>
  <c r="G1852" i="2"/>
  <c r="F1852" i="2"/>
  <c r="E1852" i="2"/>
  <c r="D1852" i="2"/>
  <c r="C1852" i="2"/>
  <c r="B1852" i="2"/>
  <c r="O1851" i="2"/>
  <c r="N1851" i="2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O1850" i="2"/>
  <c r="N1850" i="2"/>
  <c r="M1850" i="2"/>
  <c r="L1850" i="2"/>
  <c r="K1850" i="2"/>
  <c r="J1850" i="2"/>
  <c r="I1850" i="2"/>
  <c r="H1850" i="2"/>
  <c r="G1850" i="2"/>
  <c r="F1850" i="2"/>
  <c r="E1850" i="2"/>
  <c r="D1850" i="2"/>
  <c r="C1850" i="2"/>
  <c r="B1850" i="2"/>
  <c r="O1849" i="2"/>
  <c r="N1849" i="2"/>
  <c r="M1849" i="2"/>
  <c r="L1849" i="2"/>
  <c r="K1849" i="2"/>
  <c r="J1849" i="2"/>
  <c r="I1849" i="2"/>
  <c r="H1849" i="2"/>
  <c r="G1849" i="2"/>
  <c r="F1849" i="2"/>
  <c r="E1849" i="2"/>
  <c r="D1849" i="2"/>
  <c r="C1849" i="2"/>
  <c r="B1849" i="2"/>
  <c r="O1848" i="2"/>
  <c r="N1848" i="2"/>
  <c r="M1848" i="2"/>
  <c r="L1848" i="2"/>
  <c r="K1848" i="2"/>
  <c r="J1848" i="2"/>
  <c r="I1848" i="2"/>
  <c r="H1848" i="2"/>
  <c r="G1848" i="2"/>
  <c r="F1848" i="2"/>
  <c r="E1848" i="2"/>
  <c r="D1848" i="2"/>
  <c r="C1848" i="2"/>
  <c r="B1848" i="2"/>
  <c r="O1847" i="2"/>
  <c r="N1847" i="2"/>
  <c r="M1847" i="2"/>
  <c r="L1847" i="2"/>
  <c r="K1847" i="2"/>
  <c r="J1847" i="2"/>
  <c r="I1847" i="2"/>
  <c r="H1847" i="2"/>
  <c r="G1847" i="2"/>
  <c r="F1847" i="2"/>
  <c r="E1847" i="2"/>
  <c r="D1847" i="2"/>
  <c r="C1847" i="2"/>
  <c r="B1847" i="2"/>
  <c r="O1846" i="2"/>
  <c r="N1846" i="2"/>
  <c r="M1846" i="2"/>
  <c r="L1846" i="2"/>
  <c r="K1846" i="2"/>
  <c r="J1846" i="2"/>
  <c r="I1846" i="2"/>
  <c r="H1846" i="2"/>
  <c r="G1846" i="2"/>
  <c r="F1846" i="2"/>
  <c r="E1846" i="2"/>
  <c r="D1846" i="2"/>
  <c r="C1846" i="2"/>
  <c r="B1846" i="2"/>
  <c r="O1845" i="2"/>
  <c r="N1845" i="2"/>
  <c r="M1845" i="2"/>
  <c r="L1845" i="2"/>
  <c r="K1845" i="2"/>
  <c r="J1845" i="2"/>
  <c r="I1845" i="2"/>
  <c r="H1845" i="2"/>
  <c r="G1845" i="2"/>
  <c r="F1845" i="2"/>
  <c r="E1845" i="2"/>
  <c r="D1845" i="2"/>
  <c r="C1845" i="2"/>
  <c r="B1845" i="2"/>
  <c r="O1844" i="2"/>
  <c r="N1844" i="2"/>
  <c r="M1844" i="2"/>
  <c r="L1844" i="2"/>
  <c r="K1844" i="2"/>
  <c r="J1844" i="2"/>
  <c r="I1844" i="2"/>
  <c r="H1844" i="2"/>
  <c r="G1844" i="2"/>
  <c r="F1844" i="2"/>
  <c r="E1844" i="2"/>
  <c r="D1844" i="2"/>
  <c r="C1844" i="2"/>
  <c r="B1844" i="2"/>
  <c r="O1843" i="2"/>
  <c r="N1843" i="2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O1842" i="2"/>
  <c r="N1842" i="2"/>
  <c r="M1842" i="2"/>
  <c r="L1842" i="2"/>
  <c r="K1842" i="2"/>
  <c r="J1842" i="2"/>
  <c r="I1842" i="2"/>
  <c r="H1842" i="2"/>
  <c r="G1842" i="2"/>
  <c r="F1842" i="2"/>
  <c r="E1842" i="2"/>
  <c r="D1842" i="2"/>
  <c r="C1842" i="2"/>
  <c r="B1842" i="2"/>
  <c r="O1841" i="2"/>
  <c r="N1841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O1840" i="2"/>
  <c r="N1840" i="2"/>
  <c r="M1840" i="2"/>
  <c r="L1840" i="2"/>
  <c r="K1840" i="2"/>
  <c r="J1840" i="2"/>
  <c r="I1840" i="2"/>
  <c r="H1840" i="2"/>
  <c r="G1840" i="2"/>
  <c r="F1840" i="2"/>
  <c r="E1840" i="2"/>
  <c r="D1840" i="2"/>
  <c r="C1840" i="2"/>
  <c r="B1840" i="2"/>
  <c r="O1839" i="2"/>
  <c r="N1839" i="2"/>
  <c r="M1839" i="2"/>
  <c r="L1839" i="2"/>
  <c r="K1839" i="2"/>
  <c r="J1839" i="2"/>
  <c r="I1839" i="2"/>
  <c r="H1839" i="2"/>
  <c r="G1839" i="2"/>
  <c r="F1839" i="2"/>
  <c r="E1839" i="2"/>
  <c r="D1839" i="2"/>
  <c r="C1839" i="2"/>
  <c r="B1839" i="2"/>
  <c r="O1838" i="2"/>
  <c r="N1838" i="2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O1837" i="2"/>
  <c r="N1837" i="2"/>
  <c r="M1837" i="2"/>
  <c r="L1837" i="2"/>
  <c r="K1837" i="2"/>
  <c r="J1837" i="2"/>
  <c r="I1837" i="2"/>
  <c r="H1837" i="2"/>
  <c r="G1837" i="2"/>
  <c r="F1837" i="2"/>
  <c r="E1837" i="2"/>
  <c r="D1837" i="2"/>
  <c r="C1837" i="2"/>
  <c r="B1837" i="2"/>
  <c r="O1836" i="2"/>
  <c r="N1836" i="2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O1835" i="2"/>
  <c r="N1835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O1834" i="2"/>
  <c r="N1834" i="2"/>
  <c r="M1834" i="2"/>
  <c r="L1834" i="2"/>
  <c r="K1834" i="2"/>
  <c r="J1834" i="2"/>
  <c r="I1834" i="2"/>
  <c r="H1834" i="2"/>
  <c r="G1834" i="2"/>
  <c r="F1834" i="2"/>
  <c r="E1834" i="2"/>
  <c r="D1834" i="2"/>
  <c r="C1834" i="2"/>
  <c r="B1834" i="2"/>
  <c r="O1833" i="2"/>
  <c r="N1833" i="2"/>
  <c r="M1833" i="2"/>
  <c r="L1833" i="2"/>
  <c r="K1833" i="2"/>
  <c r="J1833" i="2"/>
  <c r="I1833" i="2"/>
  <c r="H1833" i="2"/>
  <c r="G1833" i="2"/>
  <c r="F1833" i="2"/>
  <c r="E1833" i="2"/>
  <c r="D1833" i="2"/>
  <c r="C1833" i="2"/>
  <c r="B1833" i="2"/>
  <c r="O1832" i="2"/>
  <c r="N1832" i="2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O1831" i="2"/>
  <c r="N1831" i="2"/>
  <c r="M1831" i="2"/>
  <c r="L1831" i="2"/>
  <c r="K1831" i="2"/>
  <c r="J1831" i="2"/>
  <c r="I1831" i="2"/>
  <c r="H1831" i="2"/>
  <c r="G1831" i="2"/>
  <c r="F1831" i="2"/>
  <c r="E1831" i="2"/>
  <c r="D1831" i="2"/>
  <c r="C1831" i="2"/>
  <c r="B1831" i="2"/>
  <c r="O1830" i="2"/>
  <c r="N1830" i="2"/>
  <c r="M1830" i="2"/>
  <c r="L1830" i="2"/>
  <c r="K1830" i="2"/>
  <c r="J1830" i="2"/>
  <c r="I1830" i="2"/>
  <c r="H1830" i="2"/>
  <c r="G1830" i="2"/>
  <c r="F1830" i="2"/>
  <c r="E1830" i="2"/>
  <c r="D1830" i="2"/>
  <c r="C1830" i="2"/>
  <c r="B1830" i="2"/>
  <c r="O1829" i="2"/>
  <c r="N1829" i="2"/>
  <c r="M1829" i="2"/>
  <c r="L1829" i="2"/>
  <c r="K1829" i="2"/>
  <c r="J1829" i="2"/>
  <c r="I1829" i="2"/>
  <c r="H1829" i="2"/>
  <c r="G1829" i="2"/>
  <c r="F1829" i="2"/>
  <c r="E1829" i="2"/>
  <c r="D1829" i="2"/>
  <c r="C1829" i="2"/>
  <c r="B1829" i="2"/>
  <c r="O1828" i="2"/>
  <c r="N1828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O1827" i="2"/>
  <c r="N1827" i="2"/>
  <c r="M1827" i="2"/>
  <c r="L1827" i="2"/>
  <c r="K1827" i="2"/>
  <c r="J1827" i="2"/>
  <c r="I1827" i="2"/>
  <c r="H1827" i="2"/>
  <c r="G1827" i="2"/>
  <c r="F1827" i="2"/>
  <c r="E1827" i="2"/>
  <c r="D1827" i="2"/>
  <c r="C1827" i="2"/>
  <c r="B1827" i="2"/>
  <c r="O1826" i="2"/>
  <c r="N1826" i="2"/>
  <c r="M1826" i="2"/>
  <c r="L1826" i="2"/>
  <c r="K1826" i="2"/>
  <c r="J1826" i="2"/>
  <c r="I1826" i="2"/>
  <c r="H1826" i="2"/>
  <c r="G1826" i="2"/>
  <c r="F1826" i="2"/>
  <c r="E1826" i="2"/>
  <c r="D1826" i="2"/>
  <c r="C1826" i="2"/>
  <c r="B1826" i="2"/>
  <c r="O1825" i="2"/>
  <c r="N1825" i="2"/>
  <c r="M1825" i="2"/>
  <c r="L1825" i="2"/>
  <c r="K1825" i="2"/>
  <c r="J1825" i="2"/>
  <c r="I1825" i="2"/>
  <c r="H1825" i="2"/>
  <c r="G1825" i="2"/>
  <c r="F1825" i="2"/>
  <c r="E1825" i="2"/>
  <c r="D1825" i="2"/>
  <c r="C1825" i="2"/>
  <c r="B1825" i="2"/>
  <c r="O1824" i="2"/>
  <c r="N1824" i="2"/>
  <c r="M1824" i="2"/>
  <c r="L1824" i="2"/>
  <c r="K1824" i="2"/>
  <c r="J1824" i="2"/>
  <c r="I1824" i="2"/>
  <c r="H1824" i="2"/>
  <c r="G1824" i="2"/>
  <c r="F1824" i="2"/>
  <c r="E1824" i="2"/>
  <c r="D1824" i="2"/>
  <c r="C1824" i="2"/>
  <c r="B1824" i="2"/>
  <c r="O1823" i="2"/>
  <c r="N1823" i="2"/>
  <c r="M1823" i="2"/>
  <c r="L1823" i="2"/>
  <c r="K1823" i="2"/>
  <c r="J1823" i="2"/>
  <c r="I1823" i="2"/>
  <c r="H1823" i="2"/>
  <c r="G1823" i="2"/>
  <c r="F1823" i="2"/>
  <c r="E1823" i="2"/>
  <c r="D1823" i="2"/>
  <c r="C1823" i="2"/>
  <c r="B1823" i="2"/>
  <c r="O1822" i="2"/>
  <c r="N1822" i="2"/>
  <c r="M1822" i="2"/>
  <c r="L1822" i="2"/>
  <c r="K1822" i="2"/>
  <c r="J1822" i="2"/>
  <c r="I1822" i="2"/>
  <c r="H1822" i="2"/>
  <c r="G1822" i="2"/>
  <c r="F1822" i="2"/>
  <c r="E1822" i="2"/>
  <c r="D1822" i="2"/>
  <c r="C1822" i="2"/>
  <c r="B1822" i="2"/>
  <c r="O1821" i="2"/>
  <c r="N1821" i="2"/>
  <c r="M1821" i="2"/>
  <c r="L1821" i="2"/>
  <c r="K1821" i="2"/>
  <c r="J1821" i="2"/>
  <c r="I1821" i="2"/>
  <c r="H1821" i="2"/>
  <c r="G1821" i="2"/>
  <c r="F1821" i="2"/>
  <c r="E1821" i="2"/>
  <c r="D1821" i="2"/>
  <c r="C1821" i="2"/>
  <c r="B1821" i="2"/>
  <c r="O1820" i="2"/>
  <c r="N1820" i="2"/>
  <c r="M1820" i="2"/>
  <c r="L1820" i="2"/>
  <c r="K1820" i="2"/>
  <c r="J1820" i="2"/>
  <c r="I1820" i="2"/>
  <c r="H1820" i="2"/>
  <c r="G1820" i="2"/>
  <c r="F1820" i="2"/>
  <c r="E1820" i="2"/>
  <c r="D1820" i="2"/>
  <c r="C1820" i="2"/>
  <c r="B1820" i="2"/>
  <c r="O1819" i="2"/>
  <c r="N1819" i="2"/>
  <c r="M1819" i="2"/>
  <c r="L1819" i="2"/>
  <c r="K1819" i="2"/>
  <c r="J1819" i="2"/>
  <c r="I1819" i="2"/>
  <c r="H1819" i="2"/>
  <c r="G1819" i="2"/>
  <c r="F1819" i="2"/>
  <c r="E1819" i="2"/>
  <c r="D1819" i="2"/>
  <c r="C1819" i="2"/>
  <c r="B1819" i="2"/>
  <c r="O1818" i="2"/>
  <c r="N1818" i="2"/>
  <c r="M1818" i="2"/>
  <c r="L1818" i="2"/>
  <c r="K1818" i="2"/>
  <c r="J1818" i="2"/>
  <c r="I1818" i="2"/>
  <c r="H1818" i="2"/>
  <c r="G1818" i="2"/>
  <c r="F1818" i="2"/>
  <c r="E1818" i="2"/>
  <c r="D1818" i="2"/>
  <c r="C1818" i="2"/>
  <c r="B1818" i="2"/>
  <c r="O1817" i="2"/>
  <c r="N1817" i="2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O1816" i="2"/>
  <c r="N1816" i="2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O1815" i="2"/>
  <c r="N1815" i="2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O1814" i="2"/>
  <c r="N1814" i="2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O1813" i="2"/>
  <c r="N1813" i="2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O1812" i="2"/>
  <c r="N1812" i="2"/>
  <c r="M1812" i="2"/>
  <c r="L1812" i="2"/>
  <c r="K1812" i="2"/>
  <c r="J1812" i="2"/>
  <c r="I1812" i="2"/>
  <c r="H1812" i="2"/>
  <c r="G1812" i="2"/>
  <c r="F1812" i="2"/>
  <c r="E1812" i="2"/>
  <c r="D1812" i="2"/>
  <c r="C1812" i="2"/>
  <c r="B1812" i="2"/>
  <c r="O1811" i="2"/>
  <c r="N1811" i="2"/>
  <c r="M1811" i="2"/>
  <c r="L1811" i="2"/>
  <c r="K1811" i="2"/>
  <c r="J1811" i="2"/>
  <c r="I1811" i="2"/>
  <c r="H1811" i="2"/>
  <c r="G1811" i="2"/>
  <c r="F1811" i="2"/>
  <c r="E1811" i="2"/>
  <c r="D1811" i="2"/>
  <c r="C1811" i="2"/>
  <c r="B1811" i="2"/>
  <c r="O1810" i="2"/>
  <c r="N1810" i="2"/>
  <c r="M1810" i="2"/>
  <c r="L1810" i="2"/>
  <c r="K1810" i="2"/>
  <c r="J1810" i="2"/>
  <c r="I1810" i="2"/>
  <c r="H1810" i="2"/>
  <c r="G1810" i="2"/>
  <c r="F1810" i="2"/>
  <c r="E1810" i="2"/>
  <c r="D1810" i="2"/>
  <c r="C1810" i="2"/>
  <c r="B1810" i="2"/>
  <c r="O1809" i="2"/>
  <c r="N1809" i="2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O1808" i="2"/>
  <c r="N1808" i="2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O1807" i="2"/>
  <c r="N1807" i="2"/>
  <c r="M1807" i="2"/>
  <c r="L1807" i="2"/>
  <c r="K1807" i="2"/>
  <c r="J1807" i="2"/>
  <c r="I1807" i="2"/>
  <c r="H1807" i="2"/>
  <c r="G1807" i="2"/>
  <c r="F1807" i="2"/>
  <c r="E1807" i="2"/>
  <c r="D1807" i="2"/>
  <c r="C1807" i="2"/>
  <c r="B1807" i="2"/>
  <c r="O1806" i="2"/>
  <c r="N1806" i="2"/>
  <c r="M1806" i="2"/>
  <c r="L1806" i="2"/>
  <c r="K1806" i="2"/>
  <c r="J1806" i="2"/>
  <c r="I1806" i="2"/>
  <c r="H1806" i="2"/>
  <c r="G1806" i="2"/>
  <c r="F1806" i="2"/>
  <c r="E1806" i="2"/>
  <c r="D1806" i="2"/>
  <c r="C1806" i="2"/>
  <c r="B1806" i="2"/>
  <c r="O1805" i="2"/>
  <c r="N1805" i="2"/>
  <c r="M1805" i="2"/>
  <c r="L1805" i="2"/>
  <c r="K1805" i="2"/>
  <c r="J1805" i="2"/>
  <c r="I1805" i="2"/>
  <c r="H1805" i="2"/>
  <c r="G1805" i="2"/>
  <c r="F1805" i="2"/>
  <c r="E1805" i="2"/>
  <c r="D1805" i="2"/>
  <c r="C1805" i="2"/>
  <c r="B1805" i="2"/>
  <c r="O1804" i="2"/>
  <c r="N1804" i="2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O1803" i="2"/>
  <c r="N1803" i="2"/>
  <c r="M1803" i="2"/>
  <c r="L1803" i="2"/>
  <c r="K1803" i="2"/>
  <c r="J1803" i="2"/>
  <c r="I1803" i="2"/>
  <c r="H1803" i="2"/>
  <c r="G1803" i="2"/>
  <c r="F1803" i="2"/>
  <c r="E1803" i="2"/>
  <c r="D1803" i="2"/>
  <c r="C1803" i="2"/>
  <c r="B1803" i="2"/>
  <c r="O1802" i="2"/>
  <c r="N1802" i="2"/>
  <c r="M1802" i="2"/>
  <c r="L1802" i="2"/>
  <c r="K1802" i="2"/>
  <c r="J1802" i="2"/>
  <c r="I1802" i="2"/>
  <c r="H1802" i="2"/>
  <c r="G1802" i="2"/>
  <c r="F1802" i="2"/>
  <c r="E1802" i="2"/>
  <c r="D1802" i="2"/>
  <c r="C1802" i="2"/>
  <c r="B1802" i="2"/>
  <c r="O1801" i="2"/>
  <c r="N1801" i="2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O1800" i="2"/>
  <c r="N1800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O1799" i="2"/>
  <c r="N1799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O1798" i="2"/>
  <c r="N1798" i="2"/>
  <c r="M1798" i="2"/>
  <c r="L1798" i="2"/>
  <c r="K1798" i="2"/>
  <c r="J1798" i="2"/>
  <c r="I1798" i="2"/>
  <c r="H1798" i="2"/>
  <c r="G1798" i="2"/>
  <c r="F1798" i="2"/>
  <c r="E1798" i="2"/>
  <c r="D1798" i="2"/>
  <c r="C1798" i="2"/>
  <c r="B1798" i="2"/>
  <c r="O1797" i="2"/>
  <c r="N1797" i="2"/>
  <c r="M1797" i="2"/>
  <c r="L1797" i="2"/>
  <c r="K1797" i="2"/>
  <c r="J1797" i="2"/>
  <c r="I1797" i="2"/>
  <c r="H1797" i="2"/>
  <c r="G1797" i="2"/>
  <c r="F1797" i="2"/>
  <c r="E1797" i="2"/>
  <c r="D1797" i="2"/>
  <c r="C1797" i="2"/>
  <c r="B1797" i="2"/>
  <c r="O1796" i="2"/>
  <c r="N1796" i="2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O1795" i="2"/>
  <c r="N1795" i="2"/>
  <c r="M1795" i="2"/>
  <c r="L1795" i="2"/>
  <c r="K1795" i="2"/>
  <c r="J1795" i="2"/>
  <c r="I1795" i="2"/>
  <c r="H1795" i="2"/>
  <c r="G1795" i="2"/>
  <c r="F1795" i="2"/>
  <c r="E1795" i="2"/>
  <c r="D1795" i="2"/>
  <c r="C1795" i="2"/>
  <c r="B1795" i="2"/>
  <c r="O1794" i="2"/>
  <c r="N1794" i="2"/>
  <c r="M1794" i="2"/>
  <c r="L1794" i="2"/>
  <c r="K1794" i="2"/>
  <c r="J1794" i="2"/>
  <c r="I1794" i="2"/>
  <c r="H1794" i="2"/>
  <c r="G1794" i="2"/>
  <c r="F1794" i="2"/>
  <c r="E1794" i="2"/>
  <c r="D1794" i="2"/>
  <c r="C1794" i="2"/>
  <c r="B1794" i="2"/>
  <c r="O1793" i="2"/>
  <c r="N1793" i="2"/>
  <c r="M1793" i="2"/>
  <c r="L1793" i="2"/>
  <c r="K1793" i="2"/>
  <c r="J1793" i="2"/>
  <c r="I1793" i="2"/>
  <c r="H1793" i="2"/>
  <c r="G1793" i="2"/>
  <c r="F1793" i="2"/>
  <c r="E1793" i="2"/>
  <c r="D1793" i="2"/>
  <c r="C1793" i="2"/>
  <c r="B1793" i="2"/>
  <c r="O1792" i="2"/>
  <c r="N1792" i="2"/>
  <c r="M1792" i="2"/>
  <c r="L1792" i="2"/>
  <c r="K1792" i="2"/>
  <c r="J1792" i="2"/>
  <c r="I1792" i="2"/>
  <c r="H1792" i="2"/>
  <c r="G1792" i="2"/>
  <c r="F1792" i="2"/>
  <c r="E1792" i="2"/>
  <c r="D1792" i="2"/>
  <c r="C1792" i="2"/>
  <c r="B1792" i="2"/>
  <c r="O1791" i="2"/>
  <c r="N1791" i="2"/>
  <c r="M1791" i="2"/>
  <c r="L1791" i="2"/>
  <c r="K1791" i="2"/>
  <c r="J1791" i="2"/>
  <c r="I1791" i="2"/>
  <c r="H1791" i="2"/>
  <c r="G1791" i="2"/>
  <c r="F1791" i="2"/>
  <c r="E1791" i="2"/>
  <c r="D1791" i="2"/>
  <c r="C1791" i="2"/>
  <c r="B1791" i="2"/>
  <c r="O1790" i="2"/>
  <c r="N1790" i="2"/>
  <c r="M1790" i="2"/>
  <c r="L1790" i="2"/>
  <c r="K1790" i="2"/>
  <c r="J1790" i="2"/>
  <c r="I1790" i="2"/>
  <c r="H1790" i="2"/>
  <c r="G1790" i="2"/>
  <c r="F1790" i="2"/>
  <c r="E1790" i="2"/>
  <c r="D1790" i="2"/>
  <c r="C1790" i="2"/>
  <c r="B1790" i="2"/>
  <c r="O1789" i="2"/>
  <c r="N1789" i="2"/>
  <c r="M1789" i="2"/>
  <c r="L1789" i="2"/>
  <c r="K1789" i="2"/>
  <c r="J1789" i="2"/>
  <c r="I1789" i="2"/>
  <c r="H1789" i="2"/>
  <c r="G1789" i="2"/>
  <c r="F1789" i="2"/>
  <c r="E1789" i="2"/>
  <c r="D1789" i="2"/>
  <c r="C1789" i="2"/>
  <c r="B1789" i="2"/>
  <c r="O1788" i="2"/>
  <c r="N1788" i="2"/>
  <c r="M1788" i="2"/>
  <c r="L1788" i="2"/>
  <c r="K1788" i="2"/>
  <c r="J1788" i="2"/>
  <c r="I1788" i="2"/>
  <c r="H1788" i="2"/>
  <c r="G1788" i="2"/>
  <c r="F1788" i="2"/>
  <c r="E1788" i="2"/>
  <c r="D1788" i="2"/>
  <c r="C1788" i="2"/>
  <c r="B1788" i="2"/>
  <c r="O1787" i="2"/>
  <c r="N1787" i="2"/>
  <c r="M1787" i="2"/>
  <c r="L1787" i="2"/>
  <c r="K1787" i="2"/>
  <c r="J1787" i="2"/>
  <c r="I1787" i="2"/>
  <c r="H1787" i="2"/>
  <c r="G1787" i="2"/>
  <c r="F1787" i="2"/>
  <c r="E1787" i="2"/>
  <c r="D1787" i="2"/>
  <c r="C1787" i="2"/>
  <c r="B1787" i="2"/>
  <c r="O1786" i="2"/>
  <c r="N1786" i="2"/>
  <c r="M1786" i="2"/>
  <c r="L1786" i="2"/>
  <c r="K1786" i="2"/>
  <c r="J1786" i="2"/>
  <c r="I1786" i="2"/>
  <c r="H1786" i="2"/>
  <c r="G1786" i="2"/>
  <c r="F1786" i="2"/>
  <c r="E1786" i="2"/>
  <c r="D1786" i="2"/>
  <c r="C1786" i="2"/>
  <c r="B1786" i="2"/>
  <c r="O1785" i="2"/>
  <c r="N1785" i="2"/>
  <c r="M1785" i="2"/>
  <c r="L1785" i="2"/>
  <c r="K1785" i="2"/>
  <c r="J1785" i="2"/>
  <c r="I1785" i="2"/>
  <c r="H1785" i="2"/>
  <c r="G1785" i="2"/>
  <c r="F1785" i="2"/>
  <c r="E1785" i="2"/>
  <c r="D1785" i="2"/>
  <c r="C1785" i="2"/>
  <c r="B1785" i="2"/>
  <c r="O1784" i="2"/>
  <c r="N1784" i="2"/>
  <c r="M1784" i="2"/>
  <c r="L1784" i="2"/>
  <c r="K1784" i="2"/>
  <c r="J1784" i="2"/>
  <c r="I1784" i="2"/>
  <c r="H1784" i="2"/>
  <c r="G1784" i="2"/>
  <c r="F1784" i="2"/>
  <c r="E1784" i="2"/>
  <c r="D1784" i="2"/>
  <c r="C1784" i="2"/>
  <c r="B1784" i="2"/>
  <c r="O1783" i="2"/>
  <c r="N1783" i="2"/>
  <c r="M1783" i="2"/>
  <c r="L1783" i="2"/>
  <c r="K1783" i="2"/>
  <c r="J1783" i="2"/>
  <c r="I1783" i="2"/>
  <c r="H1783" i="2"/>
  <c r="G1783" i="2"/>
  <c r="F1783" i="2"/>
  <c r="E1783" i="2"/>
  <c r="D1783" i="2"/>
  <c r="C1783" i="2"/>
  <c r="B1783" i="2"/>
  <c r="O1782" i="2"/>
  <c r="N1782" i="2"/>
  <c r="M1782" i="2"/>
  <c r="L1782" i="2"/>
  <c r="K1782" i="2"/>
  <c r="J1782" i="2"/>
  <c r="I1782" i="2"/>
  <c r="H1782" i="2"/>
  <c r="G1782" i="2"/>
  <c r="F1782" i="2"/>
  <c r="E1782" i="2"/>
  <c r="D1782" i="2"/>
  <c r="C1782" i="2"/>
  <c r="B1782" i="2"/>
  <c r="O1781" i="2"/>
  <c r="N1781" i="2"/>
  <c r="M1781" i="2"/>
  <c r="L1781" i="2"/>
  <c r="K1781" i="2"/>
  <c r="J1781" i="2"/>
  <c r="I1781" i="2"/>
  <c r="H1781" i="2"/>
  <c r="G1781" i="2"/>
  <c r="F1781" i="2"/>
  <c r="E1781" i="2"/>
  <c r="D1781" i="2"/>
  <c r="C1781" i="2"/>
  <c r="B1781" i="2"/>
  <c r="O1780" i="2"/>
  <c r="N1780" i="2"/>
  <c r="M1780" i="2"/>
  <c r="L1780" i="2"/>
  <c r="K1780" i="2"/>
  <c r="J1780" i="2"/>
  <c r="I1780" i="2"/>
  <c r="H1780" i="2"/>
  <c r="G1780" i="2"/>
  <c r="F1780" i="2"/>
  <c r="E1780" i="2"/>
  <c r="D1780" i="2"/>
  <c r="C1780" i="2"/>
  <c r="B1780" i="2"/>
  <c r="O1779" i="2"/>
  <c r="N1779" i="2"/>
  <c r="M1779" i="2"/>
  <c r="L1779" i="2"/>
  <c r="K1779" i="2"/>
  <c r="J1779" i="2"/>
  <c r="I1779" i="2"/>
  <c r="H1779" i="2"/>
  <c r="G1779" i="2"/>
  <c r="F1779" i="2"/>
  <c r="E1779" i="2"/>
  <c r="D1779" i="2"/>
  <c r="C1779" i="2"/>
  <c r="B1779" i="2"/>
  <c r="O1778" i="2"/>
  <c r="N1778" i="2"/>
  <c r="M1778" i="2"/>
  <c r="L1778" i="2"/>
  <c r="K1778" i="2"/>
  <c r="J1778" i="2"/>
  <c r="I1778" i="2"/>
  <c r="H1778" i="2"/>
  <c r="G1778" i="2"/>
  <c r="F1778" i="2"/>
  <c r="E1778" i="2"/>
  <c r="D1778" i="2"/>
  <c r="C1778" i="2"/>
  <c r="B1778" i="2"/>
  <c r="O1777" i="2"/>
  <c r="N1777" i="2"/>
  <c r="M1777" i="2"/>
  <c r="L1777" i="2"/>
  <c r="K1777" i="2"/>
  <c r="J1777" i="2"/>
  <c r="I1777" i="2"/>
  <c r="H1777" i="2"/>
  <c r="G1777" i="2"/>
  <c r="F1777" i="2"/>
  <c r="E1777" i="2"/>
  <c r="D1777" i="2"/>
  <c r="C1777" i="2"/>
  <c r="B1777" i="2"/>
  <c r="O1776" i="2"/>
  <c r="N1776" i="2"/>
  <c r="M1776" i="2"/>
  <c r="L1776" i="2"/>
  <c r="K1776" i="2"/>
  <c r="J1776" i="2"/>
  <c r="I1776" i="2"/>
  <c r="H1776" i="2"/>
  <c r="G1776" i="2"/>
  <c r="F1776" i="2"/>
  <c r="E1776" i="2"/>
  <c r="D1776" i="2"/>
  <c r="C1776" i="2"/>
  <c r="B1776" i="2"/>
  <c r="O1775" i="2"/>
  <c r="N1775" i="2"/>
  <c r="M1775" i="2"/>
  <c r="L1775" i="2"/>
  <c r="K1775" i="2"/>
  <c r="J1775" i="2"/>
  <c r="I1775" i="2"/>
  <c r="H1775" i="2"/>
  <c r="G1775" i="2"/>
  <c r="F1775" i="2"/>
  <c r="E1775" i="2"/>
  <c r="D1775" i="2"/>
  <c r="C1775" i="2"/>
  <c r="B1775" i="2"/>
  <c r="O1774" i="2"/>
  <c r="N1774" i="2"/>
  <c r="M1774" i="2"/>
  <c r="L1774" i="2"/>
  <c r="K1774" i="2"/>
  <c r="J1774" i="2"/>
  <c r="I1774" i="2"/>
  <c r="H1774" i="2"/>
  <c r="G1774" i="2"/>
  <c r="F1774" i="2"/>
  <c r="E1774" i="2"/>
  <c r="D1774" i="2"/>
  <c r="C1774" i="2"/>
  <c r="B1774" i="2"/>
  <c r="O1773" i="2"/>
  <c r="N1773" i="2"/>
  <c r="M1773" i="2"/>
  <c r="L1773" i="2"/>
  <c r="K1773" i="2"/>
  <c r="J1773" i="2"/>
  <c r="I1773" i="2"/>
  <c r="H1773" i="2"/>
  <c r="G1773" i="2"/>
  <c r="F1773" i="2"/>
  <c r="E1773" i="2"/>
  <c r="D1773" i="2"/>
  <c r="C1773" i="2"/>
  <c r="B1773" i="2"/>
  <c r="O1772" i="2"/>
  <c r="N1772" i="2"/>
  <c r="M1772" i="2"/>
  <c r="L1772" i="2"/>
  <c r="K1772" i="2"/>
  <c r="J1772" i="2"/>
  <c r="I1772" i="2"/>
  <c r="H1772" i="2"/>
  <c r="G1772" i="2"/>
  <c r="F1772" i="2"/>
  <c r="E1772" i="2"/>
  <c r="D1772" i="2"/>
  <c r="C1772" i="2"/>
  <c r="B1772" i="2"/>
  <c r="O1771" i="2"/>
  <c r="N1771" i="2"/>
  <c r="M1771" i="2"/>
  <c r="L1771" i="2"/>
  <c r="K1771" i="2"/>
  <c r="J1771" i="2"/>
  <c r="I1771" i="2"/>
  <c r="H1771" i="2"/>
  <c r="G1771" i="2"/>
  <c r="F1771" i="2"/>
  <c r="E1771" i="2"/>
  <c r="D1771" i="2"/>
  <c r="C1771" i="2"/>
  <c r="B1771" i="2"/>
  <c r="O1770" i="2"/>
  <c r="N1770" i="2"/>
  <c r="M1770" i="2"/>
  <c r="L1770" i="2"/>
  <c r="K1770" i="2"/>
  <c r="J1770" i="2"/>
  <c r="I1770" i="2"/>
  <c r="H1770" i="2"/>
  <c r="G1770" i="2"/>
  <c r="F1770" i="2"/>
  <c r="E1770" i="2"/>
  <c r="D1770" i="2"/>
  <c r="C1770" i="2"/>
  <c r="B1770" i="2"/>
  <c r="O1769" i="2"/>
  <c r="N1769" i="2"/>
  <c r="M1769" i="2"/>
  <c r="L1769" i="2"/>
  <c r="K1769" i="2"/>
  <c r="J1769" i="2"/>
  <c r="I1769" i="2"/>
  <c r="H1769" i="2"/>
  <c r="G1769" i="2"/>
  <c r="F1769" i="2"/>
  <c r="E1769" i="2"/>
  <c r="D1769" i="2"/>
  <c r="C1769" i="2"/>
  <c r="B1769" i="2"/>
  <c r="O1768" i="2"/>
  <c r="N1768" i="2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O1767" i="2"/>
  <c r="N1767" i="2"/>
  <c r="M1767" i="2"/>
  <c r="L1767" i="2"/>
  <c r="K1767" i="2"/>
  <c r="J1767" i="2"/>
  <c r="I1767" i="2"/>
  <c r="H1767" i="2"/>
  <c r="G1767" i="2"/>
  <c r="F1767" i="2"/>
  <c r="E1767" i="2"/>
  <c r="D1767" i="2"/>
  <c r="C1767" i="2"/>
  <c r="B1767" i="2"/>
  <c r="O1766" i="2"/>
  <c r="N1766" i="2"/>
  <c r="M1766" i="2"/>
  <c r="L1766" i="2"/>
  <c r="K1766" i="2"/>
  <c r="J1766" i="2"/>
  <c r="I1766" i="2"/>
  <c r="H1766" i="2"/>
  <c r="G1766" i="2"/>
  <c r="F1766" i="2"/>
  <c r="E1766" i="2"/>
  <c r="D1766" i="2"/>
  <c r="C1766" i="2"/>
  <c r="B1766" i="2"/>
  <c r="O1765" i="2"/>
  <c r="N1765" i="2"/>
  <c r="M1765" i="2"/>
  <c r="L1765" i="2"/>
  <c r="K1765" i="2"/>
  <c r="J1765" i="2"/>
  <c r="I1765" i="2"/>
  <c r="H1765" i="2"/>
  <c r="G1765" i="2"/>
  <c r="F1765" i="2"/>
  <c r="E1765" i="2"/>
  <c r="D1765" i="2"/>
  <c r="C1765" i="2"/>
  <c r="B1765" i="2"/>
  <c r="O1764" i="2"/>
  <c r="N1764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O1763" i="2"/>
  <c r="N1763" i="2"/>
  <c r="M1763" i="2"/>
  <c r="L1763" i="2"/>
  <c r="K1763" i="2"/>
  <c r="J1763" i="2"/>
  <c r="I1763" i="2"/>
  <c r="H1763" i="2"/>
  <c r="G1763" i="2"/>
  <c r="F1763" i="2"/>
  <c r="E1763" i="2"/>
  <c r="D1763" i="2"/>
  <c r="C1763" i="2"/>
  <c r="B1763" i="2"/>
  <c r="O1762" i="2"/>
  <c r="N1762" i="2"/>
  <c r="M1762" i="2"/>
  <c r="L1762" i="2"/>
  <c r="K1762" i="2"/>
  <c r="J1762" i="2"/>
  <c r="I1762" i="2"/>
  <c r="H1762" i="2"/>
  <c r="G1762" i="2"/>
  <c r="F1762" i="2"/>
  <c r="E1762" i="2"/>
  <c r="D1762" i="2"/>
  <c r="C1762" i="2"/>
  <c r="B1762" i="2"/>
  <c r="O1761" i="2"/>
  <c r="N1761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O1760" i="2"/>
  <c r="N1760" i="2"/>
  <c r="M1760" i="2"/>
  <c r="L1760" i="2"/>
  <c r="K1760" i="2"/>
  <c r="J1760" i="2"/>
  <c r="I1760" i="2"/>
  <c r="H1760" i="2"/>
  <c r="G1760" i="2"/>
  <c r="F1760" i="2"/>
  <c r="E1760" i="2"/>
  <c r="D1760" i="2"/>
  <c r="C1760" i="2"/>
  <c r="B1760" i="2"/>
  <c r="O1759" i="2"/>
  <c r="N1759" i="2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O1758" i="2"/>
  <c r="N1758" i="2"/>
  <c r="M1758" i="2"/>
  <c r="L1758" i="2"/>
  <c r="K1758" i="2"/>
  <c r="J1758" i="2"/>
  <c r="I1758" i="2"/>
  <c r="H1758" i="2"/>
  <c r="G1758" i="2"/>
  <c r="F1758" i="2"/>
  <c r="E1758" i="2"/>
  <c r="D1758" i="2"/>
  <c r="C1758" i="2"/>
  <c r="B1758" i="2"/>
  <c r="O1757" i="2"/>
  <c r="N1757" i="2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O1756" i="2"/>
  <c r="N1756" i="2"/>
  <c r="M1756" i="2"/>
  <c r="L1756" i="2"/>
  <c r="K1756" i="2"/>
  <c r="J1756" i="2"/>
  <c r="I1756" i="2"/>
  <c r="H1756" i="2"/>
  <c r="G1756" i="2"/>
  <c r="F1756" i="2"/>
  <c r="E1756" i="2"/>
  <c r="D1756" i="2"/>
  <c r="C1756" i="2"/>
  <c r="B1756" i="2"/>
  <c r="O1755" i="2"/>
  <c r="N1755" i="2"/>
  <c r="M1755" i="2"/>
  <c r="L1755" i="2"/>
  <c r="K1755" i="2"/>
  <c r="J1755" i="2"/>
  <c r="I1755" i="2"/>
  <c r="H1755" i="2"/>
  <c r="G1755" i="2"/>
  <c r="F1755" i="2"/>
  <c r="E1755" i="2"/>
  <c r="D1755" i="2"/>
  <c r="C1755" i="2"/>
  <c r="B1755" i="2"/>
  <c r="O1754" i="2"/>
  <c r="N1754" i="2"/>
  <c r="M1754" i="2"/>
  <c r="L1754" i="2"/>
  <c r="K1754" i="2"/>
  <c r="J1754" i="2"/>
  <c r="I1754" i="2"/>
  <c r="H1754" i="2"/>
  <c r="G1754" i="2"/>
  <c r="F1754" i="2"/>
  <c r="E1754" i="2"/>
  <c r="D1754" i="2"/>
  <c r="C1754" i="2"/>
  <c r="B1754" i="2"/>
  <c r="O1753" i="2"/>
  <c r="N1753" i="2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O1752" i="2"/>
  <c r="N1752" i="2"/>
  <c r="M1752" i="2"/>
  <c r="L1752" i="2"/>
  <c r="K1752" i="2"/>
  <c r="J1752" i="2"/>
  <c r="I1752" i="2"/>
  <c r="H1752" i="2"/>
  <c r="G1752" i="2"/>
  <c r="F1752" i="2"/>
  <c r="E1752" i="2"/>
  <c r="D1752" i="2"/>
  <c r="C1752" i="2"/>
  <c r="B1752" i="2"/>
  <c r="O1751" i="2"/>
  <c r="N1751" i="2"/>
  <c r="M1751" i="2"/>
  <c r="L1751" i="2"/>
  <c r="K1751" i="2"/>
  <c r="J1751" i="2"/>
  <c r="I1751" i="2"/>
  <c r="H1751" i="2"/>
  <c r="G1751" i="2"/>
  <c r="F1751" i="2"/>
  <c r="E1751" i="2"/>
  <c r="D1751" i="2"/>
  <c r="C1751" i="2"/>
  <c r="B1751" i="2"/>
  <c r="O1750" i="2"/>
  <c r="N1750" i="2"/>
  <c r="M1750" i="2"/>
  <c r="L1750" i="2"/>
  <c r="K1750" i="2"/>
  <c r="J1750" i="2"/>
  <c r="I1750" i="2"/>
  <c r="H1750" i="2"/>
  <c r="G1750" i="2"/>
  <c r="F1750" i="2"/>
  <c r="E1750" i="2"/>
  <c r="D1750" i="2"/>
  <c r="C1750" i="2"/>
  <c r="B1750" i="2"/>
  <c r="O1749" i="2"/>
  <c r="N1749" i="2"/>
  <c r="M1749" i="2"/>
  <c r="L1749" i="2"/>
  <c r="K1749" i="2"/>
  <c r="J1749" i="2"/>
  <c r="I1749" i="2"/>
  <c r="H1749" i="2"/>
  <c r="G1749" i="2"/>
  <c r="F1749" i="2"/>
  <c r="E1749" i="2"/>
  <c r="D1749" i="2"/>
  <c r="C1749" i="2"/>
  <c r="B1749" i="2"/>
  <c r="O1748" i="2"/>
  <c r="N1748" i="2"/>
  <c r="M1748" i="2"/>
  <c r="L1748" i="2"/>
  <c r="K1748" i="2"/>
  <c r="J1748" i="2"/>
  <c r="I1748" i="2"/>
  <c r="H1748" i="2"/>
  <c r="G1748" i="2"/>
  <c r="F1748" i="2"/>
  <c r="E1748" i="2"/>
  <c r="D1748" i="2"/>
  <c r="C1748" i="2"/>
  <c r="B1748" i="2"/>
  <c r="O1747" i="2"/>
  <c r="N1747" i="2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O1746" i="2"/>
  <c r="N1746" i="2"/>
  <c r="M1746" i="2"/>
  <c r="L1746" i="2"/>
  <c r="K1746" i="2"/>
  <c r="J1746" i="2"/>
  <c r="I1746" i="2"/>
  <c r="H1746" i="2"/>
  <c r="G1746" i="2"/>
  <c r="F1746" i="2"/>
  <c r="E1746" i="2"/>
  <c r="D1746" i="2"/>
  <c r="C1746" i="2"/>
  <c r="B1746" i="2"/>
  <c r="O1745" i="2"/>
  <c r="N1745" i="2"/>
  <c r="M1745" i="2"/>
  <c r="L1745" i="2"/>
  <c r="K1745" i="2"/>
  <c r="J1745" i="2"/>
  <c r="I1745" i="2"/>
  <c r="H1745" i="2"/>
  <c r="G1745" i="2"/>
  <c r="F1745" i="2"/>
  <c r="E1745" i="2"/>
  <c r="D1745" i="2"/>
  <c r="C1745" i="2"/>
  <c r="B1745" i="2"/>
  <c r="O1744" i="2"/>
  <c r="N1744" i="2"/>
  <c r="M1744" i="2"/>
  <c r="L1744" i="2"/>
  <c r="K1744" i="2"/>
  <c r="J1744" i="2"/>
  <c r="I1744" i="2"/>
  <c r="H1744" i="2"/>
  <c r="G1744" i="2"/>
  <c r="F1744" i="2"/>
  <c r="E1744" i="2"/>
  <c r="D1744" i="2"/>
  <c r="C1744" i="2"/>
  <c r="B1744" i="2"/>
  <c r="O1743" i="2"/>
  <c r="N1743" i="2"/>
  <c r="M1743" i="2"/>
  <c r="L1743" i="2"/>
  <c r="K1743" i="2"/>
  <c r="J1743" i="2"/>
  <c r="I1743" i="2"/>
  <c r="H1743" i="2"/>
  <c r="G1743" i="2"/>
  <c r="F1743" i="2"/>
  <c r="E1743" i="2"/>
  <c r="D1743" i="2"/>
  <c r="C1743" i="2"/>
  <c r="B1743" i="2"/>
  <c r="O1742" i="2"/>
  <c r="N1742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O1741" i="2"/>
  <c r="N1741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O1740" i="2"/>
  <c r="N1740" i="2"/>
  <c r="M1740" i="2"/>
  <c r="L1740" i="2"/>
  <c r="K1740" i="2"/>
  <c r="J1740" i="2"/>
  <c r="I1740" i="2"/>
  <c r="H1740" i="2"/>
  <c r="G1740" i="2"/>
  <c r="F1740" i="2"/>
  <c r="E1740" i="2"/>
  <c r="D1740" i="2"/>
  <c r="C1740" i="2"/>
  <c r="B1740" i="2"/>
  <c r="O1739" i="2"/>
  <c r="N1739" i="2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O1738" i="2"/>
  <c r="N1738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O1737" i="2"/>
  <c r="N1737" i="2"/>
  <c r="M1737" i="2"/>
  <c r="L1737" i="2"/>
  <c r="K1737" i="2"/>
  <c r="J1737" i="2"/>
  <c r="I1737" i="2"/>
  <c r="H1737" i="2"/>
  <c r="G1737" i="2"/>
  <c r="F1737" i="2"/>
  <c r="E1737" i="2"/>
  <c r="D1737" i="2"/>
  <c r="C1737" i="2"/>
  <c r="B1737" i="2"/>
  <c r="O1736" i="2"/>
  <c r="N1736" i="2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O1735" i="2"/>
  <c r="N1735" i="2"/>
  <c r="M1735" i="2"/>
  <c r="L1735" i="2"/>
  <c r="K1735" i="2"/>
  <c r="J1735" i="2"/>
  <c r="I1735" i="2"/>
  <c r="H1735" i="2"/>
  <c r="G1735" i="2"/>
  <c r="F1735" i="2"/>
  <c r="E1735" i="2"/>
  <c r="D1735" i="2"/>
  <c r="C1735" i="2"/>
  <c r="B1735" i="2"/>
  <c r="O1734" i="2"/>
  <c r="N1734" i="2"/>
  <c r="M1734" i="2"/>
  <c r="L1734" i="2"/>
  <c r="K1734" i="2"/>
  <c r="J1734" i="2"/>
  <c r="I1734" i="2"/>
  <c r="H1734" i="2"/>
  <c r="G1734" i="2"/>
  <c r="F1734" i="2"/>
  <c r="E1734" i="2"/>
  <c r="D1734" i="2"/>
  <c r="C1734" i="2"/>
  <c r="B1734" i="2"/>
  <c r="O1733" i="2"/>
  <c r="N1733" i="2"/>
  <c r="M1733" i="2"/>
  <c r="L1733" i="2"/>
  <c r="K1733" i="2"/>
  <c r="J1733" i="2"/>
  <c r="I1733" i="2"/>
  <c r="H1733" i="2"/>
  <c r="G1733" i="2"/>
  <c r="F1733" i="2"/>
  <c r="E1733" i="2"/>
  <c r="D1733" i="2"/>
  <c r="C1733" i="2"/>
  <c r="B1733" i="2"/>
  <c r="O1732" i="2"/>
  <c r="N1732" i="2"/>
  <c r="M1732" i="2"/>
  <c r="L1732" i="2"/>
  <c r="K1732" i="2"/>
  <c r="J1732" i="2"/>
  <c r="I1732" i="2"/>
  <c r="H1732" i="2"/>
  <c r="G1732" i="2"/>
  <c r="F1732" i="2"/>
  <c r="E1732" i="2"/>
  <c r="D1732" i="2"/>
  <c r="C1732" i="2"/>
  <c r="B1732" i="2"/>
  <c r="O1731" i="2"/>
  <c r="N1731" i="2"/>
  <c r="M1731" i="2"/>
  <c r="L1731" i="2"/>
  <c r="K1731" i="2"/>
  <c r="J1731" i="2"/>
  <c r="I1731" i="2"/>
  <c r="H1731" i="2"/>
  <c r="G1731" i="2"/>
  <c r="F1731" i="2"/>
  <c r="E1731" i="2"/>
  <c r="D1731" i="2"/>
  <c r="C1731" i="2"/>
  <c r="B1731" i="2"/>
  <c r="O1730" i="2"/>
  <c r="N1730" i="2"/>
  <c r="M1730" i="2"/>
  <c r="L1730" i="2"/>
  <c r="K1730" i="2"/>
  <c r="J1730" i="2"/>
  <c r="I1730" i="2"/>
  <c r="H1730" i="2"/>
  <c r="G1730" i="2"/>
  <c r="F1730" i="2"/>
  <c r="E1730" i="2"/>
  <c r="D1730" i="2"/>
  <c r="C1730" i="2"/>
  <c r="B1730" i="2"/>
  <c r="O1729" i="2"/>
  <c r="N1729" i="2"/>
  <c r="M1729" i="2"/>
  <c r="L1729" i="2"/>
  <c r="K1729" i="2"/>
  <c r="J1729" i="2"/>
  <c r="I1729" i="2"/>
  <c r="H1729" i="2"/>
  <c r="G1729" i="2"/>
  <c r="F1729" i="2"/>
  <c r="E1729" i="2"/>
  <c r="D1729" i="2"/>
  <c r="C1729" i="2"/>
  <c r="B1729" i="2"/>
  <c r="O1728" i="2"/>
  <c r="N1728" i="2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O1727" i="2"/>
  <c r="N1727" i="2"/>
  <c r="M1727" i="2"/>
  <c r="L1727" i="2"/>
  <c r="K1727" i="2"/>
  <c r="J1727" i="2"/>
  <c r="I1727" i="2"/>
  <c r="H1727" i="2"/>
  <c r="G1727" i="2"/>
  <c r="F1727" i="2"/>
  <c r="E1727" i="2"/>
  <c r="D1727" i="2"/>
  <c r="C1727" i="2"/>
  <c r="B1727" i="2"/>
  <c r="O1726" i="2"/>
  <c r="N1726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O1725" i="2"/>
  <c r="N1725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O1724" i="2"/>
  <c r="N1724" i="2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O1723" i="2"/>
  <c r="N1723" i="2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O1722" i="2"/>
  <c r="N1722" i="2"/>
  <c r="M1722" i="2"/>
  <c r="L1722" i="2"/>
  <c r="K1722" i="2"/>
  <c r="J1722" i="2"/>
  <c r="I1722" i="2"/>
  <c r="H1722" i="2"/>
  <c r="G1722" i="2"/>
  <c r="F1722" i="2"/>
  <c r="E1722" i="2"/>
  <c r="D1722" i="2"/>
  <c r="C1722" i="2"/>
  <c r="B1722" i="2"/>
  <c r="O1721" i="2"/>
  <c r="N1721" i="2"/>
  <c r="M1721" i="2"/>
  <c r="L1721" i="2"/>
  <c r="K1721" i="2"/>
  <c r="J1721" i="2"/>
  <c r="I1721" i="2"/>
  <c r="H1721" i="2"/>
  <c r="G1721" i="2"/>
  <c r="F1721" i="2"/>
  <c r="E1721" i="2"/>
  <c r="D1721" i="2"/>
  <c r="C1721" i="2"/>
  <c r="B1721" i="2"/>
  <c r="O1720" i="2"/>
  <c r="N1720" i="2"/>
  <c r="M1720" i="2"/>
  <c r="L1720" i="2"/>
  <c r="K1720" i="2"/>
  <c r="J1720" i="2"/>
  <c r="I1720" i="2"/>
  <c r="H1720" i="2"/>
  <c r="G1720" i="2"/>
  <c r="F1720" i="2"/>
  <c r="E1720" i="2"/>
  <c r="D1720" i="2"/>
  <c r="C1720" i="2"/>
  <c r="B1720" i="2"/>
  <c r="O1719" i="2"/>
  <c r="N1719" i="2"/>
  <c r="M1719" i="2"/>
  <c r="L1719" i="2"/>
  <c r="K1719" i="2"/>
  <c r="J1719" i="2"/>
  <c r="I1719" i="2"/>
  <c r="H1719" i="2"/>
  <c r="G1719" i="2"/>
  <c r="F1719" i="2"/>
  <c r="E1719" i="2"/>
  <c r="D1719" i="2"/>
  <c r="C1719" i="2"/>
  <c r="B1719" i="2"/>
  <c r="O1718" i="2"/>
  <c r="N1718" i="2"/>
  <c r="M1718" i="2"/>
  <c r="L1718" i="2"/>
  <c r="K1718" i="2"/>
  <c r="J1718" i="2"/>
  <c r="I1718" i="2"/>
  <c r="H1718" i="2"/>
  <c r="G1718" i="2"/>
  <c r="F1718" i="2"/>
  <c r="E1718" i="2"/>
  <c r="D1718" i="2"/>
  <c r="C1718" i="2"/>
  <c r="B1718" i="2"/>
  <c r="O1717" i="2"/>
  <c r="N1717" i="2"/>
  <c r="M1717" i="2"/>
  <c r="L1717" i="2"/>
  <c r="K1717" i="2"/>
  <c r="J1717" i="2"/>
  <c r="I1717" i="2"/>
  <c r="H1717" i="2"/>
  <c r="G1717" i="2"/>
  <c r="F1717" i="2"/>
  <c r="E1717" i="2"/>
  <c r="D1717" i="2"/>
  <c r="C1717" i="2"/>
  <c r="B1717" i="2"/>
  <c r="O1716" i="2"/>
  <c r="N1716" i="2"/>
  <c r="M1716" i="2"/>
  <c r="L1716" i="2"/>
  <c r="K1716" i="2"/>
  <c r="J1716" i="2"/>
  <c r="I1716" i="2"/>
  <c r="H1716" i="2"/>
  <c r="G1716" i="2"/>
  <c r="F1716" i="2"/>
  <c r="E1716" i="2"/>
  <c r="D1716" i="2"/>
  <c r="C1716" i="2"/>
  <c r="B1716" i="2"/>
  <c r="O1715" i="2"/>
  <c r="N1715" i="2"/>
  <c r="M1715" i="2"/>
  <c r="L1715" i="2"/>
  <c r="K1715" i="2"/>
  <c r="J1715" i="2"/>
  <c r="I1715" i="2"/>
  <c r="H1715" i="2"/>
  <c r="G1715" i="2"/>
  <c r="F1715" i="2"/>
  <c r="E1715" i="2"/>
  <c r="D1715" i="2"/>
  <c r="C1715" i="2"/>
  <c r="B1715" i="2"/>
  <c r="O1714" i="2"/>
  <c r="N1714" i="2"/>
  <c r="M1714" i="2"/>
  <c r="L1714" i="2"/>
  <c r="K1714" i="2"/>
  <c r="J1714" i="2"/>
  <c r="I1714" i="2"/>
  <c r="H1714" i="2"/>
  <c r="G1714" i="2"/>
  <c r="F1714" i="2"/>
  <c r="E1714" i="2"/>
  <c r="D1714" i="2"/>
  <c r="C1714" i="2"/>
  <c r="B1714" i="2"/>
  <c r="O1713" i="2"/>
  <c r="N1713" i="2"/>
  <c r="M1713" i="2"/>
  <c r="L1713" i="2"/>
  <c r="K1713" i="2"/>
  <c r="J1713" i="2"/>
  <c r="I1713" i="2"/>
  <c r="H1713" i="2"/>
  <c r="G1713" i="2"/>
  <c r="F1713" i="2"/>
  <c r="E1713" i="2"/>
  <c r="D1713" i="2"/>
  <c r="C1713" i="2"/>
  <c r="B1713" i="2"/>
  <c r="O1712" i="2"/>
  <c r="N1712" i="2"/>
  <c r="M1712" i="2"/>
  <c r="L1712" i="2"/>
  <c r="K1712" i="2"/>
  <c r="J1712" i="2"/>
  <c r="I1712" i="2"/>
  <c r="H1712" i="2"/>
  <c r="G1712" i="2"/>
  <c r="F1712" i="2"/>
  <c r="E1712" i="2"/>
  <c r="D1712" i="2"/>
  <c r="C1712" i="2"/>
  <c r="B1712" i="2"/>
  <c r="O1711" i="2"/>
  <c r="N1711" i="2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O1710" i="2"/>
  <c r="N1710" i="2"/>
  <c r="M1710" i="2"/>
  <c r="L1710" i="2"/>
  <c r="K1710" i="2"/>
  <c r="J1710" i="2"/>
  <c r="I1710" i="2"/>
  <c r="H1710" i="2"/>
  <c r="G1710" i="2"/>
  <c r="F1710" i="2"/>
  <c r="E1710" i="2"/>
  <c r="D1710" i="2"/>
  <c r="C1710" i="2"/>
  <c r="B1710" i="2"/>
  <c r="O1709" i="2"/>
  <c r="N1709" i="2"/>
  <c r="M1709" i="2"/>
  <c r="L1709" i="2"/>
  <c r="K1709" i="2"/>
  <c r="J1709" i="2"/>
  <c r="I1709" i="2"/>
  <c r="H1709" i="2"/>
  <c r="G1709" i="2"/>
  <c r="F1709" i="2"/>
  <c r="E1709" i="2"/>
  <c r="D1709" i="2"/>
  <c r="C1709" i="2"/>
  <c r="B1709" i="2"/>
  <c r="O1708" i="2"/>
  <c r="N1708" i="2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O1707" i="2"/>
  <c r="N1707" i="2"/>
  <c r="M1707" i="2"/>
  <c r="L1707" i="2"/>
  <c r="K1707" i="2"/>
  <c r="J1707" i="2"/>
  <c r="I1707" i="2"/>
  <c r="H1707" i="2"/>
  <c r="G1707" i="2"/>
  <c r="F1707" i="2"/>
  <c r="E1707" i="2"/>
  <c r="D1707" i="2"/>
  <c r="C1707" i="2"/>
  <c r="B1707" i="2"/>
  <c r="O1706" i="2"/>
  <c r="N1706" i="2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O1705" i="2"/>
  <c r="N1705" i="2"/>
  <c r="M1705" i="2"/>
  <c r="L1705" i="2"/>
  <c r="K1705" i="2"/>
  <c r="J1705" i="2"/>
  <c r="I1705" i="2"/>
  <c r="H1705" i="2"/>
  <c r="G1705" i="2"/>
  <c r="F1705" i="2"/>
  <c r="E1705" i="2"/>
  <c r="D1705" i="2"/>
  <c r="C1705" i="2"/>
  <c r="B1705" i="2"/>
  <c r="O1704" i="2"/>
  <c r="N1704" i="2"/>
  <c r="M1704" i="2"/>
  <c r="L1704" i="2"/>
  <c r="K1704" i="2"/>
  <c r="J1704" i="2"/>
  <c r="I1704" i="2"/>
  <c r="H1704" i="2"/>
  <c r="G1704" i="2"/>
  <c r="F1704" i="2"/>
  <c r="E1704" i="2"/>
  <c r="D1704" i="2"/>
  <c r="C1704" i="2"/>
  <c r="B1704" i="2"/>
  <c r="O1703" i="2"/>
  <c r="N1703" i="2"/>
  <c r="M1703" i="2"/>
  <c r="L1703" i="2"/>
  <c r="K1703" i="2"/>
  <c r="J1703" i="2"/>
  <c r="I1703" i="2"/>
  <c r="H1703" i="2"/>
  <c r="G1703" i="2"/>
  <c r="F1703" i="2"/>
  <c r="E1703" i="2"/>
  <c r="D1703" i="2"/>
  <c r="C1703" i="2"/>
  <c r="B1703" i="2"/>
  <c r="O1702" i="2"/>
  <c r="N1702" i="2"/>
  <c r="M1702" i="2"/>
  <c r="L1702" i="2"/>
  <c r="K1702" i="2"/>
  <c r="J1702" i="2"/>
  <c r="I1702" i="2"/>
  <c r="H1702" i="2"/>
  <c r="G1702" i="2"/>
  <c r="F1702" i="2"/>
  <c r="E1702" i="2"/>
  <c r="D1702" i="2"/>
  <c r="C1702" i="2"/>
  <c r="B1702" i="2"/>
  <c r="O1701" i="2"/>
  <c r="N1701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O1700" i="2"/>
  <c r="N1700" i="2"/>
  <c r="M1700" i="2"/>
  <c r="L1700" i="2"/>
  <c r="K1700" i="2"/>
  <c r="J1700" i="2"/>
  <c r="I1700" i="2"/>
  <c r="H1700" i="2"/>
  <c r="G1700" i="2"/>
  <c r="F1700" i="2"/>
  <c r="E1700" i="2"/>
  <c r="D1700" i="2"/>
  <c r="C1700" i="2"/>
  <c r="B1700" i="2"/>
  <c r="O1699" i="2"/>
  <c r="N1699" i="2"/>
  <c r="M1699" i="2"/>
  <c r="L1699" i="2"/>
  <c r="K1699" i="2"/>
  <c r="J1699" i="2"/>
  <c r="I1699" i="2"/>
  <c r="H1699" i="2"/>
  <c r="G1699" i="2"/>
  <c r="F1699" i="2"/>
  <c r="E1699" i="2"/>
  <c r="D1699" i="2"/>
  <c r="C1699" i="2"/>
  <c r="B1699" i="2"/>
  <c r="O1698" i="2"/>
  <c r="N1698" i="2"/>
  <c r="M1698" i="2"/>
  <c r="L1698" i="2"/>
  <c r="K1698" i="2"/>
  <c r="J1698" i="2"/>
  <c r="I1698" i="2"/>
  <c r="H1698" i="2"/>
  <c r="G1698" i="2"/>
  <c r="F1698" i="2"/>
  <c r="E1698" i="2"/>
  <c r="D1698" i="2"/>
  <c r="C1698" i="2"/>
  <c r="B1698" i="2"/>
  <c r="O1697" i="2"/>
  <c r="N1697" i="2"/>
  <c r="M1697" i="2"/>
  <c r="L1697" i="2"/>
  <c r="K1697" i="2"/>
  <c r="J1697" i="2"/>
  <c r="I1697" i="2"/>
  <c r="H1697" i="2"/>
  <c r="G1697" i="2"/>
  <c r="F1697" i="2"/>
  <c r="E1697" i="2"/>
  <c r="D1697" i="2"/>
  <c r="C1697" i="2"/>
  <c r="B1697" i="2"/>
  <c r="O1696" i="2"/>
  <c r="N1696" i="2"/>
  <c r="M1696" i="2"/>
  <c r="L1696" i="2"/>
  <c r="K1696" i="2"/>
  <c r="J1696" i="2"/>
  <c r="I1696" i="2"/>
  <c r="H1696" i="2"/>
  <c r="G1696" i="2"/>
  <c r="F1696" i="2"/>
  <c r="E1696" i="2"/>
  <c r="D1696" i="2"/>
  <c r="C1696" i="2"/>
  <c r="B1696" i="2"/>
  <c r="O1695" i="2"/>
  <c r="N1695" i="2"/>
  <c r="M1695" i="2"/>
  <c r="L1695" i="2"/>
  <c r="K1695" i="2"/>
  <c r="J1695" i="2"/>
  <c r="I1695" i="2"/>
  <c r="H1695" i="2"/>
  <c r="G1695" i="2"/>
  <c r="F1695" i="2"/>
  <c r="E1695" i="2"/>
  <c r="D1695" i="2"/>
  <c r="C1695" i="2"/>
  <c r="B1695" i="2"/>
  <c r="O1694" i="2"/>
  <c r="N1694" i="2"/>
  <c r="M1694" i="2"/>
  <c r="L1694" i="2"/>
  <c r="K1694" i="2"/>
  <c r="J1694" i="2"/>
  <c r="I1694" i="2"/>
  <c r="H1694" i="2"/>
  <c r="G1694" i="2"/>
  <c r="F1694" i="2"/>
  <c r="E1694" i="2"/>
  <c r="D1694" i="2"/>
  <c r="C1694" i="2"/>
  <c r="B1694" i="2"/>
  <c r="O1693" i="2"/>
  <c r="N1693" i="2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O1692" i="2"/>
  <c r="N1692" i="2"/>
  <c r="M1692" i="2"/>
  <c r="L1692" i="2"/>
  <c r="K1692" i="2"/>
  <c r="J1692" i="2"/>
  <c r="I1692" i="2"/>
  <c r="H1692" i="2"/>
  <c r="G1692" i="2"/>
  <c r="F1692" i="2"/>
  <c r="E1692" i="2"/>
  <c r="D1692" i="2"/>
  <c r="C1692" i="2"/>
  <c r="B1692" i="2"/>
  <c r="O1691" i="2"/>
  <c r="N1691" i="2"/>
  <c r="M1691" i="2"/>
  <c r="L1691" i="2"/>
  <c r="K1691" i="2"/>
  <c r="J1691" i="2"/>
  <c r="I1691" i="2"/>
  <c r="H1691" i="2"/>
  <c r="G1691" i="2"/>
  <c r="F1691" i="2"/>
  <c r="E1691" i="2"/>
  <c r="D1691" i="2"/>
  <c r="C1691" i="2"/>
  <c r="B1691" i="2"/>
  <c r="O1690" i="2"/>
  <c r="N1690" i="2"/>
  <c r="M1690" i="2"/>
  <c r="L1690" i="2"/>
  <c r="K1690" i="2"/>
  <c r="J1690" i="2"/>
  <c r="I1690" i="2"/>
  <c r="H1690" i="2"/>
  <c r="G1690" i="2"/>
  <c r="F1690" i="2"/>
  <c r="E1690" i="2"/>
  <c r="D1690" i="2"/>
  <c r="C1690" i="2"/>
  <c r="B1690" i="2"/>
  <c r="O1689" i="2"/>
  <c r="N1689" i="2"/>
  <c r="M1689" i="2"/>
  <c r="L1689" i="2"/>
  <c r="K1689" i="2"/>
  <c r="J1689" i="2"/>
  <c r="I1689" i="2"/>
  <c r="H1689" i="2"/>
  <c r="G1689" i="2"/>
  <c r="F1689" i="2"/>
  <c r="E1689" i="2"/>
  <c r="D1689" i="2"/>
  <c r="C1689" i="2"/>
  <c r="B1689" i="2"/>
  <c r="O1688" i="2"/>
  <c r="N1688" i="2"/>
  <c r="M1688" i="2"/>
  <c r="L1688" i="2"/>
  <c r="K1688" i="2"/>
  <c r="J1688" i="2"/>
  <c r="I1688" i="2"/>
  <c r="H1688" i="2"/>
  <c r="G1688" i="2"/>
  <c r="F1688" i="2"/>
  <c r="E1688" i="2"/>
  <c r="D1688" i="2"/>
  <c r="C1688" i="2"/>
  <c r="B1688" i="2"/>
  <c r="O1687" i="2"/>
  <c r="N1687" i="2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O1686" i="2"/>
  <c r="N1686" i="2"/>
  <c r="M1686" i="2"/>
  <c r="L1686" i="2"/>
  <c r="K1686" i="2"/>
  <c r="J1686" i="2"/>
  <c r="I1686" i="2"/>
  <c r="H1686" i="2"/>
  <c r="G1686" i="2"/>
  <c r="F1686" i="2"/>
  <c r="E1686" i="2"/>
  <c r="D1686" i="2"/>
  <c r="C1686" i="2"/>
  <c r="B1686" i="2"/>
  <c r="O1685" i="2"/>
  <c r="N1685" i="2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O1684" i="2"/>
  <c r="N1684" i="2"/>
  <c r="M1684" i="2"/>
  <c r="L1684" i="2"/>
  <c r="K1684" i="2"/>
  <c r="J1684" i="2"/>
  <c r="I1684" i="2"/>
  <c r="H1684" i="2"/>
  <c r="G1684" i="2"/>
  <c r="F1684" i="2"/>
  <c r="E1684" i="2"/>
  <c r="D1684" i="2"/>
  <c r="C1684" i="2"/>
  <c r="B1684" i="2"/>
  <c r="O1683" i="2"/>
  <c r="N1683" i="2"/>
  <c r="M1683" i="2"/>
  <c r="L1683" i="2"/>
  <c r="K1683" i="2"/>
  <c r="J1683" i="2"/>
  <c r="I1683" i="2"/>
  <c r="H1683" i="2"/>
  <c r="G1683" i="2"/>
  <c r="F1683" i="2"/>
  <c r="E1683" i="2"/>
  <c r="D1683" i="2"/>
  <c r="C1683" i="2"/>
  <c r="B1683" i="2"/>
  <c r="O1682" i="2"/>
  <c r="N1682" i="2"/>
  <c r="M1682" i="2"/>
  <c r="L1682" i="2"/>
  <c r="K1682" i="2"/>
  <c r="J1682" i="2"/>
  <c r="I1682" i="2"/>
  <c r="H1682" i="2"/>
  <c r="G1682" i="2"/>
  <c r="F1682" i="2"/>
  <c r="E1682" i="2"/>
  <c r="D1682" i="2"/>
  <c r="C1682" i="2"/>
  <c r="B1682" i="2"/>
  <c r="O1681" i="2"/>
  <c r="N1681" i="2"/>
  <c r="M1681" i="2"/>
  <c r="L1681" i="2"/>
  <c r="K1681" i="2"/>
  <c r="J1681" i="2"/>
  <c r="I1681" i="2"/>
  <c r="H1681" i="2"/>
  <c r="G1681" i="2"/>
  <c r="F1681" i="2"/>
  <c r="E1681" i="2"/>
  <c r="D1681" i="2"/>
  <c r="C1681" i="2"/>
  <c r="B1681" i="2"/>
  <c r="O1680" i="2"/>
  <c r="N1680" i="2"/>
  <c r="M1680" i="2"/>
  <c r="L1680" i="2"/>
  <c r="K1680" i="2"/>
  <c r="J1680" i="2"/>
  <c r="I1680" i="2"/>
  <c r="H1680" i="2"/>
  <c r="G1680" i="2"/>
  <c r="F1680" i="2"/>
  <c r="E1680" i="2"/>
  <c r="D1680" i="2"/>
  <c r="C1680" i="2"/>
  <c r="B1680" i="2"/>
  <c r="O1679" i="2"/>
  <c r="N1679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O1678" i="2"/>
  <c r="N1678" i="2"/>
  <c r="M1678" i="2"/>
  <c r="L1678" i="2"/>
  <c r="K1678" i="2"/>
  <c r="J1678" i="2"/>
  <c r="I1678" i="2"/>
  <c r="H1678" i="2"/>
  <c r="G1678" i="2"/>
  <c r="F1678" i="2"/>
  <c r="E1678" i="2"/>
  <c r="D1678" i="2"/>
  <c r="C1678" i="2"/>
  <c r="B1678" i="2"/>
  <c r="O1677" i="2"/>
  <c r="N1677" i="2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O1676" i="2"/>
  <c r="N1676" i="2"/>
  <c r="M1676" i="2"/>
  <c r="L1676" i="2"/>
  <c r="K1676" i="2"/>
  <c r="J1676" i="2"/>
  <c r="I1676" i="2"/>
  <c r="H1676" i="2"/>
  <c r="G1676" i="2"/>
  <c r="F1676" i="2"/>
  <c r="E1676" i="2"/>
  <c r="D1676" i="2"/>
  <c r="C1676" i="2"/>
  <c r="B1676" i="2"/>
  <c r="O1675" i="2"/>
  <c r="N1675" i="2"/>
  <c r="M1675" i="2"/>
  <c r="L1675" i="2"/>
  <c r="K1675" i="2"/>
  <c r="J1675" i="2"/>
  <c r="I1675" i="2"/>
  <c r="H1675" i="2"/>
  <c r="G1675" i="2"/>
  <c r="F1675" i="2"/>
  <c r="E1675" i="2"/>
  <c r="D1675" i="2"/>
  <c r="C1675" i="2"/>
  <c r="B1675" i="2"/>
  <c r="O1674" i="2"/>
  <c r="N1674" i="2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O1673" i="2"/>
  <c r="N1673" i="2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O1672" i="2"/>
  <c r="N1672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O1671" i="2"/>
  <c r="N1671" i="2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O1670" i="2"/>
  <c r="N1670" i="2"/>
  <c r="M1670" i="2"/>
  <c r="L1670" i="2"/>
  <c r="K1670" i="2"/>
  <c r="J1670" i="2"/>
  <c r="I1670" i="2"/>
  <c r="H1670" i="2"/>
  <c r="G1670" i="2"/>
  <c r="F1670" i="2"/>
  <c r="E1670" i="2"/>
  <c r="D1670" i="2"/>
  <c r="C1670" i="2"/>
  <c r="B1670" i="2"/>
  <c r="O1669" i="2"/>
  <c r="N1669" i="2"/>
  <c r="M1669" i="2"/>
  <c r="L1669" i="2"/>
  <c r="K1669" i="2"/>
  <c r="J1669" i="2"/>
  <c r="I1669" i="2"/>
  <c r="H1669" i="2"/>
  <c r="G1669" i="2"/>
  <c r="F1669" i="2"/>
  <c r="E1669" i="2"/>
  <c r="D1669" i="2"/>
  <c r="C1669" i="2"/>
  <c r="B1669" i="2"/>
  <c r="O1668" i="2"/>
  <c r="N1668" i="2"/>
  <c r="M1668" i="2"/>
  <c r="L1668" i="2"/>
  <c r="K1668" i="2"/>
  <c r="J1668" i="2"/>
  <c r="I1668" i="2"/>
  <c r="H1668" i="2"/>
  <c r="G1668" i="2"/>
  <c r="F1668" i="2"/>
  <c r="E1668" i="2"/>
  <c r="D1668" i="2"/>
  <c r="C1668" i="2"/>
  <c r="B1668" i="2"/>
  <c r="O1667" i="2"/>
  <c r="N1667" i="2"/>
  <c r="M1667" i="2"/>
  <c r="L1667" i="2"/>
  <c r="K1667" i="2"/>
  <c r="J1667" i="2"/>
  <c r="I1667" i="2"/>
  <c r="H1667" i="2"/>
  <c r="G1667" i="2"/>
  <c r="F1667" i="2"/>
  <c r="E1667" i="2"/>
  <c r="D1667" i="2"/>
  <c r="C1667" i="2"/>
  <c r="B1667" i="2"/>
  <c r="O1666" i="2"/>
  <c r="N1666" i="2"/>
  <c r="M1666" i="2"/>
  <c r="L1666" i="2"/>
  <c r="K1666" i="2"/>
  <c r="J1666" i="2"/>
  <c r="I1666" i="2"/>
  <c r="H1666" i="2"/>
  <c r="G1666" i="2"/>
  <c r="F1666" i="2"/>
  <c r="E1666" i="2"/>
  <c r="D1666" i="2"/>
  <c r="C1666" i="2"/>
  <c r="B1666" i="2"/>
  <c r="O1665" i="2"/>
  <c r="N1665" i="2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O1664" i="2"/>
  <c r="N1664" i="2"/>
  <c r="M1664" i="2"/>
  <c r="L1664" i="2"/>
  <c r="K1664" i="2"/>
  <c r="J1664" i="2"/>
  <c r="I1664" i="2"/>
  <c r="H1664" i="2"/>
  <c r="G1664" i="2"/>
  <c r="F1664" i="2"/>
  <c r="E1664" i="2"/>
  <c r="D1664" i="2"/>
  <c r="C1664" i="2"/>
  <c r="B1664" i="2"/>
  <c r="O1663" i="2"/>
  <c r="N1663" i="2"/>
  <c r="M1663" i="2"/>
  <c r="L1663" i="2"/>
  <c r="K1663" i="2"/>
  <c r="J1663" i="2"/>
  <c r="I1663" i="2"/>
  <c r="H1663" i="2"/>
  <c r="G1663" i="2"/>
  <c r="F1663" i="2"/>
  <c r="E1663" i="2"/>
  <c r="D1663" i="2"/>
  <c r="C1663" i="2"/>
  <c r="B1663" i="2"/>
  <c r="O1662" i="2"/>
  <c r="N1662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O1661" i="2"/>
  <c r="N1661" i="2"/>
  <c r="M1661" i="2"/>
  <c r="L1661" i="2"/>
  <c r="K1661" i="2"/>
  <c r="J1661" i="2"/>
  <c r="I1661" i="2"/>
  <c r="H1661" i="2"/>
  <c r="G1661" i="2"/>
  <c r="F1661" i="2"/>
  <c r="E1661" i="2"/>
  <c r="D1661" i="2"/>
  <c r="C1661" i="2"/>
  <c r="B1661" i="2"/>
  <c r="O1660" i="2"/>
  <c r="N1660" i="2"/>
  <c r="M1660" i="2"/>
  <c r="L1660" i="2"/>
  <c r="K1660" i="2"/>
  <c r="J1660" i="2"/>
  <c r="I1660" i="2"/>
  <c r="H1660" i="2"/>
  <c r="G1660" i="2"/>
  <c r="F1660" i="2"/>
  <c r="E1660" i="2"/>
  <c r="D1660" i="2"/>
  <c r="C1660" i="2"/>
  <c r="B1660" i="2"/>
  <c r="O1659" i="2"/>
  <c r="N1659" i="2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O1658" i="2"/>
  <c r="N1658" i="2"/>
  <c r="M1658" i="2"/>
  <c r="L1658" i="2"/>
  <c r="K1658" i="2"/>
  <c r="J1658" i="2"/>
  <c r="I1658" i="2"/>
  <c r="H1658" i="2"/>
  <c r="G1658" i="2"/>
  <c r="F1658" i="2"/>
  <c r="E1658" i="2"/>
  <c r="D1658" i="2"/>
  <c r="C1658" i="2"/>
  <c r="B1658" i="2"/>
  <c r="O1657" i="2"/>
  <c r="N1657" i="2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O1656" i="2"/>
  <c r="N1656" i="2"/>
  <c r="M1656" i="2"/>
  <c r="L1656" i="2"/>
  <c r="K1656" i="2"/>
  <c r="J1656" i="2"/>
  <c r="I1656" i="2"/>
  <c r="H1656" i="2"/>
  <c r="G1656" i="2"/>
  <c r="F1656" i="2"/>
  <c r="E1656" i="2"/>
  <c r="D1656" i="2"/>
  <c r="C1656" i="2"/>
  <c r="B1656" i="2"/>
  <c r="O1655" i="2"/>
  <c r="N1655" i="2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O1654" i="2"/>
  <c r="N1654" i="2"/>
  <c r="M1654" i="2"/>
  <c r="L1654" i="2"/>
  <c r="K1654" i="2"/>
  <c r="J1654" i="2"/>
  <c r="I1654" i="2"/>
  <c r="H1654" i="2"/>
  <c r="G1654" i="2"/>
  <c r="F1654" i="2"/>
  <c r="E1654" i="2"/>
  <c r="D1654" i="2"/>
  <c r="C1654" i="2"/>
  <c r="B1654" i="2"/>
  <c r="O1653" i="2"/>
  <c r="N1653" i="2"/>
  <c r="M1653" i="2"/>
  <c r="L1653" i="2"/>
  <c r="K1653" i="2"/>
  <c r="J1653" i="2"/>
  <c r="I1653" i="2"/>
  <c r="H1653" i="2"/>
  <c r="G1653" i="2"/>
  <c r="F1653" i="2"/>
  <c r="E1653" i="2"/>
  <c r="D1653" i="2"/>
  <c r="C1653" i="2"/>
  <c r="B1653" i="2"/>
  <c r="O1652" i="2"/>
  <c r="N1652" i="2"/>
  <c r="M1652" i="2"/>
  <c r="L1652" i="2"/>
  <c r="K1652" i="2"/>
  <c r="J1652" i="2"/>
  <c r="I1652" i="2"/>
  <c r="H1652" i="2"/>
  <c r="G1652" i="2"/>
  <c r="F1652" i="2"/>
  <c r="E1652" i="2"/>
  <c r="D1652" i="2"/>
  <c r="C1652" i="2"/>
  <c r="B1652" i="2"/>
  <c r="O1651" i="2"/>
  <c r="N1651" i="2"/>
  <c r="M1651" i="2"/>
  <c r="L1651" i="2"/>
  <c r="K1651" i="2"/>
  <c r="J1651" i="2"/>
  <c r="I1651" i="2"/>
  <c r="H1651" i="2"/>
  <c r="G1651" i="2"/>
  <c r="F1651" i="2"/>
  <c r="E1651" i="2"/>
  <c r="D1651" i="2"/>
  <c r="C1651" i="2"/>
  <c r="B1651" i="2"/>
  <c r="O1650" i="2"/>
  <c r="N1650" i="2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O1649" i="2"/>
  <c r="N1649" i="2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O1648" i="2"/>
  <c r="N1648" i="2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O1647" i="2"/>
  <c r="N1647" i="2"/>
  <c r="M1647" i="2"/>
  <c r="L1647" i="2"/>
  <c r="K1647" i="2"/>
  <c r="J1647" i="2"/>
  <c r="I1647" i="2"/>
  <c r="H1647" i="2"/>
  <c r="G1647" i="2"/>
  <c r="F1647" i="2"/>
  <c r="E1647" i="2"/>
  <c r="D1647" i="2"/>
  <c r="C1647" i="2"/>
  <c r="B1647" i="2"/>
  <c r="O1646" i="2"/>
  <c r="N1646" i="2"/>
  <c r="M1646" i="2"/>
  <c r="L1646" i="2"/>
  <c r="K1646" i="2"/>
  <c r="J1646" i="2"/>
  <c r="I1646" i="2"/>
  <c r="H1646" i="2"/>
  <c r="G1646" i="2"/>
  <c r="F1646" i="2"/>
  <c r="E1646" i="2"/>
  <c r="D1646" i="2"/>
  <c r="C1646" i="2"/>
  <c r="B1646" i="2"/>
  <c r="O1645" i="2"/>
  <c r="N1645" i="2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O1644" i="2"/>
  <c r="N1644" i="2"/>
  <c r="M1644" i="2"/>
  <c r="L1644" i="2"/>
  <c r="K1644" i="2"/>
  <c r="J1644" i="2"/>
  <c r="I1644" i="2"/>
  <c r="H1644" i="2"/>
  <c r="G1644" i="2"/>
  <c r="F1644" i="2"/>
  <c r="E1644" i="2"/>
  <c r="D1644" i="2"/>
  <c r="C1644" i="2"/>
  <c r="B1644" i="2"/>
  <c r="O1643" i="2"/>
  <c r="N1643" i="2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O1642" i="2"/>
  <c r="N1642" i="2"/>
  <c r="M1642" i="2"/>
  <c r="L1642" i="2"/>
  <c r="K1642" i="2"/>
  <c r="J1642" i="2"/>
  <c r="I1642" i="2"/>
  <c r="H1642" i="2"/>
  <c r="G1642" i="2"/>
  <c r="F1642" i="2"/>
  <c r="E1642" i="2"/>
  <c r="D1642" i="2"/>
  <c r="C1642" i="2"/>
  <c r="B1642" i="2"/>
  <c r="O1641" i="2"/>
  <c r="N1641" i="2"/>
  <c r="M1641" i="2"/>
  <c r="L1641" i="2"/>
  <c r="K1641" i="2"/>
  <c r="J1641" i="2"/>
  <c r="I1641" i="2"/>
  <c r="H1641" i="2"/>
  <c r="G1641" i="2"/>
  <c r="F1641" i="2"/>
  <c r="E1641" i="2"/>
  <c r="D1641" i="2"/>
  <c r="C1641" i="2"/>
  <c r="B1641" i="2"/>
  <c r="O1640" i="2"/>
  <c r="N1640" i="2"/>
  <c r="M1640" i="2"/>
  <c r="L1640" i="2"/>
  <c r="K1640" i="2"/>
  <c r="J1640" i="2"/>
  <c r="I1640" i="2"/>
  <c r="H1640" i="2"/>
  <c r="G1640" i="2"/>
  <c r="F1640" i="2"/>
  <c r="E1640" i="2"/>
  <c r="D1640" i="2"/>
  <c r="C1640" i="2"/>
  <c r="B1640" i="2"/>
  <c r="O1639" i="2"/>
  <c r="N1639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O1638" i="2"/>
  <c r="N1638" i="2"/>
  <c r="M1638" i="2"/>
  <c r="L1638" i="2"/>
  <c r="K1638" i="2"/>
  <c r="J1638" i="2"/>
  <c r="I1638" i="2"/>
  <c r="H1638" i="2"/>
  <c r="G1638" i="2"/>
  <c r="F1638" i="2"/>
  <c r="E1638" i="2"/>
  <c r="D1638" i="2"/>
  <c r="C1638" i="2"/>
  <c r="B1638" i="2"/>
  <c r="O1637" i="2"/>
  <c r="N1637" i="2"/>
  <c r="M1637" i="2"/>
  <c r="L1637" i="2"/>
  <c r="K1637" i="2"/>
  <c r="J1637" i="2"/>
  <c r="I1637" i="2"/>
  <c r="H1637" i="2"/>
  <c r="G1637" i="2"/>
  <c r="F1637" i="2"/>
  <c r="E1637" i="2"/>
  <c r="D1637" i="2"/>
  <c r="C1637" i="2"/>
  <c r="B1637" i="2"/>
  <c r="O1636" i="2"/>
  <c r="N1636" i="2"/>
  <c r="M1636" i="2"/>
  <c r="L1636" i="2"/>
  <c r="K1636" i="2"/>
  <c r="J1636" i="2"/>
  <c r="I1636" i="2"/>
  <c r="H1636" i="2"/>
  <c r="G1636" i="2"/>
  <c r="F1636" i="2"/>
  <c r="E1636" i="2"/>
  <c r="D1636" i="2"/>
  <c r="C1636" i="2"/>
  <c r="B1636" i="2"/>
  <c r="O1635" i="2"/>
  <c r="N1635" i="2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O1634" i="2"/>
  <c r="N1634" i="2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O1633" i="2"/>
  <c r="N1633" i="2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O1632" i="2"/>
  <c r="N1632" i="2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O1631" i="2"/>
  <c r="N1631" i="2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O1630" i="2"/>
  <c r="N1630" i="2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O1629" i="2"/>
  <c r="N1629" i="2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O1628" i="2"/>
  <c r="N1628" i="2"/>
  <c r="M1628" i="2"/>
  <c r="L1628" i="2"/>
  <c r="K1628" i="2"/>
  <c r="J1628" i="2"/>
  <c r="I1628" i="2"/>
  <c r="H1628" i="2"/>
  <c r="G1628" i="2"/>
  <c r="F1628" i="2"/>
  <c r="E1628" i="2"/>
  <c r="D1628" i="2"/>
  <c r="C1628" i="2"/>
  <c r="B1628" i="2"/>
  <c r="O1627" i="2"/>
  <c r="N1627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O1626" i="2"/>
  <c r="N1626" i="2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O1625" i="2"/>
  <c r="N1625" i="2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O1624" i="2"/>
  <c r="N1624" i="2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O1623" i="2"/>
  <c r="N1623" i="2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O1622" i="2"/>
  <c r="N1622" i="2"/>
  <c r="M1622" i="2"/>
  <c r="L1622" i="2"/>
  <c r="K1622" i="2"/>
  <c r="J1622" i="2"/>
  <c r="I1622" i="2"/>
  <c r="H1622" i="2"/>
  <c r="G1622" i="2"/>
  <c r="F1622" i="2"/>
  <c r="E1622" i="2"/>
  <c r="D1622" i="2"/>
  <c r="C1622" i="2"/>
  <c r="B1622" i="2"/>
  <c r="O1621" i="2"/>
  <c r="N1621" i="2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O1620" i="2"/>
  <c r="N1620" i="2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O1619" i="2"/>
  <c r="N1619" i="2"/>
  <c r="M1619" i="2"/>
  <c r="L1619" i="2"/>
  <c r="K1619" i="2"/>
  <c r="J1619" i="2"/>
  <c r="I1619" i="2"/>
  <c r="H1619" i="2"/>
  <c r="G1619" i="2"/>
  <c r="F1619" i="2"/>
  <c r="E1619" i="2"/>
  <c r="D1619" i="2"/>
  <c r="C1619" i="2"/>
  <c r="B1619" i="2"/>
  <c r="O1618" i="2"/>
  <c r="N1618" i="2"/>
  <c r="M1618" i="2"/>
  <c r="L1618" i="2"/>
  <c r="K1618" i="2"/>
  <c r="J1618" i="2"/>
  <c r="I1618" i="2"/>
  <c r="H1618" i="2"/>
  <c r="G1618" i="2"/>
  <c r="F1618" i="2"/>
  <c r="E1618" i="2"/>
  <c r="D1618" i="2"/>
  <c r="C1618" i="2"/>
  <c r="B1618" i="2"/>
  <c r="O1617" i="2"/>
  <c r="N1617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O1616" i="2"/>
  <c r="N1616" i="2"/>
  <c r="M1616" i="2"/>
  <c r="L1616" i="2"/>
  <c r="K1616" i="2"/>
  <c r="J1616" i="2"/>
  <c r="I1616" i="2"/>
  <c r="H1616" i="2"/>
  <c r="G1616" i="2"/>
  <c r="F1616" i="2"/>
  <c r="E1616" i="2"/>
  <c r="D1616" i="2"/>
  <c r="C1616" i="2"/>
  <c r="B1616" i="2"/>
  <c r="O1615" i="2"/>
  <c r="N1615" i="2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O1614" i="2"/>
  <c r="N1614" i="2"/>
  <c r="M1614" i="2"/>
  <c r="L1614" i="2"/>
  <c r="K1614" i="2"/>
  <c r="J1614" i="2"/>
  <c r="I1614" i="2"/>
  <c r="H1614" i="2"/>
  <c r="G1614" i="2"/>
  <c r="F1614" i="2"/>
  <c r="E1614" i="2"/>
  <c r="D1614" i="2"/>
  <c r="C1614" i="2"/>
  <c r="B1614" i="2"/>
  <c r="O1613" i="2"/>
  <c r="N1613" i="2"/>
  <c r="M1613" i="2"/>
  <c r="L1613" i="2"/>
  <c r="K1613" i="2"/>
  <c r="J1613" i="2"/>
  <c r="I1613" i="2"/>
  <c r="H1613" i="2"/>
  <c r="G1613" i="2"/>
  <c r="F1613" i="2"/>
  <c r="E1613" i="2"/>
  <c r="D1613" i="2"/>
  <c r="C1613" i="2"/>
  <c r="B1613" i="2"/>
  <c r="O1612" i="2"/>
  <c r="N1612" i="2"/>
  <c r="M1612" i="2"/>
  <c r="L1612" i="2"/>
  <c r="K1612" i="2"/>
  <c r="J1612" i="2"/>
  <c r="I1612" i="2"/>
  <c r="H1612" i="2"/>
  <c r="G1612" i="2"/>
  <c r="F1612" i="2"/>
  <c r="E1612" i="2"/>
  <c r="D1612" i="2"/>
  <c r="C1612" i="2"/>
  <c r="B1612" i="2"/>
  <c r="O1611" i="2"/>
  <c r="N1611" i="2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O1610" i="2"/>
  <c r="N1610" i="2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O1609" i="2"/>
  <c r="N1609" i="2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O1608" i="2"/>
  <c r="N1608" i="2"/>
  <c r="M1608" i="2"/>
  <c r="L1608" i="2"/>
  <c r="K1608" i="2"/>
  <c r="J1608" i="2"/>
  <c r="I1608" i="2"/>
  <c r="H1608" i="2"/>
  <c r="G1608" i="2"/>
  <c r="F1608" i="2"/>
  <c r="E1608" i="2"/>
  <c r="D1608" i="2"/>
  <c r="C1608" i="2"/>
  <c r="B1608" i="2"/>
  <c r="O1607" i="2"/>
  <c r="N1607" i="2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O1606" i="2"/>
  <c r="N1606" i="2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O1605" i="2"/>
  <c r="N1605" i="2"/>
  <c r="M1605" i="2"/>
  <c r="L1605" i="2"/>
  <c r="K1605" i="2"/>
  <c r="J1605" i="2"/>
  <c r="I1605" i="2"/>
  <c r="H1605" i="2"/>
  <c r="G1605" i="2"/>
  <c r="F1605" i="2"/>
  <c r="E1605" i="2"/>
  <c r="D1605" i="2"/>
  <c r="C1605" i="2"/>
  <c r="B1605" i="2"/>
  <c r="O1604" i="2"/>
  <c r="N1604" i="2"/>
  <c r="M1604" i="2"/>
  <c r="L1604" i="2"/>
  <c r="K1604" i="2"/>
  <c r="J1604" i="2"/>
  <c r="I1604" i="2"/>
  <c r="H1604" i="2"/>
  <c r="G1604" i="2"/>
  <c r="F1604" i="2"/>
  <c r="E1604" i="2"/>
  <c r="D1604" i="2"/>
  <c r="C1604" i="2"/>
  <c r="B1604" i="2"/>
  <c r="O1603" i="2"/>
  <c r="N1603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O1602" i="2"/>
  <c r="N1602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O1601" i="2"/>
  <c r="N1601" i="2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O1600" i="2"/>
  <c r="N1600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O1599" i="2"/>
  <c r="N1599" i="2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O1598" i="2"/>
  <c r="N1598" i="2"/>
  <c r="M1598" i="2"/>
  <c r="L1598" i="2"/>
  <c r="K1598" i="2"/>
  <c r="J1598" i="2"/>
  <c r="I1598" i="2"/>
  <c r="H1598" i="2"/>
  <c r="G1598" i="2"/>
  <c r="F1598" i="2"/>
  <c r="E1598" i="2"/>
  <c r="D1598" i="2"/>
  <c r="C1598" i="2"/>
  <c r="B1598" i="2"/>
  <c r="O1597" i="2"/>
  <c r="N1597" i="2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O1596" i="2"/>
  <c r="N1596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O1595" i="2"/>
  <c r="N1595" i="2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O1594" i="2"/>
  <c r="N1594" i="2"/>
  <c r="M1594" i="2"/>
  <c r="L1594" i="2"/>
  <c r="K1594" i="2"/>
  <c r="J1594" i="2"/>
  <c r="I1594" i="2"/>
  <c r="H1594" i="2"/>
  <c r="G1594" i="2"/>
  <c r="F1594" i="2"/>
  <c r="E1594" i="2"/>
  <c r="D1594" i="2"/>
  <c r="C1594" i="2"/>
  <c r="B1594" i="2"/>
  <c r="O1593" i="2"/>
  <c r="N1593" i="2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O1592" i="2"/>
  <c r="N1592" i="2"/>
  <c r="M1592" i="2"/>
  <c r="L1592" i="2"/>
  <c r="K1592" i="2"/>
  <c r="J1592" i="2"/>
  <c r="I1592" i="2"/>
  <c r="H1592" i="2"/>
  <c r="G1592" i="2"/>
  <c r="F1592" i="2"/>
  <c r="E1592" i="2"/>
  <c r="D1592" i="2"/>
  <c r="C1592" i="2"/>
  <c r="B1592" i="2"/>
  <c r="O1591" i="2"/>
  <c r="N1591" i="2"/>
  <c r="M1591" i="2"/>
  <c r="L1591" i="2"/>
  <c r="K1591" i="2"/>
  <c r="J1591" i="2"/>
  <c r="I1591" i="2"/>
  <c r="H1591" i="2"/>
  <c r="G1591" i="2"/>
  <c r="F1591" i="2"/>
  <c r="E1591" i="2"/>
  <c r="D1591" i="2"/>
  <c r="C1591" i="2"/>
  <c r="B1591" i="2"/>
  <c r="O1590" i="2"/>
  <c r="N1590" i="2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O1589" i="2"/>
  <c r="N1589" i="2"/>
  <c r="M1589" i="2"/>
  <c r="L1589" i="2"/>
  <c r="K1589" i="2"/>
  <c r="J1589" i="2"/>
  <c r="I1589" i="2"/>
  <c r="H1589" i="2"/>
  <c r="G1589" i="2"/>
  <c r="F1589" i="2"/>
  <c r="E1589" i="2"/>
  <c r="D1589" i="2"/>
  <c r="C1589" i="2"/>
  <c r="B1589" i="2"/>
  <c r="O1588" i="2"/>
  <c r="N1588" i="2"/>
  <c r="M1588" i="2"/>
  <c r="L1588" i="2"/>
  <c r="K1588" i="2"/>
  <c r="J1588" i="2"/>
  <c r="I1588" i="2"/>
  <c r="H1588" i="2"/>
  <c r="G1588" i="2"/>
  <c r="F1588" i="2"/>
  <c r="E1588" i="2"/>
  <c r="D1588" i="2"/>
  <c r="C1588" i="2"/>
  <c r="B1588" i="2"/>
  <c r="O1587" i="2"/>
  <c r="N1587" i="2"/>
  <c r="M1587" i="2"/>
  <c r="L1587" i="2"/>
  <c r="K1587" i="2"/>
  <c r="J1587" i="2"/>
  <c r="I1587" i="2"/>
  <c r="H1587" i="2"/>
  <c r="G1587" i="2"/>
  <c r="F1587" i="2"/>
  <c r="E1587" i="2"/>
  <c r="D1587" i="2"/>
  <c r="C1587" i="2"/>
  <c r="B1587" i="2"/>
  <c r="O1586" i="2"/>
  <c r="N1586" i="2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O1585" i="2"/>
  <c r="N1585" i="2"/>
  <c r="M1585" i="2"/>
  <c r="L1585" i="2"/>
  <c r="K1585" i="2"/>
  <c r="J1585" i="2"/>
  <c r="I1585" i="2"/>
  <c r="H1585" i="2"/>
  <c r="G1585" i="2"/>
  <c r="F1585" i="2"/>
  <c r="E1585" i="2"/>
  <c r="D1585" i="2"/>
  <c r="C1585" i="2"/>
  <c r="B1585" i="2"/>
  <c r="O1584" i="2"/>
  <c r="N1584" i="2"/>
  <c r="M1584" i="2"/>
  <c r="L1584" i="2"/>
  <c r="K1584" i="2"/>
  <c r="J1584" i="2"/>
  <c r="I1584" i="2"/>
  <c r="H1584" i="2"/>
  <c r="G1584" i="2"/>
  <c r="F1584" i="2"/>
  <c r="E1584" i="2"/>
  <c r="D1584" i="2"/>
  <c r="C1584" i="2"/>
  <c r="B1584" i="2"/>
  <c r="O1583" i="2"/>
  <c r="N1583" i="2"/>
  <c r="M1583" i="2"/>
  <c r="L1583" i="2"/>
  <c r="K1583" i="2"/>
  <c r="J1583" i="2"/>
  <c r="I1583" i="2"/>
  <c r="H1583" i="2"/>
  <c r="G1583" i="2"/>
  <c r="F1583" i="2"/>
  <c r="E1583" i="2"/>
  <c r="D1583" i="2"/>
  <c r="C1583" i="2"/>
  <c r="B1583" i="2"/>
  <c r="O1582" i="2"/>
  <c r="N1582" i="2"/>
  <c r="M1582" i="2"/>
  <c r="L1582" i="2"/>
  <c r="K1582" i="2"/>
  <c r="J1582" i="2"/>
  <c r="I1582" i="2"/>
  <c r="H1582" i="2"/>
  <c r="G1582" i="2"/>
  <c r="F1582" i="2"/>
  <c r="E1582" i="2"/>
  <c r="D1582" i="2"/>
  <c r="C1582" i="2"/>
  <c r="B1582" i="2"/>
  <c r="O1581" i="2"/>
  <c r="N1581" i="2"/>
  <c r="M1581" i="2"/>
  <c r="L1581" i="2"/>
  <c r="K1581" i="2"/>
  <c r="J1581" i="2"/>
  <c r="I1581" i="2"/>
  <c r="H1581" i="2"/>
  <c r="G1581" i="2"/>
  <c r="F1581" i="2"/>
  <c r="E1581" i="2"/>
  <c r="D1581" i="2"/>
  <c r="C1581" i="2"/>
  <c r="B1581" i="2"/>
  <c r="O1580" i="2"/>
  <c r="N1580" i="2"/>
  <c r="M1580" i="2"/>
  <c r="L1580" i="2"/>
  <c r="K1580" i="2"/>
  <c r="J1580" i="2"/>
  <c r="I1580" i="2"/>
  <c r="H1580" i="2"/>
  <c r="G1580" i="2"/>
  <c r="F1580" i="2"/>
  <c r="E1580" i="2"/>
  <c r="D1580" i="2"/>
  <c r="C1580" i="2"/>
  <c r="B1580" i="2"/>
  <c r="O1579" i="2"/>
  <c r="N1579" i="2"/>
  <c r="M1579" i="2"/>
  <c r="L1579" i="2"/>
  <c r="K1579" i="2"/>
  <c r="J1579" i="2"/>
  <c r="I1579" i="2"/>
  <c r="H1579" i="2"/>
  <c r="G1579" i="2"/>
  <c r="F1579" i="2"/>
  <c r="E1579" i="2"/>
  <c r="D1579" i="2"/>
  <c r="C1579" i="2"/>
  <c r="B1579" i="2"/>
  <c r="O1578" i="2"/>
  <c r="N1578" i="2"/>
  <c r="M1578" i="2"/>
  <c r="L1578" i="2"/>
  <c r="K1578" i="2"/>
  <c r="J1578" i="2"/>
  <c r="I1578" i="2"/>
  <c r="H1578" i="2"/>
  <c r="G1578" i="2"/>
  <c r="F1578" i="2"/>
  <c r="E1578" i="2"/>
  <c r="D1578" i="2"/>
  <c r="C1578" i="2"/>
  <c r="B1578" i="2"/>
  <c r="O1577" i="2"/>
  <c r="N1577" i="2"/>
  <c r="M1577" i="2"/>
  <c r="L1577" i="2"/>
  <c r="K1577" i="2"/>
  <c r="J1577" i="2"/>
  <c r="I1577" i="2"/>
  <c r="H1577" i="2"/>
  <c r="G1577" i="2"/>
  <c r="F1577" i="2"/>
  <c r="E1577" i="2"/>
  <c r="D1577" i="2"/>
  <c r="C1577" i="2"/>
  <c r="B1577" i="2"/>
  <c r="O1576" i="2"/>
  <c r="N1576" i="2"/>
  <c r="M1576" i="2"/>
  <c r="L1576" i="2"/>
  <c r="K1576" i="2"/>
  <c r="J1576" i="2"/>
  <c r="I1576" i="2"/>
  <c r="H1576" i="2"/>
  <c r="G1576" i="2"/>
  <c r="F1576" i="2"/>
  <c r="E1576" i="2"/>
  <c r="D1576" i="2"/>
  <c r="C1576" i="2"/>
  <c r="B1576" i="2"/>
  <c r="O1575" i="2"/>
  <c r="N1575" i="2"/>
  <c r="M1575" i="2"/>
  <c r="L1575" i="2"/>
  <c r="K1575" i="2"/>
  <c r="J1575" i="2"/>
  <c r="I1575" i="2"/>
  <c r="H1575" i="2"/>
  <c r="G1575" i="2"/>
  <c r="F1575" i="2"/>
  <c r="E1575" i="2"/>
  <c r="D1575" i="2"/>
  <c r="C1575" i="2"/>
  <c r="B1575" i="2"/>
  <c r="O1574" i="2"/>
  <c r="N1574" i="2"/>
  <c r="M1574" i="2"/>
  <c r="L1574" i="2"/>
  <c r="K1574" i="2"/>
  <c r="J1574" i="2"/>
  <c r="I1574" i="2"/>
  <c r="H1574" i="2"/>
  <c r="G1574" i="2"/>
  <c r="F1574" i="2"/>
  <c r="E1574" i="2"/>
  <c r="D1574" i="2"/>
  <c r="C1574" i="2"/>
  <c r="B1574" i="2"/>
  <c r="O1573" i="2"/>
  <c r="N1573" i="2"/>
  <c r="M1573" i="2"/>
  <c r="L1573" i="2"/>
  <c r="K1573" i="2"/>
  <c r="J1573" i="2"/>
  <c r="I1573" i="2"/>
  <c r="H1573" i="2"/>
  <c r="G1573" i="2"/>
  <c r="F1573" i="2"/>
  <c r="E1573" i="2"/>
  <c r="D1573" i="2"/>
  <c r="C1573" i="2"/>
  <c r="B1573" i="2"/>
  <c r="O1572" i="2"/>
  <c r="N1572" i="2"/>
  <c r="M1572" i="2"/>
  <c r="L1572" i="2"/>
  <c r="K1572" i="2"/>
  <c r="J1572" i="2"/>
  <c r="I1572" i="2"/>
  <c r="H1572" i="2"/>
  <c r="G1572" i="2"/>
  <c r="F1572" i="2"/>
  <c r="E1572" i="2"/>
  <c r="D1572" i="2"/>
  <c r="C1572" i="2"/>
  <c r="B1572" i="2"/>
  <c r="O1571" i="2"/>
  <c r="N1571" i="2"/>
  <c r="M1571" i="2"/>
  <c r="L1571" i="2"/>
  <c r="K1571" i="2"/>
  <c r="J1571" i="2"/>
  <c r="I1571" i="2"/>
  <c r="H1571" i="2"/>
  <c r="G1571" i="2"/>
  <c r="F1571" i="2"/>
  <c r="E1571" i="2"/>
  <c r="D1571" i="2"/>
  <c r="C1571" i="2"/>
  <c r="B1571" i="2"/>
  <c r="O1570" i="2"/>
  <c r="N1570" i="2"/>
  <c r="M1570" i="2"/>
  <c r="L1570" i="2"/>
  <c r="K1570" i="2"/>
  <c r="J1570" i="2"/>
  <c r="I1570" i="2"/>
  <c r="H1570" i="2"/>
  <c r="G1570" i="2"/>
  <c r="F1570" i="2"/>
  <c r="E1570" i="2"/>
  <c r="D1570" i="2"/>
  <c r="C1570" i="2"/>
  <c r="B1570" i="2"/>
  <c r="O1569" i="2"/>
  <c r="N1569" i="2"/>
  <c r="M1569" i="2"/>
  <c r="L1569" i="2"/>
  <c r="K1569" i="2"/>
  <c r="J1569" i="2"/>
  <c r="I1569" i="2"/>
  <c r="H1569" i="2"/>
  <c r="G1569" i="2"/>
  <c r="F1569" i="2"/>
  <c r="E1569" i="2"/>
  <c r="D1569" i="2"/>
  <c r="C1569" i="2"/>
  <c r="B1569" i="2"/>
  <c r="O1568" i="2"/>
  <c r="N1568" i="2"/>
  <c r="M1568" i="2"/>
  <c r="L1568" i="2"/>
  <c r="K1568" i="2"/>
  <c r="J1568" i="2"/>
  <c r="I1568" i="2"/>
  <c r="H1568" i="2"/>
  <c r="G1568" i="2"/>
  <c r="F1568" i="2"/>
  <c r="E1568" i="2"/>
  <c r="D1568" i="2"/>
  <c r="C1568" i="2"/>
  <c r="B1568" i="2"/>
  <c r="O1567" i="2"/>
  <c r="N1567" i="2"/>
  <c r="M1567" i="2"/>
  <c r="L1567" i="2"/>
  <c r="K1567" i="2"/>
  <c r="J1567" i="2"/>
  <c r="I1567" i="2"/>
  <c r="H1567" i="2"/>
  <c r="G1567" i="2"/>
  <c r="F1567" i="2"/>
  <c r="E1567" i="2"/>
  <c r="D1567" i="2"/>
  <c r="C1567" i="2"/>
  <c r="B1567" i="2"/>
  <c r="O1566" i="2"/>
  <c r="N1566" i="2"/>
  <c r="M1566" i="2"/>
  <c r="L1566" i="2"/>
  <c r="K1566" i="2"/>
  <c r="J1566" i="2"/>
  <c r="I1566" i="2"/>
  <c r="H1566" i="2"/>
  <c r="G1566" i="2"/>
  <c r="F1566" i="2"/>
  <c r="E1566" i="2"/>
  <c r="D1566" i="2"/>
  <c r="C1566" i="2"/>
  <c r="B1566" i="2"/>
  <c r="O1565" i="2"/>
  <c r="N1565" i="2"/>
  <c r="M1565" i="2"/>
  <c r="L1565" i="2"/>
  <c r="K1565" i="2"/>
  <c r="J1565" i="2"/>
  <c r="I1565" i="2"/>
  <c r="H1565" i="2"/>
  <c r="G1565" i="2"/>
  <c r="F1565" i="2"/>
  <c r="E1565" i="2"/>
  <c r="D1565" i="2"/>
  <c r="C1565" i="2"/>
  <c r="B1565" i="2"/>
  <c r="O1564" i="2"/>
  <c r="N1564" i="2"/>
  <c r="M1564" i="2"/>
  <c r="L1564" i="2"/>
  <c r="K1564" i="2"/>
  <c r="J1564" i="2"/>
  <c r="I1564" i="2"/>
  <c r="H1564" i="2"/>
  <c r="G1564" i="2"/>
  <c r="F1564" i="2"/>
  <c r="E1564" i="2"/>
  <c r="D1564" i="2"/>
  <c r="C1564" i="2"/>
  <c r="B1564" i="2"/>
  <c r="O1563" i="2"/>
  <c r="N1563" i="2"/>
  <c r="M1563" i="2"/>
  <c r="L1563" i="2"/>
  <c r="K1563" i="2"/>
  <c r="J1563" i="2"/>
  <c r="I1563" i="2"/>
  <c r="H1563" i="2"/>
  <c r="G1563" i="2"/>
  <c r="F1563" i="2"/>
  <c r="E1563" i="2"/>
  <c r="D1563" i="2"/>
  <c r="C1563" i="2"/>
  <c r="B1563" i="2"/>
  <c r="O1562" i="2"/>
  <c r="N1562" i="2"/>
  <c r="M1562" i="2"/>
  <c r="L1562" i="2"/>
  <c r="K1562" i="2"/>
  <c r="J1562" i="2"/>
  <c r="I1562" i="2"/>
  <c r="H1562" i="2"/>
  <c r="G1562" i="2"/>
  <c r="F1562" i="2"/>
  <c r="E1562" i="2"/>
  <c r="D1562" i="2"/>
  <c r="C1562" i="2"/>
  <c r="B1562" i="2"/>
  <c r="O1561" i="2"/>
  <c r="N1561" i="2"/>
  <c r="M1561" i="2"/>
  <c r="L1561" i="2"/>
  <c r="K1561" i="2"/>
  <c r="J1561" i="2"/>
  <c r="I1561" i="2"/>
  <c r="H1561" i="2"/>
  <c r="G1561" i="2"/>
  <c r="F1561" i="2"/>
  <c r="E1561" i="2"/>
  <c r="D1561" i="2"/>
  <c r="C1561" i="2"/>
  <c r="B1561" i="2"/>
  <c r="O1560" i="2"/>
  <c r="N1560" i="2"/>
  <c r="M1560" i="2"/>
  <c r="L1560" i="2"/>
  <c r="K1560" i="2"/>
  <c r="J1560" i="2"/>
  <c r="I1560" i="2"/>
  <c r="H1560" i="2"/>
  <c r="G1560" i="2"/>
  <c r="F1560" i="2"/>
  <c r="E1560" i="2"/>
  <c r="D1560" i="2"/>
  <c r="C1560" i="2"/>
  <c r="B1560" i="2"/>
  <c r="O1559" i="2"/>
  <c r="N1559" i="2"/>
  <c r="M1559" i="2"/>
  <c r="L1559" i="2"/>
  <c r="K1559" i="2"/>
  <c r="J1559" i="2"/>
  <c r="I1559" i="2"/>
  <c r="H1559" i="2"/>
  <c r="G1559" i="2"/>
  <c r="F1559" i="2"/>
  <c r="E1559" i="2"/>
  <c r="D1559" i="2"/>
  <c r="C1559" i="2"/>
  <c r="B1559" i="2"/>
  <c r="O1558" i="2"/>
  <c r="N1558" i="2"/>
  <c r="M1558" i="2"/>
  <c r="L1558" i="2"/>
  <c r="K1558" i="2"/>
  <c r="J1558" i="2"/>
  <c r="I1558" i="2"/>
  <c r="H1558" i="2"/>
  <c r="G1558" i="2"/>
  <c r="F1558" i="2"/>
  <c r="E1558" i="2"/>
  <c r="D1558" i="2"/>
  <c r="C1558" i="2"/>
  <c r="B1558" i="2"/>
  <c r="O1557" i="2"/>
  <c r="N1557" i="2"/>
  <c r="M1557" i="2"/>
  <c r="L1557" i="2"/>
  <c r="K1557" i="2"/>
  <c r="J1557" i="2"/>
  <c r="I1557" i="2"/>
  <c r="H1557" i="2"/>
  <c r="G1557" i="2"/>
  <c r="F1557" i="2"/>
  <c r="E1557" i="2"/>
  <c r="D1557" i="2"/>
  <c r="C1557" i="2"/>
  <c r="B1557" i="2"/>
  <c r="O1556" i="2"/>
  <c r="N1556" i="2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O1555" i="2"/>
  <c r="N1555" i="2"/>
  <c r="M1555" i="2"/>
  <c r="L1555" i="2"/>
  <c r="K1555" i="2"/>
  <c r="J1555" i="2"/>
  <c r="I1555" i="2"/>
  <c r="H1555" i="2"/>
  <c r="G1555" i="2"/>
  <c r="F1555" i="2"/>
  <c r="E1555" i="2"/>
  <c r="D1555" i="2"/>
  <c r="C1555" i="2"/>
  <c r="B1555" i="2"/>
  <c r="O1554" i="2"/>
  <c r="N1554" i="2"/>
  <c r="M1554" i="2"/>
  <c r="L1554" i="2"/>
  <c r="K1554" i="2"/>
  <c r="J1554" i="2"/>
  <c r="I1554" i="2"/>
  <c r="H1554" i="2"/>
  <c r="G1554" i="2"/>
  <c r="F1554" i="2"/>
  <c r="E1554" i="2"/>
  <c r="D1554" i="2"/>
  <c r="C1554" i="2"/>
  <c r="B1554" i="2"/>
  <c r="O1553" i="2"/>
  <c r="N1553" i="2"/>
  <c r="M1553" i="2"/>
  <c r="L1553" i="2"/>
  <c r="K1553" i="2"/>
  <c r="J1553" i="2"/>
  <c r="I1553" i="2"/>
  <c r="H1553" i="2"/>
  <c r="G1553" i="2"/>
  <c r="F1553" i="2"/>
  <c r="E1553" i="2"/>
  <c r="D1553" i="2"/>
  <c r="C1553" i="2"/>
  <c r="B1553" i="2"/>
  <c r="O1552" i="2"/>
  <c r="N1552" i="2"/>
  <c r="M1552" i="2"/>
  <c r="L1552" i="2"/>
  <c r="K1552" i="2"/>
  <c r="J1552" i="2"/>
  <c r="I1552" i="2"/>
  <c r="H1552" i="2"/>
  <c r="G1552" i="2"/>
  <c r="F1552" i="2"/>
  <c r="E1552" i="2"/>
  <c r="D1552" i="2"/>
  <c r="C1552" i="2"/>
  <c r="B1552" i="2"/>
  <c r="O1551" i="2"/>
  <c r="N1551" i="2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O1550" i="2"/>
  <c r="N1550" i="2"/>
  <c r="M1550" i="2"/>
  <c r="L1550" i="2"/>
  <c r="K1550" i="2"/>
  <c r="J1550" i="2"/>
  <c r="I1550" i="2"/>
  <c r="H1550" i="2"/>
  <c r="G1550" i="2"/>
  <c r="F1550" i="2"/>
  <c r="E1550" i="2"/>
  <c r="D1550" i="2"/>
  <c r="C1550" i="2"/>
  <c r="B1550" i="2"/>
  <c r="O1549" i="2"/>
  <c r="N1549" i="2"/>
  <c r="M1549" i="2"/>
  <c r="L1549" i="2"/>
  <c r="K1549" i="2"/>
  <c r="J1549" i="2"/>
  <c r="I1549" i="2"/>
  <c r="H1549" i="2"/>
  <c r="G1549" i="2"/>
  <c r="F1549" i="2"/>
  <c r="E1549" i="2"/>
  <c r="D1549" i="2"/>
  <c r="C1549" i="2"/>
  <c r="B1549" i="2"/>
  <c r="O1548" i="2"/>
  <c r="N1548" i="2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O1547" i="2"/>
  <c r="N1547" i="2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O1546" i="2"/>
  <c r="N1546" i="2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O1545" i="2"/>
  <c r="N1545" i="2"/>
  <c r="M1545" i="2"/>
  <c r="L1545" i="2"/>
  <c r="K1545" i="2"/>
  <c r="J1545" i="2"/>
  <c r="I1545" i="2"/>
  <c r="H1545" i="2"/>
  <c r="G1545" i="2"/>
  <c r="F1545" i="2"/>
  <c r="E1545" i="2"/>
  <c r="D1545" i="2"/>
  <c r="C1545" i="2"/>
  <c r="B1545" i="2"/>
  <c r="O1544" i="2"/>
  <c r="N1544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O1543" i="2"/>
  <c r="N1543" i="2"/>
  <c r="M1543" i="2"/>
  <c r="L1543" i="2"/>
  <c r="K1543" i="2"/>
  <c r="J1543" i="2"/>
  <c r="I1543" i="2"/>
  <c r="H1543" i="2"/>
  <c r="G1543" i="2"/>
  <c r="F1543" i="2"/>
  <c r="E1543" i="2"/>
  <c r="D1543" i="2"/>
  <c r="C1543" i="2"/>
  <c r="B1543" i="2"/>
  <c r="O1542" i="2"/>
  <c r="N1542" i="2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O1541" i="2"/>
  <c r="N1541" i="2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O1540" i="2"/>
  <c r="N1540" i="2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O1539" i="2"/>
  <c r="N1539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O1538" i="2"/>
  <c r="N1538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O1537" i="2"/>
  <c r="N1537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O1536" i="2"/>
  <c r="N1536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O1535" i="2"/>
  <c r="N1535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O1534" i="2"/>
  <c r="N1534" i="2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O1533" i="2"/>
  <c r="N1533" i="2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O1532" i="2"/>
  <c r="N1532" i="2"/>
  <c r="M1532" i="2"/>
  <c r="L1532" i="2"/>
  <c r="K1532" i="2"/>
  <c r="J1532" i="2"/>
  <c r="I1532" i="2"/>
  <c r="H1532" i="2"/>
  <c r="G1532" i="2"/>
  <c r="F1532" i="2"/>
  <c r="E1532" i="2"/>
  <c r="D1532" i="2"/>
  <c r="C1532" i="2"/>
  <c r="B1532" i="2"/>
  <c r="O1531" i="2"/>
  <c r="N1531" i="2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O1530" i="2"/>
  <c r="N1530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O1529" i="2"/>
  <c r="N1529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O1528" i="2"/>
  <c r="N1528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O1527" i="2"/>
  <c r="N1527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O1526" i="2"/>
  <c r="N1526" i="2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O1525" i="2"/>
  <c r="N1525" i="2"/>
  <c r="M1525" i="2"/>
  <c r="L1525" i="2"/>
  <c r="K1525" i="2"/>
  <c r="J1525" i="2"/>
  <c r="I1525" i="2"/>
  <c r="H1525" i="2"/>
  <c r="G1525" i="2"/>
  <c r="F1525" i="2"/>
  <c r="E1525" i="2"/>
  <c r="D1525" i="2"/>
  <c r="C1525" i="2"/>
  <c r="B1525" i="2"/>
  <c r="O1524" i="2"/>
  <c r="N1524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O1523" i="2"/>
  <c r="N1523" i="2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O1522" i="2"/>
  <c r="N1522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O1521" i="2"/>
  <c r="N1521" i="2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O1520" i="2"/>
  <c r="N1520" i="2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O1519" i="2"/>
  <c r="N1519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O1518" i="2"/>
  <c r="N1518" i="2"/>
  <c r="M1518" i="2"/>
  <c r="L1518" i="2"/>
  <c r="K1518" i="2"/>
  <c r="J1518" i="2"/>
  <c r="I1518" i="2"/>
  <c r="H1518" i="2"/>
  <c r="G1518" i="2"/>
  <c r="F1518" i="2"/>
  <c r="E1518" i="2"/>
  <c r="D1518" i="2"/>
  <c r="C1518" i="2"/>
  <c r="B1518" i="2"/>
  <c r="O1517" i="2"/>
  <c r="N1517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O1516" i="2"/>
  <c r="N1516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O1515" i="2"/>
  <c r="N1515" i="2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O1514" i="2"/>
  <c r="N1514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O1513" i="2"/>
  <c r="N1513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O1512" i="2"/>
  <c r="N1512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O1511" i="2"/>
  <c r="N1511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O1510" i="2"/>
  <c r="N1510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O1509" i="2"/>
  <c r="N1509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O1508" i="2"/>
  <c r="N1508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O1507" i="2"/>
  <c r="N1507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O1506" i="2"/>
  <c r="N1506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O1505" i="2"/>
  <c r="N1505" i="2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O1504" i="2"/>
  <c r="N1504" i="2"/>
  <c r="M1504" i="2"/>
  <c r="L1504" i="2"/>
  <c r="K1504" i="2"/>
  <c r="J1504" i="2"/>
  <c r="I1504" i="2"/>
  <c r="H1504" i="2"/>
  <c r="G1504" i="2"/>
  <c r="F1504" i="2"/>
  <c r="E1504" i="2"/>
  <c r="D1504" i="2"/>
  <c r="C1504" i="2"/>
  <c r="B1504" i="2"/>
  <c r="O1503" i="2"/>
  <c r="N1503" i="2"/>
  <c r="M1503" i="2"/>
  <c r="L1503" i="2"/>
  <c r="K1503" i="2"/>
  <c r="J1503" i="2"/>
  <c r="I1503" i="2"/>
  <c r="H1503" i="2"/>
  <c r="G1503" i="2"/>
  <c r="F1503" i="2"/>
  <c r="E1503" i="2"/>
  <c r="D1503" i="2"/>
  <c r="C1503" i="2"/>
  <c r="B1503" i="2"/>
  <c r="O1502" i="2"/>
  <c r="N1502" i="2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O1501" i="2"/>
  <c r="N1501" i="2"/>
  <c r="M1501" i="2"/>
  <c r="L1501" i="2"/>
  <c r="K1501" i="2"/>
  <c r="J1501" i="2"/>
  <c r="I1501" i="2"/>
  <c r="H1501" i="2"/>
  <c r="G1501" i="2"/>
  <c r="F1501" i="2"/>
  <c r="E1501" i="2"/>
  <c r="D1501" i="2"/>
  <c r="C1501" i="2"/>
  <c r="B1501" i="2"/>
  <c r="O1500" i="2"/>
  <c r="N1500" i="2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O1499" i="2"/>
  <c r="N1499" i="2"/>
  <c r="M1499" i="2"/>
  <c r="L1499" i="2"/>
  <c r="K1499" i="2"/>
  <c r="J1499" i="2"/>
  <c r="I1499" i="2"/>
  <c r="H1499" i="2"/>
  <c r="G1499" i="2"/>
  <c r="F1499" i="2"/>
  <c r="E1499" i="2"/>
  <c r="D1499" i="2"/>
  <c r="C1499" i="2"/>
  <c r="B1499" i="2"/>
  <c r="O1498" i="2"/>
  <c r="N1498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O1497" i="2"/>
  <c r="N1497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O1496" i="2"/>
  <c r="N1496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O1495" i="2"/>
  <c r="N1495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O1494" i="2"/>
  <c r="N1494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O1493" i="2"/>
  <c r="N1493" i="2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O1492" i="2"/>
  <c r="N1492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O1491" i="2"/>
  <c r="N1491" i="2"/>
  <c r="M1491" i="2"/>
  <c r="L1491" i="2"/>
  <c r="K1491" i="2"/>
  <c r="J1491" i="2"/>
  <c r="I1491" i="2"/>
  <c r="H1491" i="2"/>
  <c r="G1491" i="2"/>
  <c r="F1491" i="2"/>
  <c r="E1491" i="2"/>
  <c r="D1491" i="2"/>
  <c r="C1491" i="2"/>
  <c r="B1491" i="2"/>
  <c r="O1490" i="2"/>
  <c r="N1490" i="2"/>
  <c r="M1490" i="2"/>
  <c r="L1490" i="2"/>
  <c r="K1490" i="2"/>
  <c r="J1490" i="2"/>
  <c r="I1490" i="2"/>
  <c r="H1490" i="2"/>
  <c r="G1490" i="2"/>
  <c r="F1490" i="2"/>
  <c r="E1490" i="2"/>
  <c r="D1490" i="2"/>
  <c r="C1490" i="2"/>
  <c r="B1490" i="2"/>
  <c r="O1489" i="2"/>
  <c r="N1489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O1488" i="2"/>
  <c r="N1488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O1487" i="2"/>
  <c r="N1487" i="2"/>
  <c r="M1487" i="2"/>
  <c r="L1487" i="2"/>
  <c r="K1487" i="2"/>
  <c r="J1487" i="2"/>
  <c r="I1487" i="2"/>
  <c r="H1487" i="2"/>
  <c r="G1487" i="2"/>
  <c r="F1487" i="2"/>
  <c r="E1487" i="2"/>
  <c r="D1487" i="2"/>
  <c r="C1487" i="2"/>
  <c r="B1487" i="2"/>
  <c r="O1486" i="2"/>
  <c r="N1486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O1485" i="2"/>
  <c r="N1485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O1484" i="2"/>
  <c r="N1484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O1483" i="2"/>
  <c r="N1483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O1482" i="2"/>
  <c r="N1482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O1481" i="2"/>
  <c r="N1481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O1480" i="2"/>
  <c r="N1480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O1479" i="2"/>
  <c r="N1479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O1478" i="2"/>
  <c r="N1478" i="2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O1477" i="2"/>
  <c r="N1477" i="2"/>
  <c r="M1477" i="2"/>
  <c r="L1477" i="2"/>
  <c r="K1477" i="2"/>
  <c r="J1477" i="2"/>
  <c r="I1477" i="2"/>
  <c r="H1477" i="2"/>
  <c r="G1477" i="2"/>
  <c r="F1477" i="2"/>
  <c r="E1477" i="2"/>
  <c r="D1477" i="2"/>
  <c r="C1477" i="2"/>
  <c r="B1477" i="2"/>
  <c r="O1476" i="2"/>
  <c r="N1476" i="2"/>
  <c r="M1476" i="2"/>
  <c r="L1476" i="2"/>
  <c r="K1476" i="2"/>
  <c r="J1476" i="2"/>
  <c r="I1476" i="2"/>
  <c r="H1476" i="2"/>
  <c r="G1476" i="2"/>
  <c r="F1476" i="2"/>
  <c r="E1476" i="2"/>
  <c r="D1476" i="2"/>
  <c r="C1476" i="2"/>
  <c r="B1476" i="2"/>
  <c r="O1475" i="2"/>
  <c r="N1475" i="2"/>
  <c r="M1475" i="2"/>
  <c r="L1475" i="2"/>
  <c r="K1475" i="2"/>
  <c r="J1475" i="2"/>
  <c r="I1475" i="2"/>
  <c r="H1475" i="2"/>
  <c r="G1475" i="2"/>
  <c r="F1475" i="2"/>
  <c r="E1475" i="2"/>
  <c r="D1475" i="2"/>
  <c r="C1475" i="2"/>
  <c r="B1475" i="2"/>
  <c r="O1474" i="2"/>
  <c r="N1474" i="2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O1473" i="2"/>
  <c r="N1473" i="2"/>
  <c r="M1473" i="2"/>
  <c r="L1473" i="2"/>
  <c r="K1473" i="2"/>
  <c r="J1473" i="2"/>
  <c r="I1473" i="2"/>
  <c r="H1473" i="2"/>
  <c r="G1473" i="2"/>
  <c r="F1473" i="2"/>
  <c r="E1473" i="2"/>
  <c r="D1473" i="2"/>
  <c r="C1473" i="2"/>
  <c r="B1473" i="2"/>
  <c r="O1472" i="2"/>
  <c r="N1472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O1471" i="2"/>
  <c r="N1471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O1470" i="2"/>
  <c r="N1470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O1469" i="2"/>
  <c r="N1469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O1468" i="2"/>
  <c r="N1468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O1467" i="2"/>
  <c r="N1467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O1466" i="2"/>
  <c r="N1466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O1465" i="2"/>
  <c r="N1465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O1464" i="2"/>
  <c r="N1464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O1463" i="2"/>
  <c r="N1463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O1462" i="2"/>
  <c r="N1462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O1461" i="2"/>
  <c r="N1461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O1460" i="2"/>
  <c r="N1460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O1459" i="2"/>
  <c r="N1459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O1458" i="2"/>
  <c r="N1458" i="2"/>
  <c r="M1458" i="2"/>
  <c r="L1458" i="2"/>
  <c r="K1458" i="2"/>
  <c r="J1458" i="2"/>
  <c r="I1458" i="2"/>
  <c r="H1458" i="2"/>
  <c r="G1458" i="2"/>
  <c r="F1458" i="2"/>
  <c r="E1458" i="2"/>
  <c r="D1458" i="2"/>
  <c r="C1458" i="2"/>
  <c r="B1458" i="2"/>
  <c r="O1457" i="2"/>
  <c r="N1457" i="2"/>
  <c r="M1457" i="2"/>
  <c r="L1457" i="2"/>
  <c r="K1457" i="2"/>
  <c r="J1457" i="2"/>
  <c r="I1457" i="2"/>
  <c r="H1457" i="2"/>
  <c r="G1457" i="2"/>
  <c r="F1457" i="2"/>
  <c r="E1457" i="2"/>
  <c r="D1457" i="2"/>
  <c r="C1457" i="2"/>
  <c r="B1457" i="2"/>
  <c r="O1456" i="2"/>
  <c r="N1456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O1455" i="2"/>
  <c r="N1455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O1454" i="2"/>
  <c r="N1454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O1453" i="2"/>
  <c r="N1453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O1452" i="2"/>
  <c r="N1452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O1451" i="2"/>
  <c r="N1451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O1450" i="2"/>
  <c r="N1450" i="2"/>
  <c r="M1450" i="2"/>
  <c r="L1450" i="2"/>
  <c r="K1450" i="2"/>
  <c r="J1450" i="2"/>
  <c r="I1450" i="2"/>
  <c r="H1450" i="2"/>
  <c r="G1450" i="2"/>
  <c r="F1450" i="2"/>
  <c r="E1450" i="2"/>
  <c r="D1450" i="2"/>
  <c r="C1450" i="2"/>
  <c r="B1450" i="2"/>
  <c r="O1449" i="2"/>
  <c r="N1449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O1448" i="2"/>
  <c r="N1448" i="2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O1447" i="2"/>
  <c r="N1447" i="2"/>
  <c r="M1447" i="2"/>
  <c r="L1447" i="2"/>
  <c r="K1447" i="2"/>
  <c r="J1447" i="2"/>
  <c r="I1447" i="2"/>
  <c r="H1447" i="2"/>
  <c r="G1447" i="2"/>
  <c r="F1447" i="2"/>
  <c r="E1447" i="2"/>
  <c r="D1447" i="2"/>
  <c r="C1447" i="2"/>
  <c r="B1447" i="2"/>
  <c r="O1446" i="2"/>
  <c r="N1446" i="2"/>
  <c r="M1446" i="2"/>
  <c r="L1446" i="2"/>
  <c r="K1446" i="2"/>
  <c r="J1446" i="2"/>
  <c r="I1446" i="2"/>
  <c r="H1446" i="2"/>
  <c r="G1446" i="2"/>
  <c r="F1446" i="2"/>
  <c r="E1446" i="2"/>
  <c r="D1446" i="2"/>
  <c r="C1446" i="2"/>
  <c r="B1446" i="2"/>
  <c r="O1445" i="2"/>
  <c r="N1445" i="2"/>
  <c r="M1445" i="2"/>
  <c r="L1445" i="2"/>
  <c r="K1445" i="2"/>
  <c r="J1445" i="2"/>
  <c r="I1445" i="2"/>
  <c r="H1445" i="2"/>
  <c r="G1445" i="2"/>
  <c r="F1445" i="2"/>
  <c r="E1445" i="2"/>
  <c r="D1445" i="2"/>
  <c r="C1445" i="2"/>
  <c r="B1445" i="2"/>
  <c r="O1444" i="2"/>
  <c r="N1444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O1443" i="2"/>
  <c r="N1443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O1442" i="2"/>
  <c r="N1442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O1441" i="2"/>
  <c r="N1441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O1440" i="2"/>
  <c r="N1440" i="2"/>
  <c r="M1440" i="2"/>
  <c r="L1440" i="2"/>
  <c r="K1440" i="2"/>
  <c r="J1440" i="2"/>
  <c r="I1440" i="2"/>
  <c r="H1440" i="2"/>
  <c r="G1440" i="2"/>
  <c r="F1440" i="2"/>
  <c r="E1440" i="2"/>
  <c r="D1440" i="2"/>
  <c r="C1440" i="2"/>
  <c r="B1440" i="2"/>
  <c r="O1439" i="2"/>
  <c r="N1439" i="2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O1438" i="2"/>
  <c r="N1438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O1437" i="2"/>
  <c r="N1437" i="2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O1436" i="2"/>
  <c r="N1436" i="2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O1435" i="2"/>
  <c r="N1435" i="2"/>
  <c r="M1435" i="2"/>
  <c r="L1435" i="2"/>
  <c r="K1435" i="2"/>
  <c r="J1435" i="2"/>
  <c r="I1435" i="2"/>
  <c r="H1435" i="2"/>
  <c r="G1435" i="2"/>
  <c r="F1435" i="2"/>
  <c r="E1435" i="2"/>
  <c r="D1435" i="2"/>
  <c r="C1435" i="2"/>
  <c r="B1435" i="2"/>
  <c r="O1434" i="2"/>
  <c r="N1434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O1433" i="2"/>
  <c r="N1433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O1432" i="2"/>
  <c r="N1432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O1431" i="2"/>
  <c r="N1431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O1430" i="2"/>
  <c r="N1430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O1429" i="2"/>
  <c r="N1429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O1428" i="2"/>
  <c r="N1428" i="2"/>
  <c r="M1428" i="2"/>
  <c r="L1428" i="2"/>
  <c r="K1428" i="2"/>
  <c r="J1428" i="2"/>
  <c r="I1428" i="2"/>
  <c r="H1428" i="2"/>
  <c r="G1428" i="2"/>
  <c r="F1428" i="2"/>
  <c r="E1428" i="2"/>
  <c r="D1428" i="2"/>
  <c r="C1428" i="2"/>
  <c r="B1428" i="2"/>
  <c r="O1427" i="2"/>
  <c r="N1427" i="2"/>
  <c r="M1427" i="2"/>
  <c r="L1427" i="2"/>
  <c r="K1427" i="2"/>
  <c r="J1427" i="2"/>
  <c r="I1427" i="2"/>
  <c r="H1427" i="2"/>
  <c r="G1427" i="2"/>
  <c r="F1427" i="2"/>
  <c r="E1427" i="2"/>
  <c r="D1427" i="2"/>
  <c r="C1427" i="2"/>
  <c r="B1427" i="2"/>
  <c r="O1426" i="2"/>
  <c r="N1426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O1425" i="2"/>
  <c r="N1425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O1424" i="2"/>
  <c r="N1424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O1423" i="2"/>
  <c r="N1423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O1422" i="2"/>
  <c r="N1422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O1421" i="2"/>
  <c r="N1421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O1420" i="2"/>
  <c r="N1420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O1419" i="2"/>
  <c r="N1419" i="2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O1418" i="2"/>
  <c r="N1418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O1417" i="2"/>
  <c r="N1417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O1416" i="2"/>
  <c r="N1416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O1415" i="2"/>
  <c r="N1415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O1414" i="2"/>
  <c r="N1414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O1413" i="2"/>
  <c r="N1413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O1412" i="2"/>
  <c r="N1412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O1411" i="2"/>
  <c r="N1411" i="2"/>
  <c r="M1411" i="2"/>
  <c r="L1411" i="2"/>
  <c r="K1411" i="2"/>
  <c r="J1411" i="2"/>
  <c r="I1411" i="2"/>
  <c r="H1411" i="2"/>
  <c r="G1411" i="2"/>
  <c r="F1411" i="2"/>
  <c r="E1411" i="2"/>
  <c r="D1411" i="2"/>
  <c r="C1411" i="2"/>
  <c r="B1411" i="2"/>
  <c r="O1410" i="2"/>
  <c r="N1410" i="2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O1409" i="2"/>
  <c r="N1409" i="2"/>
  <c r="M1409" i="2"/>
  <c r="L1409" i="2"/>
  <c r="K1409" i="2"/>
  <c r="J1409" i="2"/>
  <c r="I1409" i="2"/>
  <c r="H1409" i="2"/>
  <c r="G1409" i="2"/>
  <c r="F1409" i="2"/>
  <c r="E1409" i="2"/>
  <c r="D1409" i="2"/>
  <c r="C1409" i="2"/>
  <c r="B1409" i="2"/>
  <c r="O1408" i="2"/>
  <c r="N1408" i="2"/>
  <c r="M1408" i="2"/>
  <c r="L1408" i="2"/>
  <c r="K1408" i="2"/>
  <c r="J1408" i="2"/>
  <c r="I1408" i="2"/>
  <c r="H1408" i="2"/>
  <c r="G1408" i="2"/>
  <c r="F1408" i="2"/>
  <c r="E1408" i="2"/>
  <c r="D1408" i="2"/>
  <c r="C1408" i="2"/>
  <c r="B1408" i="2"/>
  <c r="O1407" i="2"/>
  <c r="N1407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O1406" i="2"/>
  <c r="N1406" i="2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O1405" i="2"/>
  <c r="N1405" i="2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O1404" i="2"/>
  <c r="N1404" i="2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O1403" i="2"/>
  <c r="N1403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O1402" i="2"/>
  <c r="N1402" i="2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O1401" i="2"/>
  <c r="N1401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O1400" i="2"/>
  <c r="N1400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O1399" i="2"/>
  <c r="N1399" i="2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O1398" i="2"/>
  <c r="N1398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O1397" i="2"/>
  <c r="N1397" i="2"/>
  <c r="M1397" i="2"/>
  <c r="L1397" i="2"/>
  <c r="K1397" i="2"/>
  <c r="J1397" i="2"/>
  <c r="I1397" i="2"/>
  <c r="H1397" i="2"/>
  <c r="G1397" i="2"/>
  <c r="F1397" i="2"/>
  <c r="E1397" i="2"/>
  <c r="D1397" i="2"/>
  <c r="C1397" i="2"/>
  <c r="B1397" i="2"/>
  <c r="O1396" i="2"/>
  <c r="N1396" i="2"/>
  <c r="M1396" i="2"/>
  <c r="L1396" i="2"/>
  <c r="K1396" i="2"/>
  <c r="J1396" i="2"/>
  <c r="I1396" i="2"/>
  <c r="H1396" i="2"/>
  <c r="G1396" i="2"/>
  <c r="F1396" i="2"/>
  <c r="E1396" i="2"/>
  <c r="D1396" i="2"/>
  <c r="C1396" i="2"/>
  <c r="B1396" i="2"/>
  <c r="O1395" i="2"/>
  <c r="N1395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O1394" i="2"/>
  <c r="N1394" i="2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O1393" i="2"/>
  <c r="N1393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O1392" i="2"/>
  <c r="N1392" i="2"/>
  <c r="M1392" i="2"/>
  <c r="L1392" i="2"/>
  <c r="K1392" i="2"/>
  <c r="J1392" i="2"/>
  <c r="I1392" i="2"/>
  <c r="H1392" i="2"/>
  <c r="G1392" i="2"/>
  <c r="F1392" i="2"/>
  <c r="E1392" i="2"/>
  <c r="D1392" i="2"/>
  <c r="C1392" i="2"/>
  <c r="B1392" i="2"/>
  <c r="O1391" i="2"/>
  <c r="N1391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O1390" i="2"/>
  <c r="N1390" i="2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O1389" i="2"/>
  <c r="N1389" i="2"/>
  <c r="M1389" i="2"/>
  <c r="L1389" i="2"/>
  <c r="K1389" i="2"/>
  <c r="J1389" i="2"/>
  <c r="I1389" i="2"/>
  <c r="H1389" i="2"/>
  <c r="G1389" i="2"/>
  <c r="F1389" i="2"/>
  <c r="E1389" i="2"/>
  <c r="D1389" i="2"/>
  <c r="C1389" i="2"/>
  <c r="B1389" i="2"/>
  <c r="O1388" i="2"/>
  <c r="N1388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O1387" i="2"/>
  <c r="N1387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O1386" i="2"/>
  <c r="N1386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O1385" i="2"/>
  <c r="N1385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O1384" i="2"/>
  <c r="N1384" i="2"/>
  <c r="M1384" i="2"/>
  <c r="L1384" i="2"/>
  <c r="K1384" i="2"/>
  <c r="J1384" i="2"/>
  <c r="I1384" i="2"/>
  <c r="H1384" i="2"/>
  <c r="G1384" i="2"/>
  <c r="F1384" i="2"/>
  <c r="E1384" i="2"/>
  <c r="D1384" i="2"/>
  <c r="C1384" i="2"/>
  <c r="B1384" i="2"/>
  <c r="O1383" i="2"/>
  <c r="N1383" i="2"/>
  <c r="M1383" i="2"/>
  <c r="L1383" i="2"/>
  <c r="K1383" i="2"/>
  <c r="J1383" i="2"/>
  <c r="I1383" i="2"/>
  <c r="H1383" i="2"/>
  <c r="G1383" i="2"/>
  <c r="F1383" i="2"/>
  <c r="E1383" i="2"/>
  <c r="D1383" i="2"/>
  <c r="C1383" i="2"/>
  <c r="B1383" i="2"/>
  <c r="O1382" i="2"/>
  <c r="N1382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O1381" i="2"/>
  <c r="N1381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O1380" i="2"/>
  <c r="N1380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O1379" i="2"/>
  <c r="N1379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O1378" i="2"/>
  <c r="N1378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O1377" i="2"/>
  <c r="N1377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O1376" i="2"/>
  <c r="N1376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O1375" i="2"/>
  <c r="N1375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O1374" i="2"/>
  <c r="N1374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O1373" i="2"/>
  <c r="N1373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O1372" i="2"/>
  <c r="N1372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O1371" i="2"/>
  <c r="N1371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O1370" i="2"/>
  <c r="N1370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O1369" i="2"/>
  <c r="N1369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O1368" i="2"/>
  <c r="N1368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O1367" i="2"/>
  <c r="N1367" i="2"/>
  <c r="M1367" i="2"/>
  <c r="L1367" i="2"/>
  <c r="K1367" i="2"/>
  <c r="J1367" i="2"/>
  <c r="I1367" i="2"/>
  <c r="H1367" i="2"/>
  <c r="G1367" i="2"/>
  <c r="F1367" i="2"/>
  <c r="E1367" i="2"/>
  <c r="D1367" i="2"/>
  <c r="C1367" i="2"/>
  <c r="B1367" i="2"/>
  <c r="O1366" i="2"/>
  <c r="N1366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O1365" i="2"/>
  <c r="N1365" i="2"/>
  <c r="M1365" i="2"/>
  <c r="L1365" i="2"/>
  <c r="K1365" i="2"/>
  <c r="J1365" i="2"/>
  <c r="I1365" i="2"/>
  <c r="H1365" i="2"/>
  <c r="G1365" i="2"/>
  <c r="F1365" i="2"/>
  <c r="E1365" i="2"/>
  <c r="D1365" i="2"/>
  <c r="C1365" i="2"/>
  <c r="B1365" i="2"/>
  <c r="O1364" i="2"/>
  <c r="N1364" i="2"/>
  <c r="M1364" i="2"/>
  <c r="L1364" i="2"/>
  <c r="K1364" i="2"/>
  <c r="J1364" i="2"/>
  <c r="I1364" i="2"/>
  <c r="H1364" i="2"/>
  <c r="G1364" i="2"/>
  <c r="F1364" i="2"/>
  <c r="E1364" i="2"/>
  <c r="D1364" i="2"/>
  <c r="C1364" i="2"/>
  <c r="B1364" i="2"/>
  <c r="O1363" i="2"/>
  <c r="N1363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O1362" i="2"/>
  <c r="N1362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O1361" i="2"/>
  <c r="N1361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O1360" i="2"/>
  <c r="N1360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O1359" i="2"/>
  <c r="N1359" i="2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O1358" i="2"/>
  <c r="N1358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O1357" i="2"/>
  <c r="N1357" i="2"/>
  <c r="M1357" i="2"/>
  <c r="L1357" i="2"/>
  <c r="K1357" i="2"/>
  <c r="J1357" i="2"/>
  <c r="I1357" i="2"/>
  <c r="H1357" i="2"/>
  <c r="G1357" i="2"/>
  <c r="F1357" i="2"/>
  <c r="E1357" i="2"/>
  <c r="D1357" i="2"/>
  <c r="C1357" i="2"/>
  <c r="B1357" i="2"/>
  <c r="O1356" i="2"/>
  <c r="N1356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O1355" i="2"/>
  <c r="N1355" i="2"/>
  <c r="M1355" i="2"/>
  <c r="L1355" i="2"/>
  <c r="K1355" i="2"/>
  <c r="J1355" i="2"/>
  <c r="I1355" i="2"/>
  <c r="H1355" i="2"/>
  <c r="G1355" i="2"/>
  <c r="F1355" i="2"/>
  <c r="E1355" i="2"/>
  <c r="D1355" i="2"/>
  <c r="C1355" i="2"/>
  <c r="B1355" i="2"/>
  <c r="O1354" i="2"/>
  <c r="N1354" i="2"/>
  <c r="M1354" i="2"/>
  <c r="L1354" i="2"/>
  <c r="K1354" i="2"/>
  <c r="J1354" i="2"/>
  <c r="I1354" i="2"/>
  <c r="H1354" i="2"/>
  <c r="G1354" i="2"/>
  <c r="F1354" i="2"/>
  <c r="E1354" i="2"/>
  <c r="D1354" i="2"/>
  <c r="C1354" i="2"/>
  <c r="B1354" i="2"/>
  <c r="O1353" i="2"/>
  <c r="N1353" i="2"/>
  <c r="M1353" i="2"/>
  <c r="L1353" i="2"/>
  <c r="K1353" i="2"/>
  <c r="J1353" i="2"/>
  <c r="I1353" i="2"/>
  <c r="H1353" i="2"/>
  <c r="G1353" i="2"/>
  <c r="F1353" i="2"/>
  <c r="E1353" i="2"/>
  <c r="D1353" i="2"/>
  <c r="C1353" i="2"/>
  <c r="B1353" i="2"/>
  <c r="O1352" i="2"/>
  <c r="N1352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O1351" i="2"/>
  <c r="N1351" i="2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O1350" i="2"/>
  <c r="N1350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O1349" i="2"/>
  <c r="N1349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O1348" i="2"/>
  <c r="N1348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O1347" i="2"/>
  <c r="N1347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O1346" i="2"/>
  <c r="N1346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O1345" i="2"/>
  <c r="N1345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O1344" i="2"/>
  <c r="N1344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O1343" i="2"/>
  <c r="N1343" i="2"/>
  <c r="M1343" i="2"/>
  <c r="L1343" i="2"/>
  <c r="K1343" i="2"/>
  <c r="J1343" i="2"/>
  <c r="I1343" i="2"/>
  <c r="H1343" i="2"/>
  <c r="G1343" i="2"/>
  <c r="F1343" i="2"/>
  <c r="E1343" i="2"/>
  <c r="D1343" i="2"/>
  <c r="C1343" i="2"/>
  <c r="B1343" i="2"/>
  <c r="O1342" i="2"/>
  <c r="N1342" i="2"/>
  <c r="M1342" i="2"/>
  <c r="L1342" i="2"/>
  <c r="K1342" i="2"/>
  <c r="J1342" i="2"/>
  <c r="I1342" i="2"/>
  <c r="H1342" i="2"/>
  <c r="G1342" i="2"/>
  <c r="F1342" i="2"/>
  <c r="E1342" i="2"/>
  <c r="D1342" i="2"/>
  <c r="C1342" i="2"/>
  <c r="B1342" i="2"/>
  <c r="O1341" i="2"/>
  <c r="N1341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O1340" i="2"/>
  <c r="N1340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O1339" i="2"/>
  <c r="N1339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O1338" i="2"/>
  <c r="N1338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O1337" i="2"/>
  <c r="N1337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O1336" i="2"/>
  <c r="N1336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O1335" i="2"/>
  <c r="N1335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O1334" i="2"/>
  <c r="N1334" i="2"/>
  <c r="M1334" i="2"/>
  <c r="L1334" i="2"/>
  <c r="K1334" i="2"/>
  <c r="J1334" i="2"/>
  <c r="I1334" i="2"/>
  <c r="H1334" i="2"/>
  <c r="G1334" i="2"/>
  <c r="F1334" i="2"/>
  <c r="E1334" i="2"/>
  <c r="D1334" i="2"/>
  <c r="C1334" i="2"/>
  <c r="B1334" i="2"/>
  <c r="O1333" i="2"/>
  <c r="N1333" i="2"/>
  <c r="M1333" i="2"/>
  <c r="L1333" i="2"/>
  <c r="K1333" i="2"/>
  <c r="J1333" i="2"/>
  <c r="I1333" i="2"/>
  <c r="H1333" i="2"/>
  <c r="G1333" i="2"/>
  <c r="F1333" i="2"/>
  <c r="E1333" i="2"/>
  <c r="D1333" i="2"/>
  <c r="C1333" i="2"/>
  <c r="B1333" i="2"/>
  <c r="O1332" i="2"/>
  <c r="N1332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O1331" i="2"/>
  <c r="N1331" i="2"/>
  <c r="M1331" i="2"/>
  <c r="L1331" i="2"/>
  <c r="K1331" i="2"/>
  <c r="J1331" i="2"/>
  <c r="I1331" i="2"/>
  <c r="H1331" i="2"/>
  <c r="G1331" i="2"/>
  <c r="F1331" i="2"/>
  <c r="E1331" i="2"/>
  <c r="D1331" i="2"/>
  <c r="C1331" i="2"/>
  <c r="B1331" i="2"/>
  <c r="O1330" i="2"/>
  <c r="N1330" i="2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O1329" i="2"/>
  <c r="N1329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O1328" i="2"/>
  <c r="N1328" i="2"/>
  <c r="M1328" i="2"/>
  <c r="L1328" i="2"/>
  <c r="K1328" i="2"/>
  <c r="J1328" i="2"/>
  <c r="I1328" i="2"/>
  <c r="H1328" i="2"/>
  <c r="G1328" i="2"/>
  <c r="F1328" i="2"/>
  <c r="E1328" i="2"/>
  <c r="D1328" i="2"/>
  <c r="C1328" i="2"/>
  <c r="B1328" i="2"/>
  <c r="O1327" i="2"/>
  <c r="N1327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O1326" i="2"/>
  <c r="N1326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O1325" i="2"/>
  <c r="N1325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O1324" i="2"/>
  <c r="N1324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O1323" i="2"/>
  <c r="N1323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O1322" i="2"/>
  <c r="N1322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O1321" i="2"/>
  <c r="N1321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O1320" i="2"/>
  <c r="N1320" i="2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O1319" i="2"/>
  <c r="N1319" i="2"/>
  <c r="M1319" i="2"/>
  <c r="L1319" i="2"/>
  <c r="K1319" i="2"/>
  <c r="J1319" i="2"/>
  <c r="I1319" i="2"/>
  <c r="H1319" i="2"/>
  <c r="G1319" i="2"/>
  <c r="F1319" i="2"/>
  <c r="E1319" i="2"/>
  <c r="D1319" i="2"/>
  <c r="C1319" i="2"/>
  <c r="B1319" i="2"/>
  <c r="O1318" i="2"/>
  <c r="N1318" i="2"/>
  <c r="M1318" i="2"/>
  <c r="L1318" i="2"/>
  <c r="K1318" i="2"/>
  <c r="J1318" i="2"/>
  <c r="I1318" i="2"/>
  <c r="H1318" i="2"/>
  <c r="G1318" i="2"/>
  <c r="F1318" i="2"/>
  <c r="E1318" i="2"/>
  <c r="D1318" i="2"/>
  <c r="C1318" i="2"/>
  <c r="B1318" i="2"/>
  <c r="O1317" i="2"/>
  <c r="N1317" i="2"/>
  <c r="M1317" i="2"/>
  <c r="L1317" i="2"/>
  <c r="K1317" i="2"/>
  <c r="J1317" i="2"/>
  <c r="I1317" i="2"/>
  <c r="H1317" i="2"/>
  <c r="G1317" i="2"/>
  <c r="F1317" i="2"/>
  <c r="E1317" i="2"/>
  <c r="D1317" i="2"/>
  <c r="C1317" i="2"/>
  <c r="B1317" i="2"/>
  <c r="O1316" i="2"/>
  <c r="N1316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O1315" i="2"/>
  <c r="N1315" i="2"/>
  <c r="M1315" i="2"/>
  <c r="L1315" i="2"/>
  <c r="K1315" i="2"/>
  <c r="J1315" i="2"/>
  <c r="I1315" i="2"/>
  <c r="H1315" i="2"/>
  <c r="G1315" i="2"/>
  <c r="F1315" i="2"/>
  <c r="E1315" i="2"/>
  <c r="D1315" i="2"/>
  <c r="C1315" i="2"/>
  <c r="B1315" i="2"/>
  <c r="O1314" i="2"/>
  <c r="N1314" i="2"/>
  <c r="M1314" i="2"/>
  <c r="L1314" i="2"/>
  <c r="K1314" i="2"/>
  <c r="J1314" i="2"/>
  <c r="I1314" i="2"/>
  <c r="H1314" i="2"/>
  <c r="G1314" i="2"/>
  <c r="F1314" i="2"/>
  <c r="E1314" i="2"/>
  <c r="D1314" i="2"/>
  <c r="C1314" i="2"/>
  <c r="B1314" i="2"/>
  <c r="O1313" i="2"/>
  <c r="N1313" i="2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O1312" i="2"/>
  <c r="N1312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O1311" i="2"/>
  <c r="N1311" i="2"/>
  <c r="M1311" i="2"/>
  <c r="L1311" i="2"/>
  <c r="K1311" i="2"/>
  <c r="J1311" i="2"/>
  <c r="I1311" i="2"/>
  <c r="H1311" i="2"/>
  <c r="G1311" i="2"/>
  <c r="F1311" i="2"/>
  <c r="E1311" i="2"/>
  <c r="D1311" i="2"/>
  <c r="C1311" i="2"/>
  <c r="B1311" i="2"/>
  <c r="O1310" i="2"/>
  <c r="N1310" i="2"/>
  <c r="M1310" i="2"/>
  <c r="L1310" i="2"/>
  <c r="K1310" i="2"/>
  <c r="J1310" i="2"/>
  <c r="I1310" i="2"/>
  <c r="H1310" i="2"/>
  <c r="G1310" i="2"/>
  <c r="F1310" i="2"/>
  <c r="E1310" i="2"/>
  <c r="D1310" i="2"/>
  <c r="C1310" i="2"/>
  <c r="B1310" i="2"/>
  <c r="O1309" i="2"/>
  <c r="N1309" i="2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O1308" i="2"/>
  <c r="N1308" i="2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O1307" i="2"/>
  <c r="N1307" i="2"/>
  <c r="M1307" i="2"/>
  <c r="L1307" i="2"/>
  <c r="K1307" i="2"/>
  <c r="J1307" i="2"/>
  <c r="I1307" i="2"/>
  <c r="H1307" i="2"/>
  <c r="G1307" i="2"/>
  <c r="F1307" i="2"/>
  <c r="E1307" i="2"/>
  <c r="D1307" i="2"/>
  <c r="C1307" i="2"/>
  <c r="B1307" i="2"/>
  <c r="O1306" i="2"/>
  <c r="N1306" i="2"/>
  <c r="M1306" i="2"/>
  <c r="L1306" i="2"/>
  <c r="K1306" i="2"/>
  <c r="J1306" i="2"/>
  <c r="I1306" i="2"/>
  <c r="H1306" i="2"/>
  <c r="G1306" i="2"/>
  <c r="F1306" i="2"/>
  <c r="E1306" i="2"/>
  <c r="D1306" i="2"/>
  <c r="C1306" i="2"/>
  <c r="B1306" i="2"/>
  <c r="O1305" i="2"/>
  <c r="N1305" i="2"/>
  <c r="M1305" i="2"/>
  <c r="L1305" i="2"/>
  <c r="K1305" i="2"/>
  <c r="J1305" i="2"/>
  <c r="I1305" i="2"/>
  <c r="H1305" i="2"/>
  <c r="G1305" i="2"/>
  <c r="F1305" i="2"/>
  <c r="E1305" i="2"/>
  <c r="D1305" i="2"/>
  <c r="C1305" i="2"/>
  <c r="B1305" i="2"/>
  <c r="O1304" i="2"/>
  <c r="N1304" i="2"/>
  <c r="M1304" i="2"/>
  <c r="L1304" i="2"/>
  <c r="K1304" i="2"/>
  <c r="J1304" i="2"/>
  <c r="I1304" i="2"/>
  <c r="H1304" i="2"/>
  <c r="G1304" i="2"/>
  <c r="F1304" i="2"/>
  <c r="E1304" i="2"/>
  <c r="D1304" i="2"/>
  <c r="C1304" i="2"/>
  <c r="B1304" i="2"/>
  <c r="O1303" i="2"/>
  <c r="N1303" i="2"/>
  <c r="M1303" i="2"/>
  <c r="L1303" i="2"/>
  <c r="K1303" i="2"/>
  <c r="J1303" i="2"/>
  <c r="I1303" i="2"/>
  <c r="H1303" i="2"/>
  <c r="G1303" i="2"/>
  <c r="F1303" i="2"/>
  <c r="E1303" i="2"/>
  <c r="D1303" i="2"/>
  <c r="C1303" i="2"/>
  <c r="B1303" i="2"/>
  <c r="O1302" i="2"/>
  <c r="N1302" i="2"/>
  <c r="M1302" i="2"/>
  <c r="L1302" i="2"/>
  <c r="K1302" i="2"/>
  <c r="J1302" i="2"/>
  <c r="I1302" i="2"/>
  <c r="H1302" i="2"/>
  <c r="G1302" i="2"/>
  <c r="F1302" i="2"/>
  <c r="E1302" i="2"/>
  <c r="D1302" i="2"/>
  <c r="C1302" i="2"/>
  <c r="B1302" i="2"/>
  <c r="O1301" i="2"/>
  <c r="N1301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O1300" i="2"/>
  <c r="N1300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O1299" i="2"/>
  <c r="N1299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O1298" i="2"/>
  <c r="N1298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O1297" i="2"/>
  <c r="N1297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O1296" i="2"/>
  <c r="N1296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O1295" i="2"/>
  <c r="N1295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O1294" i="2"/>
  <c r="N1294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O1293" i="2"/>
  <c r="N1293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O1292" i="2"/>
  <c r="N1292" i="2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O1291" i="2"/>
  <c r="N1291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O1290" i="2"/>
  <c r="N1290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O1289" i="2"/>
  <c r="N1289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O1288" i="2"/>
  <c r="N1288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O1287" i="2"/>
  <c r="N1287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O1286" i="2"/>
  <c r="N1286" i="2"/>
  <c r="M1286" i="2"/>
  <c r="L1286" i="2"/>
  <c r="K1286" i="2"/>
  <c r="J1286" i="2"/>
  <c r="I1286" i="2"/>
  <c r="H1286" i="2"/>
  <c r="G1286" i="2"/>
  <c r="F1286" i="2"/>
  <c r="E1286" i="2"/>
  <c r="D1286" i="2"/>
  <c r="C1286" i="2"/>
  <c r="B1286" i="2"/>
  <c r="O1285" i="2"/>
  <c r="N1285" i="2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O1284" i="2"/>
  <c r="N1284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O1283" i="2"/>
  <c r="N1283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O1282" i="2"/>
  <c r="N1282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O1281" i="2"/>
  <c r="N1281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O1280" i="2"/>
  <c r="N1280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O1279" i="2"/>
  <c r="N1279" i="2"/>
  <c r="M1279" i="2"/>
  <c r="L1279" i="2"/>
  <c r="K1279" i="2"/>
  <c r="J1279" i="2"/>
  <c r="I1279" i="2"/>
  <c r="H1279" i="2"/>
  <c r="G1279" i="2"/>
  <c r="F1279" i="2"/>
  <c r="E1279" i="2"/>
  <c r="D1279" i="2"/>
  <c r="C1279" i="2"/>
  <c r="B1279" i="2"/>
  <c r="O1278" i="2"/>
  <c r="N1278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O1277" i="2"/>
  <c r="N1277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O1276" i="2"/>
  <c r="N1276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O1275" i="2"/>
  <c r="N1275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O1274" i="2"/>
  <c r="N1274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O1273" i="2"/>
  <c r="N1273" i="2"/>
  <c r="M1273" i="2"/>
  <c r="L1273" i="2"/>
  <c r="K1273" i="2"/>
  <c r="J1273" i="2"/>
  <c r="I1273" i="2"/>
  <c r="H1273" i="2"/>
  <c r="G1273" i="2"/>
  <c r="F1273" i="2"/>
  <c r="E1273" i="2"/>
  <c r="D1273" i="2"/>
  <c r="C1273" i="2"/>
  <c r="B1273" i="2"/>
  <c r="O1272" i="2"/>
  <c r="N1272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O1271" i="2"/>
  <c r="N1271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O1270" i="2"/>
  <c r="N1270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O1269" i="2"/>
  <c r="N1269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O1268" i="2"/>
  <c r="N1268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O1267" i="2"/>
  <c r="N1267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O1266" i="2"/>
  <c r="N1266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O1265" i="2"/>
  <c r="N1265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O1264" i="2"/>
  <c r="N1264" i="2"/>
  <c r="M1264" i="2"/>
  <c r="L1264" i="2"/>
  <c r="K1264" i="2"/>
  <c r="J1264" i="2"/>
  <c r="I1264" i="2"/>
  <c r="H1264" i="2"/>
  <c r="G1264" i="2"/>
  <c r="F1264" i="2"/>
  <c r="E1264" i="2"/>
  <c r="D1264" i="2"/>
  <c r="C1264" i="2"/>
  <c r="B1264" i="2"/>
  <c r="O1263" i="2"/>
  <c r="N1263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O1262" i="2"/>
  <c r="N1262" i="2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O1261" i="2"/>
  <c r="N1261" i="2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O1260" i="2"/>
  <c r="N1260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O1259" i="2"/>
  <c r="N1259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O1258" i="2"/>
  <c r="N1258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O1257" i="2"/>
  <c r="N1257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O1256" i="2"/>
  <c r="N1256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O1255" i="2"/>
  <c r="N1255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O1254" i="2"/>
  <c r="N1254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O1253" i="2"/>
  <c r="N1253" i="2"/>
  <c r="M1253" i="2"/>
  <c r="L1253" i="2"/>
  <c r="K1253" i="2"/>
  <c r="J1253" i="2"/>
  <c r="I1253" i="2"/>
  <c r="H1253" i="2"/>
  <c r="G1253" i="2"/>
  <c r="F1253" i="2"/>
  <c r="E1253" i="2"/>
  <c r="D1253" i="2"/>
  <c r="C1253" i="2"/>
  <c r="B1253" i="2"/>
  <c r="O1252" i="2"/>
  <c r="N1252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O1251" i="2"/>
  <c r="N1251" i="2"/>
  <c r="M1251" i="2"/>
  <c r="L1251" i="2"/>
  <c r="K1251" i="2"/>
  <c r="J1251" i="2"/>
  <c r="I1251" i="2"/>
  <c r="H1251" i="2"/>
  <c r="G1251" i="2"/>
  <c r="F1251" i="2"/>
  <c r="E1251" i="2"/>
  <c r="D1251" i="2"/>
  <c r="C1251" i="2"/>
  <c r="B1251" i="2"/>
  <c r="O1250" i="2"/>
  <c r="N1250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O1249" i="2"/>
  <c r="N1249" i="2"/>
  <c r="M1249" i="2"/>
  <c r="L1249" i="2"/>
  <c r="K1249" i="2"/>
  <c r="J1249" i="2"/>
  <c r="I1249" i="2"/>
  <c r="H1249" i="2"/>
  <c r="G1249" i="2"/>
  <c r="F1249" i="2"/>
  <c r="E1249" i="2"/>
  <c r="D1249" i="2"/>
  <c r="C1249" i="2"/>
  <c r="B1249" i="2"/>
  <c r="O1248" i="2"/>
  <c r="N1248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O1247" i="2"/>
  <c r="N1247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O1246" i="2"/>
  <c r="N1246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O1245" i="2"/>
  <c r="N1245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O1244" i="2"/>
  <c r="N1244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O1243" i="2"/>
  <c r="N1243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O1242" i="2"/>
  <c r="N1242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O1241" i="2"/>
  <c r="N1241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O1240" i="2"/>
  <c r="N1240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O1239" i="2"/>
  <c r="N1239" i="2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O1238" i="2"/>
  <c r="N1238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O1237" i="2"/>
  <c r="N1237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O1236" i="2"/>
  <c r="N1236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O1235" i="2"/>
  <c r="N1235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O1234" i="2"/>
  <c r="N1234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O1233" i="2"/>
  <c r="N1233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O1232" i="2"/>
  <c r="N1232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O1231" i="2"/>
  <c r="N1231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O1230" i="2"/>
  <c r="N1230" i="2"/>
  <c r="M1230" i="2"/>
  <c r="L1230" i="2"/>
  <c r="K1230" i="2"/>
  <c r="J1230" i="2"/>
  <c r="I1230" i="2"/>
  <c r="H1230" i="2"/>
  <c r="G1230" i="2"/>
  <c r="F1230" i="2"/>
  <c r="E1230" i="2"/>
  <c r="D1230" i="2"/>
  <c r="C1230" i="2"/>
  <c r="B1230" i="2"/>
  <c r="O1229" i="2"/>
  <c r="N1229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O1228" i="2"/>
  <c r="N1228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O1227" i="2"/>
  <c r="N1227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O1226" i="2"/>
  <c r="N1226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O1225" i="2"/>
  <c r="N1225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O1224" i="2"/>
  <c r="N1224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O1223" i="2"/>
  <c r="N1223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O1222" i="2"/>
  <c r="N1222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O1221" i="2"/>
  <c r="N1221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O1220" i="2"/>
  <c r="N1220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O1219" i="2"/>
  <c r="N1219" i="2"/>
  <c r="M1219" i="2"/>
  <c r="L1219" i="2"/>
  <c r="K1219" i="2"/>
  <c r="J1219" i="2"/>
  <c r="I1219" i="2"/>
  <c r="H1219" i="2"/>
  <c r="G1219" i="2"/>
  <c r="F1219" i="2"/>
  <c r="E1219" i="2"/>
  <c r="D1219" i="2"/>
  <c r="C1219" i="2"/>
  <c r="B1219" i="2"/>
  <c r="O1218" i="2"/>
  <c r="N1218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O1217" i="2"/>
  <c r="N1217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O1216" i="2"/>
  <c r="N1216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O1215" i="2"/>
  <c r="N1215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O1214" i="2"/>
  <c r="N1214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O1213" i="2"/>
  <c r="N1213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O1212" i="2"/>
  <c r="N1212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O1211" i="2"/>
  <c r="N1211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O1210" i="2"/>
  <c r="N1210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O1209" i="2"/>
  <c r="N1209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O1208" i="2"/>
  <c r="N1208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O1207" i="2"/>
  <c r="N1207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O1206" i="2"/>
  <c r="N1206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O1205" i="2"/>
  <c r="N1205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O1204" i="2"/>
  <c r="N1204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O1203" i="2"/>
  <c r="N1203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O1202" i="2"/>
  <c r="N1202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O1201" i="2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O1200" i="2"/>
  <c r="N1200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O1199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O1198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O1197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O1196" i="2"/>
  <c r="N1196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O1195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O1194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O1193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O1192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O1191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O1190" i="2"/>
  <c r="N1190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O1189" i="2"/>
  <c r="N1189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O1188" i="2"/>
  <c r="N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O1187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O1186" i="2"/>
  <c r="N1186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O1185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O1184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O1183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O1182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O1181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O1180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O1179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O1178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O1177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O1176" i="2"/>
  <c r="N1176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O1175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O1174" i="2"/>
  <c r="N1174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O1173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O1172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O1171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O1170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O1169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O1168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O1167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O1166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O1165" i="2"/>
  <c r="N1165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O1164" i="2"/>
  <c r="N1164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O1163" i="2"/>
  <c r="N1163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O1162" i="2"/>
  <c r="N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O1161" i="2"/>
  <c r="N1161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O1160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O1159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O1158" i="2"/>
  <c r="N1158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O1157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O1156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O1155" i="2"/>
  <c r="N1155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O1154" i="2"/>
  <c r="N1154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O1153" i="2"/>
  <c r="N1153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O1152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O1151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O1150" i="2"/>
  <c r="N1150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O1149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O1148" i="2"/>
  <c r="N1148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O1147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O1146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O1145" i="2"/>
  <c r="N1145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O1144" i="2"/>
  <c r="N1144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O1143" i="2"/>
  <c r="N1143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O1142" i="2"/>
  <c r="N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O1141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O1140" i="2"/>
  <c r="N1140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O1139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O1138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O1137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O1136" i="2"/>
  <c r="N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O1135" i="2"/>
  <c r="N1135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O1134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O1133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O1132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O1131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O1130" i="2"/>
  <c r="N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O1129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O1128" i="2"/>
  <c r="N1128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O1127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O1126" i="2"/>
  <c r="N1126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O1125" i="2"/>
  <c r="N1125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O1124" i="2"/>
  <c r="N1124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O1123" i="2"/>
  <c r="N1123" i="2"/>
  <c r="M1123" i="2"/>
  <c r="L1123" i="2"/>
  <c r="K1123" i="2"/>
  <c r="J1123" i="2"/>
  <c r="I1123" i="2"/>
  <c r="H1123" i="2"/>
  <c r="G1123" i="2"/>
  <c r="F1123" i="2"/>
  <c r="E1123" i="2"/>
  <c r="D1123" i="2"/>
  <c r="C1123" i="2"/>
  <c r="B1123" i="2"/>
  <c r="O1122" i="2"/>
  <c r="N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O1121" i="2"/>
  <c r="N1121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O1120" i="2"/>
  <c r="N1120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O1119" i="2"/>
  <c r="N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O1118" i="2"/>
  <c r="N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O1117" i="2"/>
  <c r="N1117" i="2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O1116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O1115" i="2"/>
  <c r="N1115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O1114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O1113" i="2"/>
  <c r="N1113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O1112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O1111" i="2"/>
  <c r="N1111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O1110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O1109" i="2"/>
  <c r="N1109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O1108" i="2"/>
  <c r="N1108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O1107" i="2"/>
  <c r="N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O1106" i="2"/>
  <c r="N1106" i="2"/>
  <c r="M1106" i="2"/>
  <c r="L1106" i="2"/>
  <c r="K1106" i="2"/>
  <c r="J1106" i="2"/>
  <c r="I1106" i="2"/>
  <c r="H1106" i="2"/>
  <c r="G1106" i="2"/>
  <c r="F1106" i="2"/>
  <c r="E1106" i="2"/>
  <c r="D1106" i="2"/>
  <c r="C1106" i="2"/>
  <c r="B1106" i="2"/>
  <c r="O1105" i="2"/>
  <c r="N1105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O1104" i="2"/>
  <c r="N1104" i="2"/>
  <c r="M1104" i="2"/>
  <c r="L1104" i="2"/>
  <c r="K1104" i="2"/>
  <c r="J1104" i="2"/>
  <c r="I1104" i="2"/>
  <c r="H1104" i="2"/>
  <c r="G1104" i="2"/>
  <c r="F1104" i="2"/>
  <c r="E1104" i="2"/>
  <c r="D1104" i="2"/>
  <c r="C1104" i="2"/>
  <c r="B1104" i="2"/>
  <c r="O1103" i="2"/>
  <c r="N1103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O1102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O1101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O1100" i="2"/>
  <c r="N1100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O1099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O1098" i="2"/>
  <c r="N1098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O1097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O1096" i="2"/>
  <c r="N1096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O1095" i="2"/>
  <c r="N1095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O1094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O1093" i="2"/>
  <c r="N1093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O1092" i="2"/>
  <c r="N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O1091" i="2"/>
  <c r="N1091" i="2"/>
  <c r="M1091" i="2"/>
  <c r="L1091" i="2"/>
  <c r="K1091" i="2"/>
  <c r="J1091" i="2"/>
  <c r="I1091" i="2"/>
  <c r="H1091" i="2"/>
  <c r="G1091" i="2"/>
  <c r="F1091" i="2"/>
  <c r="E1091" i="2"/>
  <c r="D1091" i="2"/>
  <c r="C1091" i="2"/>
  <c r="B1091" i="2"/>
  <c r="O1090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O1089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O1088" i="2"/>
  <c r="N1088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O1087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O1086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O1085" i="2"/>
  <c r="N1085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O1084" i="2"/>
  <c r="N1084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O1083" i="2"/>
  <c r="N1083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O1082" i="2"/>
  <c r="N1082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O1081" i="2"/>
  <c r="N1081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O1080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O1079" i="2"/>
  <c r="N1079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O1078" i="2"/>
  <c r="N1078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O1077" i="2"/>
  <c r="N1077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O1076" i="2"/>
  <c r="N1076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O1075" i="2"/>
  <c r="N1075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O1074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O1073" i="2"/>
  <c r="N1073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O1072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O1071" i="2"/>
  <c r="N1071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O1070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O1069" i="2"/>
  <c r="N1069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O1068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O1067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O1066" i="2"/>
  <c r="N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O1065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O1064" i="2"/>
  <c r="N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O1063" i="2"/>
  <c r="N1063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O1062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O1061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O1060" i="2"/>
  <c r="N1060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O1059" i="2"/>
  <c r="N1059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O1058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O1057" i="2"/>
  <c r="N1057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O1056" i="2"/>
  <c r="N1056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O1055" i="2"/>
  <c r="N1055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O1054" i="2"/>
  <c r="N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O1053" i="2"/>
  <c r="N1053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O1052" i="2"/>
  <c r="N1052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O1051" i="2"/>
  <c r="N1051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O1050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O1049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O1048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O1047" i="2"/>
  <c r="N1047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O1046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O1045" i="2"/>
  <c r="N1045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O1044" i="2"/>
  <c r="N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O1043" i="2"/>
  <c r="N1043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O1042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O1041" i="2"/>
  <c r="N1041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O1040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O1039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O1038" i="2"/>
  <c r="N1038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O1037" i="2"/>
  <c r="N1037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O1036" i="2"/>
  <c r="N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O1035" i="2"/>
  <c r="N1035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O1034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O1033" i="2"/>
  <c r="N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O1032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O1031" i="2"/>
  <c r="N1031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O1030" i="2"/>
  <c r="N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O1029" i="2"/>
  <c r="N1029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O1028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O1027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O1026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O1025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O1024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O1023" i="2"/>
  <c r="N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O1022" i="2"/>
  <c r="N1022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O1021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O1020" i="2"/>
  <c r="N1020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O1019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O1018" i="2"/>
  <c r="N1018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O1017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O1016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O1015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O1014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O1013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O1012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O1011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O1010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O1009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O1008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O1007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O1006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O1005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O1004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O1003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</calcChain>
</file>

<file path=xl/sharedStrings.xml><?xml version="1.0" encoding="utf-8"?>
<sst xmlns="http://schemas.openxmlformats.org/spreadsheetml/2006/main" count="43" uniqueCount="37">
  <si>
    <t>Date</t>
  </si>
  <si>
    <t>SLFXFSI4</t>
  </si>
  <si>
    <t>NFCINHY</t>
  </si>
  <si>
    <t>AHE MOM%</t>
  </si>
  <si>
    <t>REALYRAW</t>
  </si>
  <si>
    <t>JOLTTOTL</t>
  </si>
  <si>
    <t>PRUSTOT</t>
  </si>
  <si>
    <t>PCE YOY$</t>
  </si>
  <si>
    <t>CPURNSA</t>
  </si>
  <si>
    <t>CPI YOY</t>
  </si>
  <si>
    <t>NAPMPMI</t>
  </si>
  <si>
    <t>IP  CHNG</t>
  </si>
  <si>
    <t>GDP CQOQ</t>
  </si>
  <si>
    <t>USURTOT</t>
  </si>
  <si>
    <t>FEDL01</t>
  </si>
  <si>
    <t>&lt;NSA&gt;</t>
  </si>
  <si>
    <t>&lt;MoM% SA&gt;</t>
  </si>
  <si>
    <t>&lt;YoY% SA&gt;</t>
  </si>
  <si>
    <t>&lt;Units/Persons SA&gt;</t>
  </si>
  <si>
    <t>&lt;SA&gt;</t>
  </si>
  <si>
    <t>&lt;Index NSA&gt;</t>
  </si>
  <si>
    <t>&lt;YoY% NSA&gt;</t>
  </si>
  <si>
    <t>&lt;QoQ% SAAR&gt;</t>
  </si>
  <si>
    <t>St Louis Federal Reserve Bank Financial Stress Index 4.0</t>
  </si>
  <si>
    <t>Chicago Fed NFCI Credit BofAML High Yield/Moody Baa Corporate Bond Yield Spread</t>
  </si>
  <si>
    <t>US Average Hourly Earnings All Employees Total Private Monthly Percentage Change</t>
  </si>
  <si>
    <t>US Real Average Hourly Earnings 1982-1984 USD YoY SA</t>
  </si>
  <si>
    <t>US Job Openings By Industry Total SA</t>
  </si>
  <si>
    <t>US Labor Force Participation Rate SA</t>
  </si>
  <si>
    <t>US Personal Consumption Expenditures Nominal Dollars YoY SA</t>
  </si>
  <si>
    <t>US CPI Urban Consumers NSA</t>
  </si>
  <si>
    <t>US CPI Urban Consumers YoY NSA</t>
  </si>
  <si>
    <t>ISM Manufacturing PMI SA</t>
  </si>
  <si>
    <t>US Industrial Production MOM SA</t>
  </si>
  <si>
    <t>GDP US Chained Dollars QoQ SAAR</t>
  </si>
  <si>
    <t>U-3 US Unemployment Rate Total in Labor Force Seasonally Adjusted</t>
  </si>
  <si>
    <t>US Federal Funds Effective Rate (continuous series)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</si>
</sst>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54"/>
  <sheetViews>
    <sheetView tabSelected="1" topLeftCell="A346" workbookViewId="0">
      <selection activeCell="W359" sqref="W359"/>
    </sheetView>
  </sheetViews>
  <sheetFormatPr defaultRowHeight="15" x14ac:dyDescent="0.25"/>
  <cols>
    <col min="1" max="1" width="16" bestFit="1" customWidth="1"/>
    <col min="2" max="15" width="9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17</v>
      </c>
      <c r="I2" t="s">
        <v>20</v>
      </c>
      <c r="J2" t="s">
        <v>21</v>
      </c>
      <c r="K2" t="s">
        <v>19</v>
      </c>
      <c r="L2" t="s">
        <v>16</v>
      </c>
      <c r="M2" t="s">
        <v>22</v>
      </c>
      <c r="N2" t="s">
        <v>19</v>
      </c>
      <c r="O2" t="s">
        <v>15</v>
      </c>
    </row>
    <row r="3" spans="1:15" x14ac:dyDescent="0.25"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</row>
    <row r="4" spans="1:15" x14ac:dyDescent="0.25">
      <c r="A4" s="1">
        <v>45975</v>
      </c>
      <c r="B4" t="e">
        <f>NA()</f>
        <v>#N/A</v>
      </c>
      <c r="C4" t="e">
        <f>NA()</f>
        <v>#N/A</v>
      </c>
      <c r="D4" t="e">
        <f>NA()</f>
        <v>#N/A</v>
      </c>
      <c r="E4" t="e">
        <f>NA()</f>
        <v>#N/A</v>
      </c>
      <c r="F4" t="e">
        <f>NA()</f>
        <v>#N/A</v>
      </c>
      <c r="G4" t="e">
        <f>NA()</f>
        <v>#N/A</v>
      </c>
      <c r="H4" t="e">
        <f>NA()</f>
        <v>#N/A</v>
      </c>
      <c r="I4" t="e">
        <f>NA()</f>
        <v>#N/A</v>
      </c>
      <c r="J4" t="e">
        <f>NA()</f>
        <v>#N/A</v>
      </c>
      <c r="K4" t="e">
        <f>NA()</f>
        <v>#N/A</v>
      </c>
      <c r="L4" t="e">
        <f>NA()</f>
        <v>#N/A</v>
      </c>
      <c r="M4" t="e">
        <f>NA()</f>
        <v>#N/A</v>
      </c>
      <c r="N4" t="e">
        <f>NA()</f>
        <v>#N/A</v>
      </c>
      <c r="O4">
        <f t="shared" ref="O4:O14" si="0">3.9</f>
        <v>3.9</v>
      </c>
    </row>
    <row r="5" spans="1:15" x14ac:dyDescent="0.25">
      <c r="A5" s="1">
        <v>45974</v>
      </c>
      <c r="B5" t="e">
        <f>NA()</f>
        <v>#N/A</v>
      </c>
      <c r="C5" t="e">
        <f>NA()</f>
        <v>#N/A</v>
      </c>
      <c r="D5" t="e">
        <f>NA()</f>
        <v>#N/A</v>
      </c>
      <c r="E5" t="e">
        <f>NA()</f>
        <v>#N/A</v>
      </c>
      <c r="F5" t="e">
        <f>NA()</f>
        <v>#N/A</v>
      </c>
      <c r="G5" t="e">
        <f>NA()</f>
        <v>#N/A</v>
      </c>
      <c r="H5" t="e">
        <f>NA()</f>
        <v>#N/A</v>
      </c>
      <c r="I5" t="e">
        <f>NA()</f>
        <v>#N/A</v>
      </c>
      <c r="J5" t="e">
        <f>NA()</f>
        <v>#N/A</v>
      </c>
      <c r="K5" t="e">
        <f>NA()</f>
        <v>#N/A</v>
      </c>
      <c r="L5" t="e">
        <f>NA()</f>
        <v>#N/A</v>
      </c>
      <c r="M5" t="e">
        <f>NA()</f>
        <v>#N/A</v>
      </c>
      <c r="N5" t="e">
        <f>NA()</f>
        <v>#N/A</v>
      </c>
      <c r="O5">
        <f t="shared" si="0"/>
        <v>3.9</v>
      </c>
    </row>
    <row r="6" spans="1:15" x14ac:dyDescent="0.25">
      <c r="A6" s="1">
        <v>45973</v>
      </c>
      <c r="B6" t="e">
        <f>NA()</f>
        <v>#N/A</v>
      </c>
      <c r="C6" t="e">
        <f>NA()</f>
        <v>#N/A</v>
      </c>
      <c r="D6" t="e">
        <f>NA()</f>
        <v>#N/A</v>
      </c>
      <c r="E6" t="e">
        <f>NA()</f>
        <v>#N/A</v>
      </c>
      <c r="F6" t="e">
        <f>NA()</f>
        <v>#N/A</v>
      </c>
      <c r="G6" t="e">
        <f>NA()</f>
        <v>#N/A</v>
      </c>
      <c r="H6" t="e">
        <f>NA()</f>
        <v>#N/A</v>
      </c>
      <c r="I6" t="e">
        <f>NA()</f>
        <v>#N/A</v>
      </c>
      <c r="J6" t="e">
        <f>NA()</f>
        <v>#N/A</v>
      </c>
      <c r="K6" t="e">
        <f>NA()</f>
        <v>#N/A</v>
      </c>
      <c r="L6" t="e">
        <f>NA()</f>
        <v>#N/A</v>
      </c>
      <c r="M6" t="e">
        <f>NA()</f>
        <v>#N/A</v>
      </c>
      <c r="N6" t="e">
        <f>NA()</f>
        <v>#N/A</v>
      </c>
      <c r="O6">
        <f t="shared" si="0"/>
        <v>3.9</v>
      </c>
    </row>
    <row r="7" spans="1:15" x14ac:dyDescent="0.25">
      <c r="A7" s="1">
        <v>45971</v>
      </c>
      <c r="B7" t="e">
        <f>NA()</f>
        <v>#N/A</v>
      </c>
      <c r="C7" t="e">
        <f>NA()</f>
        <v>#N/A</v>
      </c>
      <c r="D7" t="e">
        <f>NA()</f>
        <v>#N/A</v>
      </c>
      <c r="E7" t="e">
        <f>NA()</f>
        <v>#N/A</v>
      </c>
      <c r="F7" t="e">
        <f>NA()</f>
        <v>#N/A</v>
      </c>
      <c r="G7" t="e">
        <f>NA()</f>
        <v>#N/A</v>
      </c>
      <c r="H7" t="e">
        <f>NA()</f>
        <v>#N/A</v>
      </c>
      <c r="I7" t="e">
        <f>NA()</f>
        <v>#N/A</v>
      </c>
      <c r="J7" t="e">
        <f>NA()</f>
        <v>#N/A</v>
      </c>
      <c r="K7" t="e">
        <f>NA()</f>
        <v>#N/A</v>
      </c>
      <c r="L7" t="e">
        <f>NA()</f>
        <v>#N/A</v>
      </c>
      <c r="M7" t="e">
        <f>NA()</f>
        <v>#N/A</v>
      </c>
      <c r="N7" t="e">
        <f>NA()</f>
        <v>#N/A</v>
      </c>
      <c r="O7">
        <f t="shared" si="0"/>
        <v>3.9</v>
      </c>
    </row>
    <row r="8" spans="1:15" x14ac:dyDescent="0.25">
      <c r="A8" s="1">
        <v>45968</v>
      </c>
      <c r="B8">
        <f>-0.3</f>
        <v>-0.3</v>
      </c>
      <c r="C8">
        <f>0</f>
        <v>0</v>
      </c>
      <c r="D8" t="e">
        <f>NA()</f>
        <v>#N/A</v>
      </c>
      <c r="E8" t="e">
        <f>NA()</f>
        <v>#N/A</v>
      </c>
      <c r="F8" t="e">
        <f>NA()</f>
        <v>#N/A</v>
      </c>
      <c r="G8" t="e">
        <f>NA()</f>
        <v>#N/A</v>
      </c>
      <c r="H8" t="e">
        <f>NA()</f>
        <v>#N/A</v>
      </c>
      <c r="I8" t="e">
        <f>NA()</f>
        <v>#N/A</v>
      </c>
      <c r="J8" t="e">
        <f>NA()</f>
        <v>#N/A</v>
      </c>
      <c r="K8" t="e">
        <f>NA()</f>
        <v>#N/A</v>
      </c>
      <c r="L8" t="e">
        <f>NA()</f>
        <v>#N/A</v>
      </c>
      <c r="M8" t="e">
        <f>NA()</f>
        <v>#N/A</v>
      </c>
      <c r="N8" t="e">
        <f>NA()</f>
        <v>#N/A</v>
      </c>
      <c r="O8">
        <f t="shared" si="0"/>
        <v>3.9</v>
      </c>
    </row>
    <row r="9" spans="1:15" x14ac:dyDescent="0.25">
      <c r="A9" s="1">
        <v>45967</v>
      </c>
      <c r="B9" t="e">
        <f>NA()</f>
        <v>#N/A</v>
      </c>
      <c r="C9" t="e">
        <f>NA()</f>
        <v>#N/A</v>
      </c>
      <c r="D9" t="e">
        <f>NA()</f>
        <v>#N/A</v>
      </c>
      <c r="E9" t="e">
        <f>NA()</f>
        <v>#N/A</v>
      </c>
      <c r="F9" t="e">
        <f>NA()</f>
        <v>#N/A</v>
      </c>
      <c r="G9" t="e">
        <f>NA()</f>
        <v>#N/A</v>
      </c>
      <c r="H9" t="e">
        <f>NA()</f>
        <v>#N/A</v>
      </c>
      <c r="I9" t="e">
        <f>NA()</f>
        <v>#N/A</v>
      </c>
      <c r="J9" t="e">
        <f>NA()</f>
        <v>#N/A</v>
      </c>
      <c r="K9" t="e">
        <f>NA()</f>
        <v>#N/A</v>
      </c>
      <c r="L9" t="e">
        <f>NA()</f>
        <v>#N/A</v>
      </c>
      <c r="M9" t="e">
        <f>NA()</f>
        <v>#N/A</v>
      </c>
      <c r="N9" t="e">
        <f>NA()</f>
        <v>#N/A</v>
      </c>
      <c r="O9">
        <f t="shared" si="0"/>
        <v>3.9</v>
      </c>
    </row>
    <row r="10" spans="1:15" x14ac:dyDescent="0.25">
      <c r="A10" s="1">
        <v>45966</v>
      </c>
      <c r="B10" t="e">
        <f>NA()</f>
        <v>#N/A</v>
      </c>
      <c r="C10" t="e">
        <f>NA()</f>
        <v>#N/A</v>
      </c>
      <c r="D10" t="e">
        <f>NA()</f>
        <v>#N/A</v>
      </c>
      <c r="E10" t="e">
        <f>NA()</f>
        <v>#N/A</v>
      </c>
      <c r="F10" t="e">
        <f>NA()</f>
        <v>#N/A</v>
      </c>
      <c r="G10" t="e">
        <f>NA()</f>
        <v>#N/A</v>
      </c>
      <c r="H10" t="e">
        <f>NA()</f>
        <v>#N/A</v>
      </c>
      <c r="I10" t="e">
        <f>NA()</f>
        <v>#N/A</v>
      </c>
      <c r="J10" t="e">
        <f>NA()</f>
        <v>#N/A</v>
      </c>
      <c r="K10" t="e">
        <f>NA()</f>
        <v>#N/A</v>
      </c>
      <c r="L10" t="e">
        <f>NA()</f>
        <v>#N/A</v>
      </c>
      <c r="M10" t="e">
        <f>NA()</f>
        <v>#N/A</v>
      </c>
      <c r="N10" t="e">
        <f>NA()</f>
        <v>#N/A</v>
      </c>
      <c r="O10">
        <f t="shared" si="0"/>
        <v>3.9</v>
      </c>
    </row>
    <row r="11" spans="1:15" x14ac:dyDescent="0.25">
      <c r="A11" s="1">
        <v>45965</v>
      </c>
      <c r="B11" t="e">
        <f>NA()</f>
        <v>#N/A</v>
      </c>
      <c r="C11" t="e">
        <f>NA()</f>
        <v>#N/A</v>
      </c>
      <c r="D11" t="e">
        <f>NA()</f>
        <v>#N/A</v>
      </c>
      <c r="E11" t="e">
        <f>NA()</f>
        <v>#N/A</v>
      </c>
      <c r="F11" t="e">
        <f>NA()</f>
        <v>#N/A</v>
      </c>
      <c r="G11" t="e">
        <f>NA()</f>
        <v>#N/A</v>
      </c>
      <c r="H11" t="e">
        <f>NA()</f>
        <v>#N/A</v>
      </c>
      <c r="I11" t="e">
        <f>NA()</f>
        <v>#N/A</v>
      </c>
      <c r="J11" t="e">
        <f>NA()</f>
        <v>#N/A</v>
      </c>
      <c r="K11" t="e">
        <f>NA()</f>
        <v>#N/A</v>
      </c>
      <c r="L11" t="e">
        <f>NA()</f>
        <v>#N/A</v>
      </c>
      <c r="M11" t="e">
        <f>NA()</f>
        <v>#N/A</v>
      </c>
      <c r="N11" t="e">
        <f>NA()</f>
        <v>#N/A</v>
      </c>
      <c r="O11">
        <f t="shared" si="0"/>
        <v>3.9</v>
      </c>
    </row>
    <row r="12" spans="1:15" x14ac:dyDescent="0.25">
      <c r="A12" s="1">
        <v>45964</v>
      </c>
      <c r="B12" t="e">
        <f>NA()</f>
        <v>#N/A</v>
      </c>
      <c r="C12" t="e">
        <f>NA()</f>
        <v>#N/A</v>
      </c>
      <c r="D12" t="e">
        <f>NA()</f>
        <v>#N/A</v>
      </c>
      <c r="E12" t="e">
        <f>NA()</f>
        <v>#N/A</v>
      </c>
      <c r="F12" t="e">
        <f>NA()</f>
        <v>#N/A</v>
      </c>
      <c r="G12" t="e">
        <f>NA()</f>
        <v>#N/A</v>
      </c>
      <c r="H12" t="e">
        <f>NA()</f>
        <v>#N/A</v>
      </c>
      <c r="I12" t="e">
        <f>NA()</f>
        <v>#N/A</v>
      </c>
      <c r="J12" t="e">
        <f>NA()</f>
        <v>#N/A</v>
      </c>
      <c r="K12" t="e">
        <f>NA()</f>
        <v>#N/A</v>
      </c>
      <c r="L12" t="e">
        <f>NA()</f>
        <v>#N/A</v>
      </c>
      <c r="M12" t="e">
        <f>NA()</f>
        <v>#N/A</v>
      </c>
      <c r="N12" t="e">
        <f>NA()</f>
        <v>#N/A</v>
      </c>
      <c r="O12">
        <f t="shared" si="0"/>
        <v>3.9</v>
      </c>
    </row>
    <row r="13" spans="1:15" x14ac:dyDescent="0.25">
      <c r="A13" s="1">
        <v>45961</v>
      </c>
      <c r="B13">
        <f>-0.5</f>
        <v>-0.5</v>
      </c>
      <c r="C13">
        <f>0</f>
        <v>0</v>
      </c>
      <c r="D13" t="e">
        <f>NA()</f>
        <v>#N/A</v>
      </c>
      <c r="E13" t="e">
        <f>NA()</f>
        <v>#N/A</v>
      </c>
      <c r="F13" t="e">
        <f>NA()</f>
        <v>#N/A</v>
      </c>
      <c r="G13" t="e">
        <f>NA()</f>
        <v>#N/A</v>
      </c>
      <c r="H13" t="e">
        <f>NA()</f>
        <v>#N/A</v>
      </c>
      <c r="I13" t="e">
        <f>NA()</f>
        <v>#N/A</v>
      </c>
      <c r="J13" t="e">
        <f>NA()</f>
        <v>#N/A</v>
      </c>
      <c r="K13">
        <f>48.7</f>
        <v>48.7</v>
      </c>
      <c r="L13" t="e">
        <f>NA()</f>
        <v>#N/A</v>
      </c>
      <c r="M13" t="e">
        <f>NA()</f>
        <v>#N/A</v>
      </c>
      <c r="N13" t="e">
        <f>NA()</f>
        <v>#N/A</v>
      </c>
      <c r="O13">
        <f t="shared" si="0"/>
        <v>3.9</v>
      </c>
    </row>
    <row r="14" spans="1:15" x14ac:dyDescent="0.25">
      <c r="A14" s="1">
        <v>45960</v>
      </c>
      <c r="B14" t="e">
        <f>NA()</f>
        <v>#N/A</v>
      </c>
      <c r="C14" t="e">
        <f>NA()</f>
        <v>#N/A</v>
      </c>
      <c r="D14" t="e">
        <f>NA()</f>
        <v>#N/A</v>
      </c>
      <c r="E14" t="e">
        <f>NA()</f>
        <v>#N/A</v>
      </c>
      <c r="F14" t="e">
        <f>NA()</f>
        <v>#N/A</v>
      </c>
      <c r="G14" t="e">
        <f>NA()</f>
        <v>#N/A</v>
      </c>
      <c r="H14" t="e">
        <f>NA()</f>
        <v>#N/A</v>
      </c>
      <c r="I14" t="e">
        <f>NA()</f>
        <v>#N/A</v>
      </c>
      <c r="J14" t="e">
        <f>NA()</f>
        <v>#N/A</v>
      </c>
      <c r="K14" t="e">
        <f>NA()</f>
        <v>#N/A</v>
      </c>
      <c r="L14" t="e">
        <f>NA()</f>
        <v>#N/A</v>
      </c>
      <c r="M14" t="e">
        <f>NA()</f>
        <v>#N/A</v>
      </c>
      <c r="N14" t="e">
        <f>NA()</f>
        <v>#N/A</v>
      </c>
      <c r="O14">
        <f t="shared" si="0"/>
        <v>3.9</v>
      </c>
    </row>
    <row r="15" spans="1:15" x14ac:dyDescent="0.25">
      <c r="A15" s="1">
        <v>45959</v>
      </c>
      <c r="B15" t="e">
        <f>NA()</f>
        <v>#N/A</v>
      </c>
      <c r="C15" t="e">
        <f>NA()</f>
        <v>#N/A</v>
      </c>
      <c r="D15" t="e">
        <f>NA()</f>
        <v>#N/A</v>
      </c>
      <c r="E15" t="e">
        <f>NA()</f>
        <v>#N/A</v>
      </c>
      <c r="F15" t="e">
        <f>NA()</f>
        <v>#N/A</v>
      </c>
      <c r="G15" t="e">
        <f>NA()</f>
        <v>#N/A</v>
      </c>
      <c r="H15" t="e">
        <f>NA()</f>
        <v>#N/A</v>
      </c>
      <c r="I15" t="e">
        <f>NA()</f>
        <v>#N/A</v>
      </c>
      <c r="J15" t="e">
        <f>NA()</f>
        <v>#N/A</v>
      </c>
      <c r="K15" t="e">
        <f>NA()</f>
        <v>#N/A</v>
      </c>
      <c r="L15" t="e">
        <f>NA()</f>
        <v>#N/A</v>
      </c>
      <c r="M15" t="e">
        <f>NA()</f>
        <v>#N/A</v>
      </c>
      <c r="N15" t="e">
        <f>NA()</f>
        <v>#N/A</v>
      </c>
      <c r="O15">
        <f t="shared" ref="O15:O43" si="1">4.1</f>
        <v>4.0999999999999996</v>
      </c>
    </row>
    <row r="16" spans="1:15" x14ac:dyDescent="0.25">
      <c r="A16" s="1">
        <v>45958</v>
      </c>
      <c r="B16" t="e">
        <f>NA()</f>
        <v>#N/A</v>
      </c>
      <c r="C16" t="e">
        <f>NA()</f>
        <v>#N/A</v>
      </c>
      <c r="D16" t="e">
        <f>NA()</f>
        <v>#N/A</v>
      </c>
      <c r="E16" t="e">
        <f>NA()</f>
        <v>#N/A</v>
      </c>
      <c r="F16" t="e">
        <f>NA()</f>
        <v>#N/A</v>
      </c>
      <c r="G16" t="e">
        <f>NA()</f>
        <v>#N/A</v>
      </c>
      <c r="H16" t="e">
        <f>NA()</f>
        <v>#N/A</v>
      </c>
      <c r="I16" t="e">
        <f>NA()</f>
        <v>#N/A</v>
      </c>
      <c r="J16" t="e">
        <f>NA()</f>
        <v>#N/A</v>
      </c>
      <c r="K16" t="e">
        <f>NA()</f>
        <v>#N/A</v>
      </c>
      <c r="L16" t="e">
        <f>NA()</f>
        <v>#N/A</v>
      </c>
      <c r="M16" t="e">
        <f>NA()</f>
        <v>#N/A</v>
      </c>
      <c r="N16" t="e">
        <f>NA()</f>
        <v>#N/A</v>
      </c>
      <c r="O16">
        <f t="shared" si="1"/>
        <v>4.0999999999999996</v>
      </c>
    </row>
    <row r="17" spans="1:15" x14ac:dyDescent="0.25">
      <c r="A17" s="1">
        <v>45957</v>
      </c>
      <c r="B17" t="e">
        <f>NA()</f>
        <v>#N/A</v>
      </c>
      <c r="C17" t="e">
        <f>NA()</f>
        <v>#N/A</v>
      </c>
      <c r="D17" t="e">
        <f>NA()</f>
        <v>#N/A</v>
      </c>
      <c r="E17" t="e">
        <f>NA()</f>
        <v>#N/A</v>
      </c>
      <c r="F17" t="e">
        <f>NA()</f>
        <v>#N/A</v>
      </c>
      <c r="G17" t="e">
        <f>NA()</f>
        <v>#N/A</v>
      </c>
      <c r="H17" t="e">
        <f>NA()</f>
        <v>#N/A</v>
      </c>
      <c r="I17" t="e">
        <f>NA()</f>
        <v>#N/A</v>
      </c>
      <c r="J17" t="e">
        <f>NA()</f>
        <v>#N/A</v>
      </c>
      <c r="K17" t="e">
        <f>NA()</f>
        <v>#N/A</v>
      </c>
      <c r="L17" t="e">
        <f>NA()</f>
        <v>#N/A</v>
      </c>
      <c r="M17" t="e">
        <f>NA()</f>
        <v>#N/A</v>
      </c>
      <c r="N17" t="e">
        <f>NA()</f>
        <v>#N/A</v>
      </c>
      <c r="O17">
        <f t="shared" si="1"/>
        <v>4.0999999999999996</v>
      </c>
    </row>
    <row r="18" spans="1:15" x14ac:dyDescent="0.25">
      <c r="A18" s="1">
        <v>45954</v>
      </c>
      <c r="B18">
        <f>-0.5</f>
        <v>-0.5</v>
      </c>
      <c r="C18">
        <f>0</f>
        <v>0</v>
      </c>
      <c r="D18" t="e">
        <f>NA()</f>
        <v>#N/A</v>
      </c>
      <c r="E18" t="e">
        <f>NA()</f>
        <v>#N/A</v>
      </c>
      <c r="F18" t="e">
        <f>NA()</f>
        <v>#N/A</v>
      </c>
      <c r="G18" t="e">
        <f>NA()</f>
        <v>#N/A</v>
      </c>
      <c r="H18" t="e">
        <f>NA()</f>
        <v>#N/A</v>
      </c>
      <c r="I18" t="e">
        <f>NA()</f>
        <v>#N/A</v>
      </c>
      <c r="J18" t="e">
        <f>NA()</f>
        <v>#N/A</v>
      </c>
      <c r="K18" t="e">
        <f>NA()</f>
        <v>#N/A</v>
      </c>
      <c r="L18" t="e">
        <f>NA()</f>
        <v>#N/A</v>
      </c>
      <c r="M18" t="e">
        <f>NA()</f>
        <v>#N/A</v>
      </c>
      <c r="N18" t="e">
        <f>NA()</f>
        <v>#N/A</v>
      </c>
      <c r="O18">
        <f t="shared" si="1"/>
        <v>4.0999999999999996</v>
      </c>
    </row>
    <row r="19" spans="1:15" x14ac:dyDescent="0.25">
      <c r="A19" s="1">
        <v>45953</v>
      </c>
      <c r="B19" t="e">
        <f>NA()</f>
        <v>#N/A</v>
      </c>
      <c r="C19" t="e">
        <f>NA()</f>
        <v>#N/A</v>
      </c>
      <c r="D19" t="e">
        <f>NA()</f>
        <v>#N/A</v>
      </c>
      <c r="E19" t="e">
        <f>NA()</f>
        <v>#N/A</v>
      </c>
      <c r="F19" t="e">
        <f>NA()</f>
        <v>#N/A</v>
      </c>
      <c r="G19" t="e">
        <f>NA()</f>
        <v>#N/A</v>
      </c>
      <c r="H19" t="e">
        <f>NA()</f>
        <v>#N/A</v>
      </c>
      <c r="I19" t="e">
        <f>NA()</f>
        <v>#N/A</v>
      </c>
      <c r="J19" t="e">
        <f>NA()</f>
        <v>#N/A</v>
      </c>
      <c r="K19" t="e">
        <f>NA()</f>
        <v>#N/A</v>
      </c>
      <c r="L19" t="e">
        <f>NA()</f>
        <v>#N/A</v>
      </c>
      <c r="M19" t="e">
        <f>NA()</f>
        <v>#N/A</v>
      </c>
      <c r="N19" t="e">
        <f>NA()</f>
        <v>#N/A</v>
      </c>
      <c r="O19">
        <f t="shared" si="1"/>
        <v>4.0999999999999996</v>
      </c>
    </row>
    <row r="20" spans="1:15" x14ac:dyDescent="0.25">
      <c r="A20" s="1">
        <v>45952</v>
      </c>
      <c r="B20" t="e">
        <f>NA()</f>
        <v>#N/A</v>
      </c>
      <c r="C20" t="e">
        <f>NA()</f>
        <v>#N/A</v>
      </c>
      <c r="D20" t="e">
        <f>NA()</f>
        <v>#N/A</v>
      </c>
      <c r="E20" t="e">
        <f>NA()</f>
        <v>#N/A</v>
      </c>
      <c r="F20" t="e">
        <f>NA()</f>
        <v>#N/A</v>
      </c>
      <c r="G20" t="e">
        <f>NA()</f>
        <v>#N/A</v>
      </c>
      <c r="H20" t="e">
        <f>NA()</f>
        <v>#N/A</v>
      </c>
      <c r="I20" t="e">
        <f>NA()</f>
        <v>#N/A</v>
      </c>
      <c r="J20" t="e">
        <f>NA()</f>
        <v>#N/A</v>
      </c>
      <c r="K20" t="e">
        <f>NA()</f>
        <v>#N/A</v>
      </c>
      <c r="L20" t="e">
        <f>NA()</f>
        <v>#N/A</v>
      </c>
      <c r="M20" t="e">
        <f>NA()</f>
        <v>#N/A</v>
      </c>
      <c r="N20" t="e">
        <f>NA()</f>
        <v>#N/A</v>
      </c>
      <c r="O20">
        <f t="shared" si="1"/>
        <v>4.0999999999999996</v>
      </c>
    </row>
    <row r="21" spans="1:15" x14ac:dyDescent="0.25">
      <c r="A21" s="1">
        <v>45951</v>
      </c>
      <c r="B21" t="e">
        <f>NA()</f>
        <v>#N/A</v>
      </c>
      <c r="C21" t="e">
        <f>NA()</f>
        <v>#N/A</v>
      </c>
      <c r="D21" t="e">
        <f>NA()</f>
        <v>#N/A</v>
      </c>
      <c r="E21" t="e">
        <f>NA()</f>
        <v>#N/A</v>
      </c>
      <c r="F21" t="e">
        <f>NA()</f>
        <v>#N/A</v>
      </c>
      <c r="G21" t="e">
        <f>NA()</f>
        <v>#N/A</v>
      </c>
      <c r="H21" t="e">
        <f>NA()</f>
        <v>#N/A</v>
      </c>
      <c r="I21" t="e">
        <f>NA()</f>
        <v>#N/A</v>
      </c>
      <c r="J21" t="e">
        <f>NA()</f>
        <v>#N/A</v>
      </c>
      <c r="K21" t="e">
        <f>NA()</f>
        <v>#N/A</v>
      </c>
      <c r="L21" t="e">
        <f>NA()</f>
        <v>#N/A</v>
      </c>
      <c r="M21" t="e">
        <f>NA()</f>
        <v>#N/A</v>
      </c>
      <c r="N21" t="e">
        <f>NA()</f>
        <v>#N/A</v>
      </c>
      <c r="O21">
        <f t="shared" si="1"/>
        <v>4.0999999999999996</v>
      </c>
    </row>
    <row r="22" spans="1:15" x14ac:dyDescent="0.25">
      <c r="A22" s="1">
        <v>45950</v>
      </c>
      <c r="B22" t="e">
        <f>NA()</f>
        <v>#N/A</v>
      </c>
      <c r="C22" t="e">
        <f>NA()</f>
        <v>#N/A</v>
      </c>
      <c r="D22" t="e">
        <f>NA()</f>
        <v>#N/A</v>
      </c>
      <c r="E22" t="e">
        <f>NA()</f>
        <v>#N/A</v>
      </c>
      <c r="F22" t="e">
        <f>NA()</f>
        <v>#N/A</v>
      </c>
      <c r="G22" t="e">
        <f>NA()</f>
        <v>#N/A</v>
      </c>
      <c r="H22" t="e">
        <f>NA()</f>
        <v>#N/A</v>
      </c>
      <c r="I22" t="e">
        <f>NA()</f>
        <v>#N/A</v>
      </c>
      <c r="J22" t="e">
        <f>NA()</f>
        <v>#N/A</v>
      </c>
      <c r="K22" t="e">
        <f>NA()</f>
        <v>#N/A</v>
      </c>
      <c r="L22" t="e">
        <f>NA()</f>
        <v>#N/A</v>
      </c>
      <c r="M22" t="e">
        <f>NA()</f>
        <v>#N/A</v>
      </c>
      <c r="N22" t="e">
        <f>NA()</f>
        <v>#N/A</v>
      </c>
      <c r="O22">
        <f t="shared" si="1"/>
        <v>4.0999999999999996</v>
      </c>
    </row>
    <row r="23" spans="1:15" x14ac:dyDescent="0.25">
      <c r="A23" s="1">
        <v>45947</v>
      </c>
      <c r="B23">
        <f>-0.4</f>
        <v>-0.4</v>
      </c>
      <c r="C23">
        <f>0</f>
        <v>0</v>
      </c>
      <c r="D23" t="e">
        <f>NA()</f>
        <v>#N/A</v>
      </c>
      <c r="E23" t="e">
        <f>NA()</f>
        <v>#N/A</v>
      </c>
      <c r="F23" t="e">
        <f>NA()</f>
        <v>#N/A</v>
      </c>
      <c r="G23" t="e">
        <f>NA()</f>
        <v>#N/A</v>
      </c>
      <c r="H23" t="e">
        <f>NA()</f>
        <v>#N/A</v>
      </c>
      <c r="I23" t="e">
        <f>NA()</f>
        <v>#N/A</v>
      </c>
      <c r="J23" t="e">
        <f>NA()</f>
        <v>#N/A</v>
      </c>
      <c r="K23" t="e">
        <f>NA()</f>
        <v>#N/A</v>
      </c>
      <c r="L23" t="e">
        <f>NA()</f>
        <v>#N/A</v>
      </c>
      <c r="M23" t="e">
        <f>NA()</f>
        <v>#N/A</v>
      </c>
      <c r="N23" t="e">
        <f>NA()</f>
        <v>#N/A</v>
      </c>
      <c r="O23">
        <f t="shared" si="1"/>
        <v>4.0999999999999996</v>
      </c>
    </row>
    <row r="24" spans="1:15" x14ac:dyDescent="0.25">
      <c r="A24" s="1">
        <v>45946</v>
      </c>
      <c r="B24" t="e">
        <f>NA()</f>
        <v>#N/A</v>
      </c>
      <c r="C24" t="e">
        <f>NA()</f>
        <v>#N/A</v>
      </c>
      <c r="D24" t="e">
        <f>NA()</f>
        <v>#N/A</v>
      </c>
      <c r="E24" t="e">
        <f>NA()</f>
        <v>#N/A</v>
      </c>
      <c r="F24" t="e">
        <f>NA()</f>
        <v>#N/A</v>
      </c>
      <c r="G24" t="e">
        <f>NA()</f>
        <v>#N/A</v>
      </c>
      <c r="H24" t="e">
        <f>NA()</f>
        <v>#N/A</v>
      </c>
      <c r="I24" t="e">
        <f>NA()</f>
        <v>#N/A</v>
      </c>
      <c r="J24" t="e">
        <f>NA()</f>
        <v>#N/A</v>
      </c>
      <c r="K24" t="e">
        <f>NA()</f>
        <v>#N/A</v>
      </c>
      <c r="L24" t="e">
        <f>NA()</f>
        <v>#N/A</v>
      </c>
      <c r="M24" t="e">
        <f>NA()</f>
        <v>#N/A</v>
      </c>
      <c r="N24" t="e">
        <f>NA()</f>
        <v>#N/A</v>
      </c>
      <c r="O24">
        <f t="shared" si="1"/>
        <v>4.0999999999999996</v>
      </c>
    </row>
    <row r="25" spans="1:15" x14ac:dyDescent="0.25">
      <c r="A25" s="1">
        <v>45945</v>
      </c>
      <c r="B25" t="e">
        <f>NA()</f>
        <v>#N/A</v>
      </c>
      <c r="C25" t="e">
        <f>NA()</f>
        <v>#N/A</v>
      </c>
      <c r="D25" t="e">
        <f>NA()</f>
        <v>#N/A</v>
      </c>
      <c r="E25" t="e">
        <f>NA()</f>
        <v>#N/A</v>
      </c>
      <c r="F25" t="e">
        <f>NA()</f>
        <v>#N/A</v>
      </c>
      <c r="G25" t="e">
        <f>NA()</f>
        <v>#N/A</v>
      </c>
      <c r="H25" t="e">
        <f>NA()</f>
        <v>#N/A</v>
      </c>
      <c r="I25" t="e">
        <f>NA()</f>
        <v>#N/A</v>
      </c>
      <c r="J25" t="e">
        <f>NA()</f>
        <v>#N/A</v>
      </c>
      <c r="K25" t="e">
        <f>NA()</f>
        <v>#N/A</v>
      </c>
      <c r="L25" t="e">
        <f>NA()</f>
        <v>#N/A</v>
      </c>
      <c r="M25" t="e">
        <f>NA()</f>
        <v>#N/A</v>
      </c>
      <c r="N25" t="e">
        <f>NA()</f>
        <v>#N/A</v>
      </c>
      <c r="O25">
        <f t="shared" si="1"/>
        <v>4.0999999999999996</v>
      </c>
    </row>
    <row r="26" spans="1:15" x14ac:dyDescent="0.25">
      <c r="A26" s="1">
        <v>45944</v>
      </c>
      <c r="B26" t="e">
        <f>NA()</f>
        <v>#N/A</v>
      </c>
      <c r="C26" t="e">
        <f>NA()</f>
        <v>#N/A</v>
      </c>
      <c r="D26" t="e">
        <f>NA()</f>
        <v>#N/A</v>
      </c>
      <c r="E26" t="e">
        <f>NA()</f>
        <v>#N/A</v>
      </c>
      <c r="F26" t="e">
        <f>NA()</f>
        <v>#N/A</v>
      </c>
      <c r="G26" t="e">
        <f>NA()</f>
        <v>#N/A</v>
      </c>
      <c r="H26" t="e">
        <f>NA()</f>
        <v>#N/A</v>
      </c>
      <c r="I26" t="e">
        <f>NA()</f>
        <v>#N/A</v>
      </c>
      <c r="J26" t="e">
        <f>NA()</f>
        <v>#N/A</v>
      </c>
      <c r="K26" t="e">
        <f>NA()</f>
        <v>#N/A</v>
      </c>
      <c r="L26" t="e">
        <f>NA()</f>
        <v>#N/A</v>
      </c>
      <c r="M26" t="e">
        <f>NA()</f>
        <v>#N/A</v>
      </c>
      <c r="N26" t="e">
        <f>NA()</f>
        <v>#N/A</v>
      </c>
      <c r="O26">
        <f t="shared" si="1"/>
        <v>4.0999999999999996</v>
      </c>
    </row>
    <row r="27" spans="1:15" x14ac:dyDescent="0.25">
      <c r="A27" s="1">
        <v>45940</v>
      </c>
      <c r="B27">
        <f>-0.5</f>
        <v>-0.5</v>
      </c>
      <c r="C27">
        <f>0</f>
        <v>0</v>
      </c>
      <c r="D27" t="e">
        <f>NA()</f>
        <v>#N/A</v>
      </c>
      <c r="E27" t="e">
        <f>NA()</f>
        <v>#N/A</v>
      </c>
      <c r="F27" t="e">
        <f>NA()</f>
        <v>#N/A</v>
      </c>
      <c r="G27" t="e">
        <f>NA()</f>
        <v>#N/A</v>
      </c>
      <c r="H27" t="e">
        <f>NA()</f>
        <v>#N/A</v>
      </c>
      <c r="I27" t="e">
        <f>NA()</f>
        <v>#N/A</v>
      </c>
      <c r="J27" t="e">
        <f>NA()</f>
        <v>#N/A</v>
      </c>
      <c r="K27" t="e">
        <f>NA()</f>
        <v>#N/A</v>
      </c>
      <c r="L27" t="e">
        <f>NA()</f>
        <v>#N/A</v>
      </c>
      <c r="M27" t="e">
        <f>NA()</f>
        <v>#N/A</v>
      </c>
      <c r="N27" t="e">
        <f>NA()</f>
        <v>#N/A</v>
      </c>
      <c r="O27">
        <f t="shared" si="1"/>
        <v>4.0999999999999996</v>
      </c>
    </row>
    <row r="28" spans="1:15" x14ac:dyDescent="0.25">
      <c r="A28" s="1">
        <v>45939</v>
      </c>
      <c r="B28" t="e">
        <f>NA()</f>
        <v>#N/A</v>
      </c>
      <c r="C28" t="e">
        <f>NA()</f>
        <v>#N/A</v>
      </c>
      <c r="D28" t="e">
        <f>NA()</f>
        <v>#N/A</v>
      </c>
      <c r="E28" t="e">
        <f>NA()</f>
        <v>#N/A</v>
      </c>
      <c r="F28" t="e">
        <f>NA()</f>
        <v>#N/A</v>
      </c>
      <c r="G28" t="e">
        <f>NA()</f>
        <v>#N/A</v>
      </c>
      <c r="H28" t="e">
        <f>NA()</f>
        <v>#N/A</v>
      </c>
      <c r="I28" t="e">
        <f>NA()</f>
        <v>#N/A</v>
      </c>
      <c r="J28" t="e">
        <f>NA()</f>
        <v>#N/A</v>
      </c>
      <c r="K28" t="e">
        <f>NA()</f>
        <v>#N/A</v>
      </c>
      <c r="L28" t="e">
        <f>NA()</f>
        <v>#N/A</v>
      </c>
      <c r="M28" t="e">
        <f>NA()</f>
        <v>#N/A</v>
      </c>
      <c r="N28" t="e">
        <f>NA()</f>
        <v>#N/A</v>
      </c>
      <c r="O28">
        <f t="shared" si="1"/>
        <v>4.0999999999999996</v>
      </c>
    </row>
    <row r="29" spans="1:15" x14ac:dyDescent="0.25">
      <c r="A29" s="1">
        <v>45938</v>
      </c>
      <c r="B29" t="e">
        <f>NA()</f>
        <v>#N/A</v>
      </c>
      <c r="C29" t="e">
        <f>NA()</f>
        <v>#N/A</v>
      </c>
      <c r="D29" t="e">
        <f>NA()</f>
        <v>#N/A</v>
      </c>
      <c r="E29" t="e">
        <f>NA()</f>
        <v>#N/A</v>
      </c>
      <c r="F29" t="e">
        <f>NA()</f>
        <v>#N/A</v>
      </c>
      <c r="G29" t="e">
        <f>NA()</f>
        <v>#N/A</v>
      </c>
      <c r="H29" t="e">
        <f>NA()</f>
        <v>#N/A</v>
      </c>
      <c r="I29" t="e">
        <f>NA()</f>
        <v>#N/A</v>
      </c>
      <c r="J29" t="e">
        <f>NA()</f>
        <v>#N/A</v>
      </c>
      <c r="K29" t="e">
        <f>NA()</f>
        <v>#N/A</v>
      </c>
      <c r="L29" t="e">
        <f>NA()</f>
        <v>#N/A</v>
      </c>
      <c r="M29" t="e">
        <f>NA()</f>
        <v>#N/A</v>
      </c>
      <c r="N29" t="e">
        <f>NA()</f>
        <v>#N/A</v>
      </c>
      <c r="O29">
        <f t="shared" si="1"/>
        <v>4.0999999999999996</v>
      </c>
    </row>
    <row r="30" spans="1:15" x14ac:dyDescent="0.25">
      <c r="A30" s="1">
        <v>45937</v>
      </c>
      <c r="B30" t="e">
        <f>NA()</f>
        <v>#N/A</v>
      </c>
      <c r="C30" t="e">
        <f>NA()</f>
        <v>#N/A</v>
      </c>
      <c r="D30" t="e">
        <f>NA()</f>
        <v>#N/A</v>
      </c>
      <c r="E30" t="e">
        <f>NA()</f>
        <v>#N/A</v>
      </c>
      <c r="F30" t="e">
        <f>NA()</f>
        <v>#N/A</v>
      </c>
      <c r="G30" t="e">
        <f>NA()</f>
        <v>#N/A</v>
      </c>
      <c r="H30" t="e">
        <f>NA()</f>
        <v>#N/A</v>
      </c>
      <c r="I30" t="e">
        <f>NA()</f>
        <v>#N/A</v>
      </c>
      <c r="J30" t="e">
        <f>NA()</f>
        <v>#N/A</v>
      </c>
      <c r="K30" t="e">
        <f>NA()</f>
        <v>#N/A</v>
      </c>
      <c r="L30" t="e">
        <f>NA()</f>
        <v>#N/A</v>
      </c>
      <c r="M30" t="e">
        <f>NA()</f>
        <v>#N/A</v>
      </c>
      <c r="N30" t="e">
        <f>NA()</f>
        <v>#N/A</v>
      </c>
      <c r="O30">
        <f t="shared" si="1"/>
        <v>4.0999999999999996</v>
      </c>
    </row>
    <row r="31" spans="1:15" x14ac:dyDescent="0.25">
      <c r="A31" s="1">
        <v>45936</v>
      </c>
      <c r="B31" t="e">
        <f>NA()</f>
        <v>#N/A</v>
      </c>
      <c r="C31" t="e">
        <f>NA()</f>
        <v>#N/A</v>
      </c>
      <c r="D31" t="e">
        <f>NA()</f>
        <v>#N/A</v>
      </c>
      <c r="E31" t="e">
        <f>NA()</f>
        <v>#N/A</v>
      </c>
      <c r="F31" t="e">
        <f>NA()</f>
        <v>#N/A</v>
      </c>
      <c r="G31" t="e">
        <f>NA()</f>
        <v>#N/A</v>
      </c>
      <c r="H31" t="e">
        <f>NA()</f>
        <v>#N/A</v>
      </c>
      <c r="I31" t="e">
        <f>NA()</f>
        <v>#N/A</v>
      </c>
      <c r="J31" t="e">
        <f>NA()</f>
        <v>#N/A</v>
      </c>
      <c r="K31" t="e">
        <f>NA()</f>
        <v>#N/A</v>
      </c>
      <c r="L31" t="e">
        <f>NA()</f>
        <v>#N/A</v>
      </c>
      <c r="M31" t="e">
        <f>NA()</f>
        <v>#N/A</v>
      </c>
      <c r="N31" t="e">
        <f>NA()</f>
        <v>#N/A</v>
      </c>
      <c r="O31">
        <f t="shared" si="1"/>
        <v>4.0999999999999996</v>
      </c>
    </row>
    <row r="32" spans="1:15" x14ac:dyDescent="0.25">
      <c r="A32" s="1">
        <v>45933</v>
      </c>
      <c r="B32">
        <f>-0.5</f>
        <v>-0.5</v>
      </c>
      <c r="C32">
        <f>0</f>
        <v>0</v>
      </c>
      <c r="D32" t="e">
        <f>NA()</f>
        <v>#N/A</v>
      </c>
      <c r="E32" t="e">
        <f>NA()</f>
        <v>#N/A</v>
      </c>
      <c r="F32" t="e">
        <f>NA()</f>
        <v>#N/A</v>
      </c>
      <c r="G32" t="e">
        <f>NA()</f>
        <v>#N/A</v>
      </c>
      <c r="H32" t="e">
        <f>NA()</f>
        <v>#N/A</v>
      </c>
      <c r="I32" t="e">
        <f>NA()</f>
        <v>#N/A</v>
      </c>
      <c r="J32" t="e">
        <f>NA()</f>
        <v>#N/A</v>
      </c>
      <c r="K32" t="e">
        <f>NA()</f>
        <v>#N/A</v>
      </c>
      <c r="L32" t="e">
        <f>NA()</f>
        <v>#N/A</v>
      </c>
      <c r="M32" t="e">
        <f>NA()</f>
        <v>#N/A</v>
      </c>
      <c r="N32" t="e">
        <f>NA()</f>
        <v>#N/A</v>
      </c>
      <c r="O32">
        <f t="shared" si="1"/>
        <v>4.0999999999999996</v>
      </c>
    </row>
    <row r="33" spans="1:15" x14ac:dyDescent="0.25">
      <c r="A33" s="1">
        <v>45932</v>
      </c>
      <c r="B33" t="e">
        <f>NA()</f>
        <v>#N/A</v>
      </c>
      <c r="C33" t="e">
        <f>NA()</f>
        <v>#N/A</v>
      </c>
      <c r="D33" t="e">
        <f>NA()</f>
        <v>#N/A</v>
      </c>
      <c r="E33" t="e">
        <f>NA()</f>
        <v>#N/A</v>
      </c>
      <c r="F33" t="e">
        <f>NA()</f>
        <v>#N/A</v>
      </c>
      <c r="G33" t="e">
        <f>NA()</f>
        <v>#N/A</v>
      </c>
      <c r="H33" t="e">
        <f>NA()</f>
        <v>#N/A</v>
      </c>
      <c r="I33" t="e">
        <f>NA()</f>
        <v>#N/A</v>
      </c>
      <c r="J33" t="e">
        <f>NA()</f>
        <v>#N/A</v>
      </c>
      <c r="K33" t="e">
        <f>NA()</f>
        <v>#N/A</v>
      </c>
      <c r="L33" t="e">
        <f>NA()</f>
        <v>#N/A</v>
      </c>
      <c r="M33" t="e">
        <f>NA()</f>
        <v>#N/A</v>
      </c>
      <c r="N33" t="e">
        <f>NA()</f>
        <v>#N/A</v>
      </c>
      <c r="O33">
        <f t="shared" si="1"/>
        <v>4.0999999999999996</v>
      </c>
    </row>
    <row r="34" spans="1:15" x14ac:dyDescent="0.25">
      <c r="A34" s="1">
        <v>45931</v>
      </c>
      <c r="B34" t="e">
        <f>NA()</f>
        <v>#N/A</v>
      </c>
      <c r="C34" t="e">
        <f>NA()</f>
        <v>#N/A</v>
      </c>
      <c r="D34" t="e">
        <f>NA()</f>
        <v>#N/A</v>
      </c>
      <c r="E34" t="e">
        <f>NA()</f>
        <v>#N/A</v>
      </c>
      <c r="F34" t="e">
        <f>NA()</f>
        <v>#N/A</v>
      </c>
      <c r="G34" t="e">
        <f>NA()</f>
        <v>#N/A</v>
      </c>
      <c r="H34" t="e">
        <f>NA()</f>
        <v>#N/A</v>
      </c>
      <c r="I34" t="e">
        <f>NA()</f>
        <v>#N/A</v>
      </c>
      <c r="J34" t="e">
        <f>NA()</f>
        <v>#N/A</v>
      </c>
      <c r="K34" t="e">
        <f>NA()</f>
        <v>#N/A</v>
      </c>
      <c r="L34" t="e">
        <f>NA()</f>
        <v>#N/A</v>
      </c>
      <c r="M34" t="e">
        <f>NA()</f>
        <v>#N/A</v>
      </c>
      <c r="N34" t="e">
        <f>NA()</f>
        <v>#N/A</v>
      </c>
      <c r="O34">
        <f t="shared" si="1"/>
        <v>4.0999999999999996</v>
      </c>
    </row>
    <row r="35" spans="1:15" x14ac:dyDescent="0.25">
      <c r="A35" s="1">
        <v>45930</v>
      </c>
      <c r="B35" t="e">
        <f>NA()</f>
        <v>#N/A</v>
      </c>
      <c r="C35" t="e">
        <f>NA()</f>
        <v>#N/A</v>
      </c>
      <c r="D35" t="e">
        <f>NA()</f>
        <v>#N/A</v>
      </c>
      <c r="E35" t="e">
        <f>NA()</f>
        <v>#N/A</v>
      </c>
      <c r="F35" t="e">
        <f>NA()</f>
        <v>#N/A</v>
      </c>
      <c r="G35" t="e">
        <f>NA()</f>
        <v>#N/A</v>
      </c>
      <c r="H35" t="e">
        <f>NA()</f>
        <v>#N/A</v>
      </c>
      <c r="I35">
        <f>324.8</f>
        <v>324.8</v>
      </c>
      <c r="J35">
        <f>3</f>
        <v>3</v>
      </c>
      <c r="K35">
        <f>49.1</f>
        <v>49.1</v>
      </c>
      <c r="L35" t="e">
        <f>NA()</f>
        <v>#N/A</v>
      </c>
      <c r="M35" t="e">
        <f>NA()</f>
        <v>#N/A</v>
      </c>
      <c r="N35" t="e">
        <f>NA()</f>
        <v>#N/A</v>
      </c>
      <c r="O35">
        <f t="shared" si="1"/>
        <v>4.0999999999999996</v>
      </c>
    </row>
    <row r="36" spans="1:15" x14ac:dyDescent="0.25">
      <c r="A36" s="1">
        <v>45929</v>
      </c>
      <c r="B36" t="e">
        <f>NA()</f>
        <v>#N/A</v>
      </c>
      <c r="C36" t="e">
        <f>NA()</f>
        <v>#N/A</v>
      </c>
      <c r="D36" t="e">
        <f>NA()</f>
        <v>#N/A</v>
      </c>
      <c r="E36" t="e">
        <f>NA()</f>
        <v>#N/A</v>
      </c>
      <c r="F36" t="e">
        <f>NA()</f>
        <v>#N/A</v>
      </c>
      <c r="G36" t="e">
        <f>NA()</f>
        <v>#N/A</v>
      </c>
      <c r="H36" t="e">
        <f>NA()</f>
        <v>#N/A</v>
      </c>
      <c r="I36" t="e">
        <f>NA()</f>
        <v>#N/A</v>
      </c>
      <c r="J36" t="e">
        <f>NA()</f>
        <v>#N/A</v>
      </c>
      <c r="K36" t="e">
        <f>NA()</f>
        <v>#N/A</v>
      </c>
      <c r="L36" t="e">
        <f>NA()</f>
        <v>#N/A</v>
      </c>
      <c r="M36" t="e">
        <f>NA()</f>
        <v>#N/A</v>
      </c>
      <c r="N36" t="e">
        <f>NA()</f>
        <v>#N/A</v>
      </c>
      <c r="O36">
        <f t="shared" si="1"/>
        <v>4.0999999999999996</v>
      </c>
    </row>
    <row r="37" spans="1:15" x14ac:dyDescent="0.25">
      <c r="A37" s="1">
        <v>45926</v>
      </c>
      <c r="B37">
        <f>-0.5</f>
        <v>-0.5</v>
      </c>
      <c r="C37">
        <f>0</f>
        <v>0</v>
      </c>
      <c r="D37" t="e">
        <f>NA()</f>
        <v>#N/A</v>
      </c>
      <c r="E37" t="e">
        <f>NA()</f>
        <v>#N/A</v>
      </c>
      <c r="F37" t="e">
        <f>NA()</f>
        <v>#N/A</v>
      </c>
      <c r="G37" t="e">
        <f>NA()</f>
        <v>#N/A</v>
      </c>
      <c r="H37" t="e">
        <f>NA()</f>
        <v>#N/A</v>
      </c>
      <c r="I37" t="e">
        <f>NA()</f>
        <v>#N/A</v>
      </c>
      <c r="J37" t="e">
        <f>NA()</f>
        <v>#N/A</v>
      </c>
      <c r="K37" t="e">
        <f>NA()</f>
        <v>#N/A</v>
      </c>
      <c r="L37" t="e">
        <f>NA()</f>
        <v>#N/A</v>
      </c>
      <c r="M37" t="e">
        <f>NA()</f>
        <v>#N/A</v>
      </c>
      <c r="N37" t="e">
        <f>NA()</f>
        <v>#N/A</v>
      </c>
      <c r="O37">
        <f t="shared" si="1"/>
        <v>4.0999999999999996</v>
      </c>
    </row>
    <row r="38" spans="1:15" x14ac:dyDescent="0.25">
      <c r="A38" s="1">
        <v>45925</v>
      </c>
      <c r="B38" t="e">
        <f>NA()</f>
        <v>#N/A</v>
      </c>
      <c r="C38" t="e">
        <f>NA()</f>
        <v>#N/A</v>
      </c>
      <c r="D38" t="e">
        <f>NA()</f>
        <v>#N/A</v>
      </c>
      <c r="E38" t="e">
        <f>NA()</f>
        <v>#N/A</v>
      </c>
      <c r="F38" t="e">
        <f>NA()</f>
        <v>#N/A</v>
      </c>
      <c r="G38" t="e">
        <f>NA()</f>
        <v>#N/A</v>
      </c>
      <c r="H38" t="e">
        <f>NA()</f>
        <v>#N/A</v>
      </c>
      <c r="I38" t="e">
        <f>NA()</f>
        <v>#N/A</v>
      </c>
      <c r="J38" t="e">
        <f>NA()</f>
        <v>#N/A</v>
      </c>
      <c r="K38" t="e">
        <f>NA()</f>
        <v>#N/A</v>
      </c>
      <c r="L38" t="e">
        <f>NA()</f>
        <v>#N/A</v>
      </c>
      <c r="M38" t="e">
        <f>NA()</f>
        <v>#N/A</v>
      </c>
      <c r="N38" t="e">
        <f>NA()</f>
        <v>#N/A</v>
      </c>
      <c r="O38">
        <f t="shared" si="1"/>
        <v>4.0999999999999996</v>
      </c>
    </row>
    <row r="39" spans="1:15" x14ac:dyDescent="0.25">
      <c r="A39" s="1">
        <v>45924</v>
      </c>
      <c r="B39" t="e">
        <f>NA()</f>
        <v>#N/A</v>
      </c>
      <c r="C39" t="e">
        <f>NA()</f>
        <v>#N/A</v>
      </c>
      <c r="D39" t="e">
        <f>NA()</f>
        <v>#N/A</v>
      </c>
      <c r="E39" t="e">
        <f>NA()</f>
        <v>#N/A</v>
      </c>
      <c r="F39" t="e">
        <f>NA()</f>
        <v>#N/A</v>
      </c>
      <c r="G39" t="e">
        <f>NA()</f>
        <v>#N/A</v>
      </c>
      <c r="H39" t="e">
        <f>NA()</f>
        <v>#N/A</v>
      </c>
      <c r="I39" t="e">
        <f>NA()</f>
        <v>#N/A</v>
      </c>
      <c r="J39" t="e">
        <f>NA()</f>
        <v>#N/A</v>
      </c>
      <c r="K39" t="e">
        <f>NA()</f>
        <v>#N/A</v>
      </c>
      <c r="L39" t="e">
        <f>NA()</f>
        <v>#N/A</v>
      </c>
      <c r="M39" t="e">
        <f>NA()</f>
        <v>#N/A</v>
      </c>
      <c r="N39" t="e">
        <f>NA()</f>
        <v>#N/A</v>
      </c>
      <c r="O39">
        <f t="shared" si="1"/>
        <v>4.0999999999999996</v>
      </c>
    </row>
    <row r="40" spans="1:15" x14ac:dyDescent="0.25">
      <c r="A40" s="1">
        <v>45923</v>
      </c>
      <c r="B40" t="e">
        <f>NA()</f>
        <v>#N/A</v>
      </c>
      <c r="C40" t="e">
        <f>NA()</f>
        <v>#N/A</v>
      </c>
      <c r="D40" t="e">
        <f>NA()</f>
        <v>#N/A</v>
      </c>
      <c r="E40" t="e">
        <f>NA()</f>
        <v>#N/A</v>
      </c>
      <c r="F40" t="e">
        <f>NA()</f>
        <v>#N/A</v>
      </c>
      <c r="G40" t="e">
        <f>NA()</f>
        <v>#N/A</v>
      </c>
      <c r="H40" t="e">
        <f>NA()</f>
        <v>#N/A</v>
      </c>
      <c r="I40" t="e">
        <f>NA()</f>
        <v>#N/A</v>
      </c>
      <c r="J40" t="e">
        <f>NA()</f>
        <v>#N/A</v>
      </c>
      <c r="K40" t="e">
        <f>NA()</f>
        <v>#N/A</v>
      </c>
      <c r="L40" t="e">
        <f>NA()</f>
        <v>#N/A</v>
      </c>
      <c r="M40" t="e">
        <f>NA()</f>
        <v>#N/A</v>
      </c>
      <c r="N40" t="e">
        <f>NA()</f>
        <v>#N/A</v>
      </c>
      <c r="O40">
        <f t="shared" si="1"/>
        <v>4.0999999999999996</v>
      </c>
    </row>
    <row r="41" spans="1:15" x14ac:dyDescent="0.25">
      <c r="A41" s="1">
        <v>45922</v>
      </c>
      <c r="B41" t="e">
        <f>NA()</f>
        <v>#N/A</v>
      </c>
      <c r="C41" t="e">
        <f>NA()</f>
        <v>#N/A</v>
      </c>
      <c r="D41" t="e">
        <f>NA()</f>
        <v>#N/A</v>
      </c>
      <c r="E41" t="e">
        <f>NA()</f>
        <v>#N/A</v>
      </c>
      <c r="F41" t="e">
        <f>NA()</f>
        <v>#N/A</v>
      </c>
      <c r="G41" t="e">
        <f>NA()</f>
        <v>#N/A</v>
      </c>
      <c r="H41" t="e">
        <f>NA()</f>
        <v>#N/A</v>
      </c>
      <c r="I41" t="e">
        <f>NA()</f>
        <v>#N/A</v>
      </c>
      <c r="J41" t="e">
        <f>NA()</f>
        <v>#N/A</v>
      </c>
      <c r="K41" t="e">
        <f>NA()</f>
        <v>#N/A</v>
      </c>
      <c r="L41" t="e">
        <f>NA()</f>
        <v>#N/A</v>
      </c>
      <c r="M41" t="e">
        <f>NA()</f>
        <v>#N/A</v>
      </c>
      <c r="N41" t="e">
        <f>NA()</f>
        <v>#N/A</v>
      </c>
      <c r="O41">
        <f t="shared" si="1"/>
        <v>4.0999999999999996</v>
      </c>
    </row>
    <row r="42" spans="1:15" x14ac:dyDescent="0.25">
      <c r="A42" s="1">
        <v>45919</v>
      </c>
      <c r="B42">
        <f>-0.6</f>
        <v>-0.6</v>
      </c>
      <c r="C42">
        <f>0</f>
        <v>0</v>
      </c>
      <c r="D42" t="e">
        <f>NA()</f>
        <v>#N/A</v>
      </c>
      <c r="E42" t="e">
        <f>NA()</f>
        <v>#N/A</v>
      </c>
      <c r="F42" t="e">
        <f>NA()</f>
        <v>#N/A</v>
      </c>
      <c r="G42" t="e">
        <f>NA()</f>
        <v>#N/A</v>
      </c>
      <c r="H42" t="e">
        <f>NA()</f>
        <v>#N/A</v>
      </c>
      <c r="I42" t="e">
        <f>NA()</f>
        <v>#N/A</v>
      </c>
      <c r="J42" t="e">
        <f>NA()</f>
        <v>#N/A</v>
      </c>
      <c r="K42" t="e">
        <f>NA()</f>
        <v>#N/A</v>
      </c>
      <c r="L42" t="e">
        <f>NA()</f>
        <v>#N/A</v>
      </c>
      <c r="M42" t="e">
        <f>NA()</f>
        <v>#N/A</v>
      </c>
      <c r="N42" t="e">
        <f>NA()</f>
        <v>#N/A</v>
      </c>
      <c r="O42">
        <f t="shared" si="1"/>
        <v>4.0999999999999996</v>
      </c>
    </row>
    <row r="43" spans="1:15" x14ac:dyDescent="0.25">
      <c r="A43" s="1">
        <v>45918</v>
      </c>
      <c r="B43" t="e">
        <f>NA()</f>
        <v>#N/A</v>
      </c>
      <c r="C43" t="e">
        <f>NA()</f>
        <v>#N/A</v>
      </c>
      <c r="D43" t="e">
        <f>NA()</f>
        <v>#N/A</v>
      </c>
      <c r="E43" t="e">
        <f>NA()</f>
        <v>#N/A</v>
      </c>
      <c r="F43" t="e">
        <f>NA()</f>
        <v>#N/A</v>
      </c>
      <c r="G43" t="e">
        <f>NA()</f>
        <v>#N/A</v>
      </c>
      <c r="H43" t="e">
        <f>NA()</f>
        <v>#N/A</v>
      </c>
      <c r="I43" t="e">
        <f>NA()</f>
        <v>#N/A</v>
      </c>
      <c r="J43" t="e">
        <f>NA()</f>
        <v>#N/A</v>
      </c>
      <c r="K43" t="e">
        <f>NA()</f>
        <v>#N/A</v>
      </c>
      <c r="L43" t="e">
        <f>NA()</f>
        <v>#N/A</v>
      </c>
      <c r="M43" t="e">
        <f>NA()</f>
        <v>#N/A</v>
      </c>
      <c r="N43" t="e">
        <f>NA()</f>
        <v>#N/A</v>
      </c>
      <c r="O43">
        <f t="shared" si="1"/>
        <v>4.0999999999999996</v>
      </c>
    </row>
    <row r="44" spans="1:15" x14ac:dyDescent="0.25">
      <c r="A44" s="1">
        <v>45917</v>
      </c>
      <c r="B44" t="e">
        <f>NA()</f>
        <v>#N/A</v>
      </c>
      <c r="C44" t="e">
        <f>NA()</f>
        <v>#N/A</v>
      </c>
      <c r="D44" t="e">
        <f>NA()</f>
        <v>#N/A</v>
      </c>
      <c r="E44" t="e">
        <f>NA()</f>
        <v>#N/A</v>
      </c>
      <c r="F44" t="e">
        <f>NA()</f>
        <v>#N/A</v>
      </c>
      <c r="G44" t="e">
        <f>NA()</f>
        <v>#N/A</v>
      </c>
      <c r="H44" t="e">
        <f>NA()</f>
        <v>#N/A</v>
      </c>
      <c r="I44" t="e">
        <f>NA()</f>
        <v>#N/A</v>
      </c>
      <c r="J44" t="e">
        <f>NA()</f>
        <v>#N/A</v>
      </c>
      <c r="K44" t="e">
        <f>NA()</f>
        <v>#N/A</v>
      </c>
      <c r="L44" t="e">
        <f>NA()</f>
        <v>#N/A</v>
      </c>
      <c r="M44" t="e">
        <f>NA()</f>
        <v>#N/A</v>
      </c>
      <c r="N44" t="e">
        <f>NA()</f>
        <v>#N/A</v>
      </c>
      <c r="O44">
        <f t="shared" ref="O44:O55" si="2">4.3</f>
        <v>4.3</v>
      </c>
    </row>
    <row r="45" spans="1:15" x14ac:dyDescent="0.25">
      <c r="A45" s="1">
        <v>45916</v>
      </c>
      <c r="B45" t="e">
        <f>NA()</f>
        <v>#N/A</v>
      </c>
      <c r="C45" t="e">
        <f>NA()</f>
        <v>#N/A</v>
      </c>
      <c r="D45" t="e">
        <f>NA()</f>
        <v>#N/A</v>
      </c>
      <c r="E45" t="e">
        <f>NA()</f>
        <v>#N/A</v>
      </c>
      <c r="F45" t="e">
        <f>NA()</f>
        <v>#N/A</v>
      </c>
      <c r="G45" t="e">
        <f>NA()</f>
        <v>#N/A</v>
      </c>
      <c r="H45" t="e">
        <f>NA()</f>
        <v>#N/A</v>
      </c>
      <c r="I45" t="e">
        <f>NA()</f>
        <v>#N/A</v>
      </c>
      <c r="J45" t="e">
        <f>NA()</f>
        <v>#N/A</v>
      </c>
      <c r="K45" t="e">
        <f>NA()</f>
        <v>#N/A</v>
      </c>
      <c r="L45" t="e">
        <f>NA()</f>
        <v>#N/A</v>
      </c>
      <c r="M45" t="e">
        <f>NA()</f>
        <v>#N/A</v>
      </c>
      <c r="N45" t="e">
        <f>NA()</f>
        <v>#N/A</v>
      </c>
      <c r="O45">
        <f t="shared" si="2"/>
        <v>4.3</v>
      </c>
    </row>
    <row r="46" spans="1:15" x14ac:dyDescent="0.25">
      <c r="A46" s="1">
        <v>45915</v>
      </c>
      <c r="B46" t="e">
        <f>NA()</f>
        <v>#N/A</v>
      </c>
      <c r="C46" t="e">
        <f>NA()</f>
        <v>#N/A</v>
      </c>
      <c r="D46" t="e">
        <f>NA()</f>
        <v>#N/A</v>
      </c>
      <c r="E46" t="e">
        <f>NA()</f>
        <v>#N/A</v>
      </c>
      <c r="F46" t="e">
        <f>NA()</f>
        <v>#N/A</v>
      </c>
      <c r="G46" t="e">
        <f>NA()</f>
        <v>#N/A</v>
      </c>
      <c r="H46" t="e">
        <f>NA()</f>
        <v>#N/A</v>
      </c>
      <c r="I46" t="e">
        <f>NA()</f>
        <v>#N/A</v>
      </c>
      <c r="J46" t="e">
        <f>NA()</f>
        <v>#N/A</v>
      </c>
      <c r="K46" t="e">
        <f>NA()</f>
        <v>#N/A</v>
      </c>
      <c r="L46" t="e">
        <f>NA()</f>
        <v>#N/A</v>
      </c>
      <c r="M46" t="e">
        <f>NA()</f>
        <v>#N/A</v>
      </c>
      <c r="N46" t="e">
        <f>NA()</f>
        <v>#N/A</v>
      </c>
      <c r="O46">
        <f t="shared" si="2"/>
        <v>4.3</v>
      </c>
    </row>
    <row r="47" spans="1:15" x14ac:dyDescent="0.25">
      <c r="A47" s="1">
        <v>45912</v>
      </c>
      <c r="B47">
        <f>-0.6</f>
        <v>-0.6</v>
      </c>
      <c r="C47">
        <f>0</f>
        <v>0</v>
      </c>
      <c r="D47" t="e">
        <f>NA()</f>
        <v>#N/A</v>
      </c>
      <c r="E47" t="e">
        <f>NA()</f>
        <v>#N/A</v>
      </c>
      <c r="F47" t="e">
        <f>NA()</f>
        <v>#N/A</v>
      </c>
      <c r="G47" t="e">
        <f>NA()</f>
        <v>#N/A</v>
      </c>
      <c r="H47" t="e">
        <f>NA()</f>
        <v>#N/A</v>
      </c>
      <c r="I47" t="e">
        <f>NA()</f>
        <v>#N/A</v>
      </c>
      <c r="J47" t="e">
        <f>NA()</f>
        <v>#N/A</v>
      </c>
      <c r="K47" t="e">
        <f>NA()</f>
        <v>#N/A</v>
      </c>
      <c r="L47" t="e">
        <f>NA()</f>
        <v>#N/A</v>
      </c>
      <c r="M47" t="e">
        <f>NA()</f>
        <v>#N/A</v>
      </c>
      <c r="N47" t="e">
        <f>NA()</f>
        <v>#N/A</v>
      </c>
      <c r="O47">
        <f t="shared" si="2"/>
        <v>4.3</v>
      </c>
    </row>
    <row r="48" spans="1:15" x14ac:dyDescent="0.25">
      <c r="A48" s="1">
        <v>45911</v>
      </c>
      <c r="B48" t="e">
        <f>NA()</f>
        <v>#N/A</v>
      </c>
      <c r="C48" t="e">
        <f>NA()</f>
        <v>#N/A</v>
      </c>
      <c r="D48" t="e">
        <f>NA()</f>
        <v>#N/A</v>
      </c>
      <c r="E48" t="e">
        <f>NA()</f>
        <v>#N/A</v>
      </c>
      <c r="F48" t="e">
        <f>NA()</f>
        <v>#N/A</v>
      </c>
      <c r="G48" t="e">
        <f>NA()</f>
        <v>#N/A</v>
      </c>
      <c r="H48" t="e">
        <f>NA()</f>
        <v>#N/A</v>
      </c>
      <c r="I48" t="e">
        <f>NA()</f>
        <v>#N/A</v>
      </c>
      <c r="J48" t="e">
        <f>NA()</f>
        <v>#N/A</v>
      </c>
      <c r="K48" t="e">
        <f>NA()</f>
        <v>#N/A</v>
      </c>
      <c r="L48" t="e">
        <f>NA()</f>
        <v>#N/A</v>
      </c>
      <c r="M48" t="e">
        <f>NA()</f>
        <v>#N/A</v>
      </c>
      <c r="N48" t="e">
        <f>NA()</f>
        <v>#N/A</v>
      </c>
      <c r="O48">
        <f t="shared" si="2"/>
        <v>4.3</v>
      </c>
    </row>
    <row r="49" spans="1:15" x14ac:dyDescent="0.25">
      <c r="A49" s="1">
        <v>45910</v>
      </c>
      <c r="B49" t="e">
        <f>NA()</f>
        <v>#N/A</v>
      </c>
      <c r="C49" t="e">
        <f>NA()</f>
        <v>#N/A</v>
      </c>
      <c r="D49" t="e">
        <f>NA()</f>
        <v>#N/A</v>
      </c>
      <c r="E49" t="e">
        <f>NA()</f>
        <v>#N/A</v>
      </c>
      <c r="F49" t="e">
        <f>NA()</f>
        <v>#N/A</v>
      </c>
      <c r="G49" t="e">
        <f>NA()</f>
        <v>#N/A</v>
      </c>
      <c r="H49" t="e">
        <f>NA()</f>
        <v>#N/A</v>
      </c>
      <c r="I49" t="e">
        <f>NA()</f>
        <v>#N/A</v>
      </c>
      <c r="J49" t="e">
        <f>NA()</f>
        <v>#N/A</v>
      </c>
      <c r="K49" t="e">
        <f>NA()</f>
        <v>#N/A</v>
      </c>
      <c r="L49" t="e">
        <f>NA()</f>
        <v>#N/A</v>
      </c>
      <c r="M49" t="e">
        <f>NA()</f>
        <v>#N/A</v>
      </c>
      <c r="N49" t="e">
        <f>NA()</f>
        <v>#N/A</v>
      </c>
      <c r="O49">
        <f t="shared" si="2"/>
        <v>4.3</v>
      </c>
    </row>
    <row r="50" spans="1:15" x14ac:dyDescent="0.25">
      <c r="A50" s="1">
        <v>45909</v>
      </c>
      <c r="B50" t="e">
        <f>NA()</f>
        <v>#N/A</v>
      </c>
      <c r="C50" t="e">
        <f>NA()</f>
        <v>#N/A</v>
      </c>
      <c r="D50" t="e">
        <f>NA()</f>
        <v>#N/A</v>
      </c>
      <c r="E50" t="e">
        <f>NA()</f>
        <v>#N/A</v>
      </c>
      <c r="F50" t="e">
        <f>NA()</f>
        <v>#N/A</v>
      </c>
      <c r="G50" t="e">
        <f>NA()</f>
        <v>#N/A</v>
      </c>
      <c r="H50" t="e">
        <f>NA()</f>
        <v>#N/A</v>
      </c>
      <c r="I50" t="e">
        <f>NA()</f>
        <v>#N/A</v>
      </c>
      <c r="J50" t="e">
        <f>NA()</f>
        <v>#N/A</v>
      </c>
      <c r="K50" t="e">
        <f>NA()</f>
        <v>#N/A</v>
      </c>
      <c r="L50" t="e">
        <f>NA()</f>
        <v>#N/A</v>
      </c>
      <c r="M50" t="e">
        <f>NA()</f>
        <v>#N/A</v>
      </c>
      <c r="N50" t="e">
        <f>NA()</f>
        <v>#N/A</v>
      </c>
      <c r="O50">
        <f t="shared" si="2"/>
        <v>4.3</v>
      </c>
    </row>
    <row r="51" spans="1:15" x14ac:dyDescent="0.25">
      <c r="A51" s="1">
        <v>45908</v>
      </c>
      <c r="B51" t="e">
        <f>NA()</f>
        <v>#N/A</v>
      </c>
      <c r="C51" t="e">
        <f>NA()</f>
        <v>#N/A</v>
      </c>
      <c r="D51" t="e">
        <f>NA()</f>
        <v>#N/A</v>
      </c>
      <c r="E51" t="e">
        <f>NA()</f>
        <v>#N/A</v>
      </c>
      <c r="F51" t="e">
        <f>NA()</f>
        <v>#N/A</v>
      </c>
      <c r="G51" t="e">
        <f>NA()</f>
        <v>#N/A</v>
      </c>
      <c r="H51" t="e">
        <f>NA()</f>
        <v>#N/A</v>
      </c>
      <c r="I51" t="e">
        <f>NA()</f>
        <v>#N/A</v>
      </c>
      <c r="J51" t="e">
        <f>NA()</f>
        <v>#N/A</v>
      </c>
      <c r="K51" t="e">
        <f>NA()</f>
        <v>#N/A</v>
      </c>
      <c r="L51" t="e">
        <f>NA()</f>
        <v>#N/A</v>
      </c>
      <c r="M51" t="e">
        <f>NA()</f>
        <v>#N/A</v>
      </c>
      <c r="N51" t="e">
        <f>NA()</f>
        <v>#N/A</v>
      </c>
      <c r="O51">
        <f t="shared" si="2"/>
        <v>4.3</v>
      </c>
    </row>
    <row r="52" spans="1:15" x14ac:dyDescent="0.25">
      <c r="A52" s="1">
        <v>45905</v>
      </c>
      <c r="B52">
        <f>-0.4</f>
        <v>-0.4</v>
      </c>
      <c r="C52">
        <f>0</f>
        <v>0</v>
      </c>
      <c r="D52" t="e">
        <f>NA()</f>
        <v>#N/A</v>
      </c>
      <c r="E52" t="e">
        <f>NA()</f>
        <v>#N/A</v>
      </c>
      <c r="F52" t="e">
        <f>NA()</f>
        <v>#N/A</v>
      </c>
      <c r="G52" t="e">
        <f>NA()</f>
        <v>#N/A</v>
      </c>
      <c r="H52" t="e">
        <f>NA()</f>
        <v>#N/A</v>
      </c>
      <c r="I52" t="e">
        <f>NA()</f>
        <v>#N/A</v>
      </c>
      <c r="J52" t="e">
        <f>NA()</f>
        <v>#N/A</v>
      </c>
      <c r="K52" t="e">
        <f>NA()</f>
        <v>#N/A</v>
      </c>
      <c r="L52" t="e">
        <f>NA()</f>
        <v>#N/A</v>
      </c>
      <c r="M52" t="e">
        <f>NA()</f>
        <v>#N/A</v>
      </c>
      <c r="N52" t="e">
        <f>NA()</f>
        <v>#N/A</v>
      </c>
      <c r="O52">
        <f t="shared" si="2"/>
        <v>4.3</v>
      </c>
    </row>
    <row r="53" spans="1:15" x14ac:dyDescent="0.25">
      <c r="A53" s="1">
        <v>45904</v>
      </c>
      <c r="B53" t="e">
        <f>NA()</f>
        <v>#N/A</v>
      </c>
      <c r="C53" t="e">
        <f>NA()</f>
        <v>#N/A</v>
      </c>
      <c r="D53" t="e">
        <f>NA()</f>
        <v>#N/A</v>
      </c>
      <c r="E53" t="e">
        <f>NA()</f>
        <v>#N/A</v>
      </c>
      <c r="F53" t="e">
        <f>NA()</f>
        <v>#N/A</v>
      </c>
      <c r="G53" t="e">
        <f>NA()</f>
        <v>#N/A</v>
      </c>
      <c r="H53" t="e">
        <f>NA()</f>
        <v>#N/A</v>
      </c>
      <c r="I53" t="e">
        <f>NA()</f>
        <v>#N/A</v>
      </c>
      <c r="J53" t="e">
        <f>NA()</f>
        <v>#N/A</v>
      </c>
      <c r="K53" t="e">
        <f>NA()</f>
        <v>#N/A</v>
      </c>
      <c r="L53" t="e">
        <f>NA()</f>
        <v>#N/A</v>
      </c>
      <c r="M53" t="e">
        <f>NA()</f>
        <v>#N/A</v>
      </c>
      <c r="N53" t="e">
        <f>NA()</f>
        <v>#N/A</v>
      </c>
      <c r="O53">
        <f t="shared" si="2"/>
        <v>4.3</v>
      </c>
    </row>
    <row r="54" spans="1:15" x14ac:dyDescent="0.25">
      <c r="A54" s="1">
        <v>45903</v>
      </c>
      <c r="B54" t="e">
        <f>NA()</f>
        <v>#N/A</v>
      </c>
      <c r="C54" t="e">
        <f>NA()</f>
        <v>#N/A</v>
      </c>
      <c r="D54" t="e">
        <f>NA()</f>
        <v>#N/A</v>
      </c>
      <c r="E54" t="e">
        <f>NA()</f>
        <v>#N/A</v>
      </c>
      <c r="F54" t="e">
        <f>NA()</f>
        <v>#N/A</v>
      </c>
      <c r="G54" t="e">
        <f>NA()</f>
        <v>#N/A</v>
      </c>
      <c r="H54" t="e">
        <f>NA()</f>
        <v>#N/A</v>
      </c>
      <c r="I54" t="e">
        <f>NA()</f>
        <v>#N/A</v>
      </c>
      <c r="J54" t="e">
        <f>NA()</f>
        <v>#N/A</v>
      </c>
      <c r="K54" t="e">
        <f>NA()</f>
        <v>#N/A</v>
      </c>
      <c r="L54" t="e">
        <f>NA()</f>
        <v>#N/A</v>
      </c>
      <c r="M54" t="e">
        <f>NA()</f>
        <v>#N/A</v>
      </c>
      <c r="N54" t="e">
        <f>NA()</f>
        <v>#N/A</v>
      </c>
      <c r="O54">
        <f t="shared" si="2"/>
        <v>4.3</v>
      </c>
    </row>
    <row r="55" spans="1:15" x14ac:dyDescent="0.25">
      <c r="A55" s="1">
        <v>45902</v>
      </c>
      <c r="B55" t="e">
        <f>NA()</f>
        <v>#N/A</v>
      </c>
      <c r="C55" t="e">
        <f>NA()</f>
        <v>#N/A</v>
      </c>
      <c r="D55" t="e">
        <f>NA()</f>
        <v>#N/A</v>
      </c>
      <c r="E55" t="e">
        <f>NA()</f>
        <v>#N/A</v>
      </c>
      <c r="F55" t="e">
        <f>NA()</f>
        <v>#N/A</v>
      </c>
      <c r="G55" t="e">
        <f>NA()</f>
        <v>#N/A</v>
      </c>
      <c r="H55" t="e">
        <f>NA()</f>
        <v>#N/A</v>
      </c>
      <c r="I55" t="e">
        <f>NA()</f>
        <v>#N/A</v>
      </c>
      <c r="J55" t="e">
        <f>NA()</f>
        <v>#N/A</v>
      </c>
      <c r="K55" t="e">
        <f>NA()</f>
        <v>#N/A</v>
      </c>
      <c r="L55" t="e">
        <f>NA()</f>
        <v>#N/A</v>
      </c>
      <c r="M55" t="e">
        <f>NA()</f>
        <v>#N/A</v>
      </c>
      <c r="N55" t="e">
        <f>NA()</f>
        <v>#N/A</v>
      </c>
      <c r="O55">
        <f t="shared" si="2"/>
        <v>4.3</v>
      </c>
    </row>
    <row r="56" spans="1:15" x14ac:dyDescent="0.25">
      <c r="A56" s="1">
        <v>45900</v>
      </c>
      <c r="B56" t="e">
        <f>NA()</f>
        <v>#N/A</v>
      </c>
      <c r="C56" t="e">
        <f>NA()</f>
        <v>#N/A</v>
      </c>
      <c r="D56">
        <f>0.3</f>
        <v>0.3</v>
      </c>
      <c r="E56">
        <f>0.7</f>
        <v>0.7</v>
      </c>
      <c r="F56">
        <f>7227</f>
        <v>7227</v>
      </c>
      <c r="G56">
        <f>62.3</f>
        <v>62.3</v>
      </c>
      <c r="H56">
        <f>5.6</f>
        <v>5.6</v>
      </c>
      <c r="I56">
        <f>324</f>
        <v>324</v>
      </c>
      <c r="J56">
        <f>2.9</f>
        <v>2.9</v>
      </c>
      <c r="K56">
        <f>48.7</f>
        <v>48.7</v>
      </c>
      <c r="L56">
        <f>0.1</f>
        <v>0.1</v>
      </c>
      <c r="M56" t="e">
        <f>NA()</f>
        <v>#N/A</v>
      </c>
      <c r="N56">
        <f>4.3</f>
        <v>4.3</v>
      </c>
      <c r="O56" t="e">
        <f>NA()</f>
        <v>#N/A</v>
      </c>
    </row>
    <row r="57" spans="1:15" x14ac:dyDescent="0.25">
      <c r="A57" s="1">
        <v>45898</v>
      </c>
      <c r="B57">
        <f>-0.6</f>
        <v>-0.6</v>
      </c>
      <c r="C57">
        <f>0</f>
        <v>0</v>
      </c>
      <c r="D57" t="e">
        <f>NA()</f>
        <v>#N/A</v>
      </c>
      <c r="E57" t="e">
        <f>NA()</f>
        <v>#N/A</v>
      </c>
      <c r="F57" t="e">
        <f>NA()</f>
        <v>#N/A</v>
      </c>
      <c r="G57" t="e">
        <f>NA()</f>
        <v>#N/A</v>
      </c>
      <c r="H57" t="e">
        <f>NA()</f>
        <v>#N/A</v>
      </c>
      <c r="I57" t="e">
        <f>NA()</f>
        <v>#N/A</v>
      </c>
      <c r="J57" t="e">
        <f>NA()</f>
        <v>#N/A</v>
      </c>
      <c r="K57" t="e">
        <f>NA()</f>
        <v>#N/A</v>
      </c>
      <c r="L57" t="e">
        <f>NA()</f>
        <v>#N/A</v>
      </c>
      <c r="M57" t="e">
        <f>NA()</f>
        <v>#N/A</v>
      </c>
      <c r="N57" t="e">
        <f>NA()</f>
        <v>#N/A</v>
      </c>
      <c r="O57">
        <f t="shared" ref="O57:O96" si="3">4.3</f>
        <v>4.3</v>
      </c>
    </row>
    <row r="58" spans="1:15" x14ac:dyDescent="0.25">
      <c r="A58" s="1">
        <v>45897</v>
      </c>
      <c r="B58" t="e">
        <f>NA()</f>
        <v>#N/A</v>
      </c>
      <c r="C58" t="e">
        <f>NA()</f>
        <v>#N/A</v>
      </c>
      <c r="D58" t="e">
        <f>NA()</f>
        <v>#N/A</v>
      </c>
      <c r="E58" t="e">
        <f>NA()</f>
        <v>#N/A</v>
      </c>
      <c r="F58" t="e">
        <f>NA()</f>
        <v>#N/A</v>
      </c>
      <c r="G58" t="e">
        <f>NA()</f>
        <v>#N/A</v>
      </c>
      <c r="H58" t="e">
        <f>NA()</f>
        <v>#N/A</v>
      </c>
      <c r="I58" t="e">
        <f>NA()</f>
        <v>#N/A</v>
      </c>
      <c r="J58" t="e">
        <f>NA()</f>
        <v>#N/A</v>
      </c>
      <c r="K58" t="e">
        <f>NA()</f>
        <v>#N/A</v>
      </c>
      <c r="L58" t="e">
        <f>NA()</f>
        <v>#N/A</v>
      </c>
      <c r="M58" t="e">
        <f>NA()</f>
        <v>#N/A</v>
      </c>
      <c r="N58" t="e">
        <f>NA()</f>
        <v>#N/A</v>
      </c>
      <c r="O58">
        <f t="shared" si="3"/>
        <v>4.3</v>
      </c>
    </row>
    <row r="59" spans="1:15" x14ac:dyDescent="0.25">
      <c r="A59" s="1">
        <v>45896</v>
      </c>
      <c r="B59" t="e">
        <f>NA()</f>
        <v>#N/A</v>
      </c>
      <c r="C59" t="e">
        <f>NA()</f>
        <v>#N/A</v>
      </c>
      <c r="D59" t="e">
        <f>NA()</f>
        <v>#N/A</v>
      </c>
      <c r="E59" t="e">
        <f>NA()</f>
        <v>#N/A</v>
      </c>
      <c r="F59" t="e">
        <f>NA()</f>
        <v>#N/A</v>
      </c>
      <c r="G59" t="e">
        <f>NA()</f>
        <v>#N/A</v>
      </c>
      <c r="H59" t="e">
        <f>NA()</f>
        <v>#N/A</v>
      </c>
      <c r="I59" t="e">
        <f>NA()</f>
        <v>#N/A</v>
      </c>
      <c r="J59" t="e">
        <f>NA()</f>
        <v>#N/A</v>
      </c>
      <c r="K59" t="e">
        <f>NA()</f>
        <v>#N/A</v>
      </c>
      <c r="L59" t="e">
        <f>NA()</f>
        <v>#N/A</v>
      </c>
      <c r="M59" t="e">
        <f>NA()</f>
        <v>#N/A</v>
      </c>
      <c r="N59" t="e">
        <f>NA()</f>
        <v>#N/A</v>
      </c>
      <c r="O59">
        <f t="shared" si="3"/>
        <v>4.3</v>
      </c>
    </row>
    <row r="60" spans="1:15" x14ac:dyDescent="0.25">
      <c r="A60" s="1">
        <v>45895</v>
      </c>
      <c r="B60" t="e">
        <f>NA()</f>
        <v>#N/A</v>
      </c>
      <c r="C60" t="e">
        <f>NA()</f>
        <v>#N/A</v>
      </c>
      <c r="D60" t="e">
        <f>NA()</f>
        <v>#N/A</v>
      </c>
      <c r="E60" t="e">
        <f>NA()</f>
        <v>#N/A</v>
      </c>
      <c r="F60" t="e">
        <f>NA()</f>
        <v>#N/A</v>
      </c>
      <c r="G60" t="e">
        <f>NA()</f>
        <v>#N/A</v>
      </c>
      <c r="H60" t="e">
        <f>NA()</f>
        <v>#N/A</v>
      </c>
      <c r="I60" t="e">
        <f>NA()</f>
        <v>#N/A</v>
      </c>
      <c r="J60" t="e">
        <f>NA()</f>
        <v>#N/A</v>
      </c>
      <c r="K60" t="e">
        <f>NA()</f>
        <v>#N/A</v>
      </c>
      <c r="L60" t="e">
        <f>NA()</f>
        <v>#N/A</v>
      </c>
      <c r="M60" t="e">
        <f>NA()</f>
        <v>#N/A</v>
      </c>
      <c r="N60" t="e">
        <f>NA()</f>
        <v>#N/A</v>
      </c>
      <c r="O60">
        <f t="shared" si="3"/>
        <v>4.3</v>
      </c>
    </row>
    <row r="61" spans="1:15" x14ac:dyDescent="0.25">
      <c r="A61" s="1">
        <v>45894</v>
      </c>
      <c r="B61" t="e">
        <f>NA()</f>
        <v>#N/A</v>
      </c>
      <c r="C61" t="e">
        <f>NA()</f>
        <v>#N/A</v>
      </c>
      <c r="D61" t="e">
        <f>NA()</f>
        <v>#N/A</v>
      </c>
      <c r="E61" t="e">
        <f>NA()</f>
        <v>#N/A</v>
      </c>
      <c r="F61" t="e">
        <f>NA()</f>
        <v>#N/A</v>
      </c>
      <c r="G61" t="e">
        <f>NA()</f>
        <v>#N/A</v>
      </c>
      <c r="H61" t="e">
        <f>NA()</f>
        <v>#N/A</v>
      </c>
      <c r="I61" t="e">
        <f>NA()</f>
        <v>#N/A</v>
      </c>
      <c r="J61" t="e">
        <f>NA()</f>
        <v>#N/A</v>
      </c>
      <c r="K61" t="e">
        <f>NA()</f>
        <v>#N/A</v>
      </c>
      <c r="L61" t="e">
        <f>NA()</f>
        <v>#N/A</v>
      </c>
      <c r="M61" t="e">
        <f>NA()</f>
        <v>#N/A</v>
      </c>
      <c r="N61" t="e">
        <f>NA()</f>
        <v>#N/A</v>
      </c>
      <c r="O61">
        <f t="shared" si="3"/>
        <v>4.3</v>
      </c>
    </row>
    <row r="62" spans="1:15" x14ac:dyDescent="0.25">
      <c r="A62" s="1">
        <v>45891</v>
      </c>
      <c r="B62">
        <f>-0.8</f>
        <v>-0.8</v>
      </c>
      <c r="C62">
        <f>0</f>
        <v>0</v>
      </c>
      <c r="D62" t="e">
        <f>NA()</f>
        <v>#N/A</v>
      </c>
      <c r="E62" t="e">
        <f>NA()</f>
        <v>#N/A</v>
      </c>
      <c r="F62" t="e">
        <f>NA()</f>
        <v>#N/A</v>
      </c>
      <c r="G62" t="e">
        <f>NA()</f>
        <v>#N/A</v>
      </c>
      <c r="H62" t="e">
        <f>NA()</f>
        <v>#N/A</v>
      </c>
      <c r="I62" t="e">
        <f>NA()</f>
        <v>#N/A</v>
      </c>
      <c r="J62" t="e">
        <f>NA()</f>
        <v>#N/A</v>
      </c>
      <c r="K62" t="e">
        <f>NA()</f>
        <v>#N/A</v>
      </c>
      <c r="L62" t="e">
        <f>NA()</f>
        <v>#N/A</v>
      </c>
      <c r="M62" t="e">
        <f>NA()</f>
        <v>#N/A</v>
      </c>
      <c r="N62" t="e">
        <f>NA()</f>
        <v>#N/A</v>
      </c>
      <c r="O62">
        <f t="shared" si="3"/>
        <v>4.3</v>
      </c>
    </row>
    <row r="63" spans="1:15" x14ac:dyDescent="0.25">
      <c r="A63" s="1">
        <v>45890</v>
      </c>
      <c r="B63" t="e">
        <f>NA()</f>
        <v>#N/A</v>
      </c>
      <c r="C63" t="e">
        <f>NA()</f>
        <v>#N/A</v>
      </c>
      <c r="D63" t="e">
        <f>NA()</f>
        <v>#N/A</v>
      </c>
      <c r="E63" t="e">
        <f>NA()</f>
        <v>#N/A</v>
      </c>
      <c r="F63" t="e">
        <f>NA()</f>
        <v>#N/A</v>
      </c>
      <c r="G63" t="e">
        <f>NA()</f>
        <v>#N/A</v>
      </c>
      <c r="H63" t="e">
        <f>NA()</f>
        <v>#N/A</v>
      </c>
      <c r="I63" t="e">
        <f>NA()</f>
        <v>#N/A</v>
      </c>
      <c r="J63" t="e">
        <f>NA()</f>
        <v>#N/A</v>
      </c>
      <c r="K63" t="e">
        <f>NA()</f>
        <v>#N/A</v>
      </c>
      <c r="L63" t="e">
        <f>NA()</f>
        <v>#N/A</v>
      </c>
      <c r="M63" t="e">
        <f>NA()</f>
        <v>#N/A</v>
      </c>
      <c r="N63" t="e">
        <f>NA()</f>
        <v>#N/A</v>
      </c>
      <c r="O63">
        <f t="shared" si="3"/>
        <v>4.3</v>
      </c>
    </row>
    <row r="64" spans="1:15" x14ac:dyDescent="0.25">
      <c r="A64" s="1">
        <v>45889</v>
      </c>
      <c r="B64" t="e">
        <f>NA()</f>
        <v>#N/A</v>
      </c>
      <c r="C64" t="e">
        <f>NA()</f>
        <v>#N/A</v>
      </c>
      <c r="D64" t="e">
        <f>NA()</f>
        <v>#N/A</v>
      </c>
      <c r="E64" t="e">
        <f>NA()</f>
        <v>#N/A</v>
      </c>
      <c r="F64" t="e">
        <f>NA()</f>
        <v>#N/A</v>
      </c>
      <c r="G64" t="e">
        <f>NA()</f>
        <v>#N/A</v>
      </c>
      <c r="H64" t="e">
        <f>NA()</f>
        <v>#N/A</v>
      </c>
      <c r="I64" t="e">
        <f>NA()</f>
        <v>#N/A</v>
      </c>
      <c r="J64" t="e">
        <f>NA()</f>
        <v>#N/A</v>
      </c>
      <c r="K64" t="e">
        <f>NA()</f>
        <v>#N/A</v>
      </c>
      <c r="L64" t="e">
        <f>NA()</f>
        <v>#N/A</v>
      </c>
      <c r="M64" t="e">
        <f>NA()</f>
        <v>#N/A</v>
      </c>
      <c r="N64" t="e">
        <f>NA()</f>
        <v>#N/A</v>
      </c>
      <c r="O64">
        <f t="shared" si="3"/>
        <v>4.3</v>
      </c>
    </row>
    <row r="65" spans="1:15" x14ac:dyDescent="0.25">
      <c r="A65" s="1">
        <v>45888</v>
      </c>
      <c r="B65" t="e">
        <f>NA()</f>
        <v>#N/A</v>
      </c>
      <c r="C65" t="e">
        <f>NA()</f>
        <v>#N/A</v>
      </c>
      <c r="D65" t="e">
        <f>NA()</f>
        <v>#N/A</v>
      </c>
      <c r="E65" t="e">
        <f>NA()</f>
        <v>#N/A</v>
      </c>
      <c r="F65" t="e">
        <f>NA()</f>
        <v>#N/A</v>
      </c>
      <c r="G65" t="e">
        <f>NA()</f>
        <v>#N/A</v>
      </c>
      <c r="H65" t="e">
        <f>NA()</f>
        <v>#N/A</v>
      </c>
      <c r="I65" t="e">
        <f>NA()</f>
        <v>#N/A</v>
      </c>
      <c r="J65" t="e">
        <f>NA()</f>
        <v>#N/A</v>
      </c>
      <c r="K65" t="e">
        <f>NA()</f>
        <v>#N/A</v>
      </c>
      <c r="L65" t="e">
        <f>NA()</f>
        <v>#N/A</v>
      </c>
      <c r="M65" t="e">
        <f>NA()</f>
        <v>#N/A</v>
      </c>
      <c r="N65" t="e">
        <f>NA()</f>
        <v>#N/A</v>
      </c>
      <c r="O65">
        <f t="shared" si="3"/>
        <v>4.3</v>
      </c>
    </row>
    <row r="66" spans="1:15" x14ac:dyDescent="0.25">
      <c r="A66" s="1">
        <v>45887</v>
      </c>
      <c r="B66" t="e">
        <f>NA()</f>
        <v>#N/A</v>
      </c>
      <c r="C66" t="e">
        <f>NA()</f>
        <v>#N/A</v>
      </c>
      <c r="D66" t="e">
        <f>NA()</f>
        <v>#N/A</v>
      </c>
      <c r="E66" t="e">
        <f>NA()</f>
        <v>#N/A</v>
      </c>
      <c r="F66" t="e">
        <f>NA()</f>
        <v>#N/A</v>
      </c>
      <c r="G66" t="e">
        <f>NA()</f>
        <v>#N/A</v>
      </c>
      <c r="H66" t="e">
        <f>NA()</f>
        <v>#N/A</v>
      </c>
      <c r="I66" t="e">
        <f>NA()</f>
        <v>#N/A</v>
      </c>
      <c r="J66" t="e">
        <f>NA()</f>
        <v>#N/A</v>
      </c>
      <c r="K66" t="e">
        <f>NA()</f>
        <v>#N/A</v>
      </c>
      <c r="L66" t="e">
        <f>NA()</f>
        <v>#N/A</v>
      </c>
      <c r="M66" t="e">
        <f>NA()</f>
        <v>#N/A</v>
      </c>
      <c r="N66" t="e">
        <f>NA()</f>
        <v>#N/A</v>
      </c>
      <c r="O66">
        <f t="shared" si="3"/>
        <v>4.3</v>
      </c>
    </row>
    <row r="67" spans="1:15" x14ac:dyDescent="0.25">
      <c r="A67" s="1">
        <v>45884</v>
      </c>
      <c r="B67">
        <f>-0.8</f>
        <v>-0.8</v>
      </c>
      <c r="C67">
        <f>0</f>
        <v>0</v>
      </c>
      <c r="D67" t="e">
        <f>NA()</f>
        <v>#N/A</v>
      </c>
      <c r="E67" t="e">
        <f>NA()</f>
        <v>#N/A</v>
      </c>
      <c r="F67" t="e">
        <f>NA()</f>
        <v>#N/A</v>
      </c>
      <c r="G67" t="e">
        <f>NA()</f>
        <v>#N/A</v>
      </c>
      <c r="H67" t="e">
        <f>NA()</f>
        <v>#N/A</v>
      </c>
      <c r="I67" t="e">
        <f>NA()</f>
        <v>#N/A</v>
      </c>
      <c r="J67" t="e">
        <f>NA()</f>
        <v>#N/A</v>
      </c>
      <c r="K67" t="e">
        <f>NA()</f>
        <v>#N/A</v>
      </c>
      <c r="L67" t="e">
        <f>NA()</f>
        <v>#N/A</v>
      </c>
      <c r="M67" t="e">
        <f>NA()</f>
        <v>#N/A</v>
      </c>
      <c r="N67" t="e">
        <f>NA()</f>
        <v>#N/A</v>
      </c>
      <c r="O67">
        <f t="shared" si="3"/>
        <v>4.3</v>
      </c>
    </row>
    <row r="68" spans="1:15" x14ac:dyDescent="0.25">
      <c r="A68" s="1">
        <v>45883</v>
      </c>
      <c r="B68" t="e">
        <f>NA()</f>
        <v>#N/A</v>
      </c>
      <c r="C68" t="e">
        <f>NA()</f>
        <v>#N/A</v>
      </c>
      <c r="D68" t="e">
        <f>NA()</f>
        <v>#N/A</v>
      </c>
      <c r="E68" t="e">
        <f>NA()</f>
        <v>#N/A</v>
      </c>
      <c r="F68" t="e">
        <f>NA()</f>
        <v>#N/A</v>
      </c>
      <c r="G68" t="e">
        <f>NA()</f>
        <v>#N/A</v>
      </c>
      <c r="H68" t="e">
        <f>NA()</f>
        <v>#N/A</v>
      </c>
      <c r="I68" t="e">
        <f>NA()</f>
        <v>#N/A</v>
      </c>
      <c r="J68" t="e">
        <f>NA()</f>
        <v>#N/A</v>
      </c>
      <c r="K68" t="e">
        <f>NA()</f>
        <v>#N/A</v>
      </c>
      <c r="L68" t="e">
        <f>NA()</f>
        <v>#N/A</v>
      </c>
      <c r="M68" t="e">
        <f>NA()</f>
        <v>#N/A</v>
      </c>
      <c r="N68" t="e">
        <f>NA()</f>
        <v>#N/A</v>
      </c>
      <c r="O68">
        <f t="shared" si="3"/>
        <v>4.3</v>
      </c>
    </row>
    <row r="69" spans="1:15" x14ac:dyDescent="0.25">
      <c r="A69" s="1">
        <v>45882</v>
      </c>
      <c r="B69" t="e">
        <f>NA()</f>
        <v>#N/A</v>
      </c>
      <c r="C69" t="e">
        <f>NA()</f>
        <v>#N/A</v>
      </c>
      <c r="D69" t="e">
        <f>NA()</f>
        <v>#N/A</v>
      </c>
      <c r="E69" t="e">
        <f>NA()</f>
        <v>#N/A</v>
      </c>
      <c r="F69" t="e">
        <f>NA()</f>
        <v>#N/A</v>
      </c>
      <c r="G69" t="e">
        <f>NA()</f>
        <v>#N/A</v>
      </c>
      <c r="H69" t="e">
        <f>NA()</f>
        <v>#N/A</v>
      </c>
      <c r="I69" t="e">
        <f>NA()</f>
        <v>#N/A</v>
      </c>
      <c r="J69" t="e">
        <f>NA()</f>
        <v>#N/A</v>
      </c>
      <c r="K69" t="e">
        <f>NA()</f>
        <v>#N/A</v>
      </c>
      <c r="L69" t="e">
        <f>NA()</f>
        <v>#N/A</v>
      </c>
      <c r="M69" t="e">
        <f>NA()</f>
        <v>#N/A</v>
      </c>
      <c r="N69" t="e">
        <f>NA()</f>
        <v>#N/A</v>
      </c>
      <c r="O69">
        <f t="shared" si="3"/>
        <v>4.3</v>
      </c>
    </row>
    <row r="70" spans="1:15" x14ac:dyDescent="0.25">
      <c r="A70" s="1">
        <v>45881</v>
      </c>
      <c r="B70" t="e">
        <f>NA()</f>
        <v>#N/A</v>
      </c>
      <c r="C70" t="e">
        <f>NA()</f>
        <v>#N/A</v>
      </c>
      <c r="D70" t="e">
        <f>NA()</f>
        <v>#N/A</v>
      </c>
      <c r="E70" t="e">
        <f>NA()</f>
        <v>#N/A</v>
      </c>
      <c r="F70" t="e">
        <f>NA()</f>
        <v>#N/A</v>
      </c>
      <c r="G70" t="e">
        <f>NA()</f>
        <v>#N/A</v>
      </c>
      <c r="H70" t="e">
        <f>NA()</f>
        <v>#N/A</v>
      </c>
      <c r="I70" t="e">
        <f>NA()</f>
        <v>#N/A</v>
      </c>
      <c r="J70" t="e">
        <f>NA()</f>
        <v>#N/A</v>
      </c>
      <c r="K70" t="e">
        <f>NA()</f>
        <v>#N/A</v>
      </c>
      <c r="L70" t="e">
        <f>NA()</f>
        <v>#N/A</v>
      </c>
      <c r="M70" t="e">
        <f>NA()</f>
        <v>#N/A</v>
      </c>
      <c r="N70" t="e">
        <f>NA()</f>
        <v>#N/A</v>
      </c>
      <c r="O70">
        <f t="shared" si="3"/>
        <v>4.3</v>
      </c>
    </row>
    <row r="71" spans="1:15" x14ac:dyDescent="0.25">
      <c r="A71" s="1">
        <v>45880</v>
      </c>
      <c r="B71" t="e">
        <f>NA()</f>
        <v>#N/A</v>
      </c>
      <c r="C71" t="e">
        <f>NA()</f>
        <v>#N/A</v>
      </c>
      <c r="D71" t="e">
        <f>NA()</f>
        <v>#N/A</v>
      </c>
      <c r="E71" t="e">
        <f>NA()</f>
        <v>#N/A</v>
      </c>
      <c r="F71" t="e">
        <f>NA()</f>
        <v>#N/A</v>
      </c>
      <c r="G71" t="e">
        <f>NA()</f>
        <v>#N/A</v>
      </c>
      <c r="H71" t="e">
        <f>NA()</f>
        <v>#N/A</v>
      </c>
      <c r="I71" t="e">
        <f>NA()</f>
        <v>#N/A</v>
      </c>
      <c r="J71" t="e">
        <f>NA()</f>
        <v>#N/A</v>
      </c>
      <c r="K71" t="e">
        <f>NA()</f>
        <v>#N/A</v>
      </c>
      <c r="L71" t="e">
        <f>NA()</f>
        <v>#N/A</v>
      </c>
      <c r="M71" t="e">
        <f>NA()</f>
        <v>#N/A</v>
      </c>
      <c r="N71" t="e">
        <f>NA()</f>
        <v>#N/A</v>
      </c>
      <c r="O71">
        <f t="shared" si="3"/>
        <v>4.3</v>
      </c>
    </row>
    <row r="72" spans="1:15" x14ac:dyDescent="0.25">
      <c r="A72" s="1">
        <v>45877</v>
      </c>
      <c r="B72">
        <f>-0.6</f>
        <v>-0.6</v>
      </c>
      <c r="C72">
        <f>0</f>
        <v>0</v>
      </c>
      <c r="D72" t="e">
        <f>NA()</f>
        <v>#N/A</v>
      </c>
      <c r="E72" t="e">
        <f>NA()</f>
        <v>#N/A</v>
      </c>
      <c r="F72" t="e">
        <f>NA()</f>
        <v>#N/A</v>
      </c>
      <c r="G72" t="e">
        <f>NA()</f>
        <v>#N/A</v>
      </c>
      <c r="H72" t="e">
        <f>NA()</f>
        <v>#N/A</v>
      </c>
      <c r="I72" t="e">
        <f>NA()</f>
        <v>#N/A</v>
      </c>
      <c r="J72" t="e">
        <f>NA()</f>
        <v>#N/A</v>
      </c>
      <c r="K72" t="e">
        <f>NA()</f>
        <v>#N/A</v>
      </c>
      <c r="L72" t="e">
        <f>NA()</f>
        <v>#N/A</v>
      </c>
      <c r="M72" t="e">
        <f>NA()</f>
        <v>#N/A</v>
      </c>
      <c r="N72" t="e">
        <f>NA()</f>
        <v>#N/A</v>
      </c>
      <c r="O72">
        <f t="shared" si="3"/>
        <v>4.3</v>
      </c>
    </row>
    <row r="73" spans="1:15" x14ac:dyDescent="0.25">
      <c r="A73" s="1">
        <v>45876</v>
      </c>
      <c r="B73" t="e">
        <f>NA()</f>
        <v>#N/A</v>
      </c>
      <c r="C73" t="e">
        <f>NA()</f>
        <v>#N/A</v>
      </c>
      <c r="D73" t="e">
        <f>NA()</f>
        <v>#N/A</v>
      </c>
      <c r="E73" t="e">
        <f>NA()</f>
        <v>#N/A</v>
      </c>
      <c r="F73" t="e">
        <f>NA()</f>
        <v>#N/A</v>
      </c>
      <c r="G73" t="e">
        <f>NA()</f>
        <v>#N/A</v>
      </c>
      <c r="H73" t="e">
        <f>NA()</f>
        <v>#N/A</v>
      </c>
      <c r="I73" t="e">
        <f>NA()</f>
        <v>#N/A</v>
      </c>
      <c r="J73" t="e">
        <f>NA()</f>
        <v>#N/A</v>
      </c>
      <c r="K73" t="e">
        <f>NA()</f>
        <v>#N/A</v>
      </c>
      <c r="L73" t="e">
        <f>NA()</f>
        <v>#N/A</v>
      </c>
      <c r="M73" t="e">
        <f>NA()</f>
        <v>#N/A</v>
      </c>
      <c r="N73" t="e">
        <f>NA()</f>
        <v>#N/A</v>
      </c>
      <c r="O73">
        <f t="shared" si="3"/>
        <v>4.3</v>
      </c>
    </row>
    <row r="74" spans="1:15" x14ac:dyDescent="0.25">
      <c r="A74" s="1">
        <v>45875</v>
      </c>
      <c r="B74" t="e">
        <f>NA()</f>
        <v>#N/A</v>
      </c>
      <c r="C74" t="e">
        <f>NA()</f>
        <v>#N/A</v>
      </c>
      <c r="D74" t="e">
        <f>NA()</f>
        <v>#N/A</v>
      </c>
      <c r="E74" t="e">
        <f>NA()</f>
        <v>#N/A</v>
      </c>
      <c r="F74" t="e">
        <f>NA()</f>
        <v>#N/A</v>
      </c>
      <c r="G74" t="e">
        <f>NA()</f>
        <v>#N/A</v>
      </c>
      <c r="H74" t="e">
        <f>NA()</f>
        <v>#N/A</v>
      </c>
      <c r="I74" t="e">
        <f>NA()</f>
        <v>#N/A</v>
      </c>
      <c r="J74" t="e">
        <f>NA()</f>
        <v>#N/A</v>
      </c>
      <c r="K74" t="e">
        <f>NA()</f>
        <v>#N/A</v>
      </c>
      <c r="L74" t="e">
        <f>NA()</f>
        <v>#N/A</v>
      </c>
      <c r="M74" t="e">
        <f>NA()</f>
        <v>#N/A</v>
      </c>
      <c r="N74" t="e">
        <f>NA()</f>
        <v>#N/A</v>
      </c>
      <c r="O74">
        <f t="shared" si="3"/>
        <v>4.3</v>
      </c>
    </row>
    <row r="75" spans="1:15" x14ac:dyDescent="0.25">
      <c r="A75" s="1">
        <v>45874</v>
      </c>
      <c r="B75" t="e">
        <f>NA()</f>
        <v>#N/A</v>
      </c>
      <c r="C75" t="e">
        <f>NA()</f>
        <v>#N/A</v>
      </c>
      <c r="D75" t="e">
        <f>NA()</f>
        <v>#N/A</v>
      </c>
      <c r="E75" t="e">
        <f>NA()</f>
        <v>#N/A</v>
      </c>
      <c r="F75" t="e">
        <f>NA()</f>
        <v>#N/A</v>
      </c>
      <c r="G75" t="e">
        <f>NA()</f>
        <v>#N/A</v>
      </c>
      <c r="H75" t="e">
        <f>NA()</f>
        <v>#N/A</v>
      </c>
      <c r="I75" t="e">
        <f>NA()</f>
        <v>#N/A</v>
      </c>
      <c r="J75" t="e">
        <f>NA()</f>
        <v>#N/A</v>
      </c>
      <c r="K75" t="e">
        <f>NA()</f>
        <v>#N/A</v>
      </c>
      <c r="L75" t="e">
        <f>NA()</f>
        <v>#N/A</v>
      </c>
      <c r="M75" t="e">
        <f>NA()</f>
        <v>#N/A</v>
      </c>
      <c r="N75" t="e">
        <f>NA()</f>
        <v>#N/A</v>
      </c>
      <c r="O75">
        <f t="shared" si="3"/>
        <v>4.3</v>
      </c>
    </row>
    <row r="76" spans="1:15" x14ac:dyDescent="0.25">
      <c r="A76" s="1">
        <v>45873</v>
      </c>
      <c r="B76" t="e">
        <f>NA()</f>
        <v>#N/A</v>
      </c>
      <c r="C76" t="e">
        <f>NA()</f>
        <v>#N/A</v>
      </c>
      <c r="D76" t="e">
        <f>NA()</f>
        <v>#N/A</v>
      </c>
      <c r="E76" t="e">
        <f>NA()</f>
        <v>#N/A</v>
      </c>
      <c r="F76" t="e">
        <f>NA()</f>
        <v>#N/A</v>
      </c>
      <c r="G76" t="e">
        <f>NA()</f>
        <v>#N/A</v>
      </c>
      <c r="H76" t="e">
        <f>NA()</f>
        <v>#N/A</v>
      </c>
      <c r="I76" t="e">
        <f>NA()</f>
        <v>#N/A</v>
      </c>
      <c r="J76" t="e">
        <f>NA()</f>
        <v>#N/A</v>
      </c>
      <c r="K76" t="e">
        <f>NA()</f>
        <v>#N/A</v>
      </c>
      <c r="L76" t="e">
        <f>NA()</f>
        <v>#N/A</v>
      </c>
      <c r="M76" t="e">
        <f>NA()</f>
        <v>#N/A</v>
      </c>
      <c r="N76" t="e">
        <f>NA()</f>
        <v>#N/A</v>
      </c>
      <c r="O76">
        <f t="shared" si="3"/>
        <v>4.3</v>
      </c>
    </row>
    <row r="77" spans="1:15" x14ac:dyDescent="0.25">
      <c r="A77" s="1">
        <v>45870</v>
      </c>
      <c r="B77">
        <f>-0.7</f>
        <v>-0.7</v>
      </c>
      <c r="C77">
        <f>0</f>
        <v>0</v>
      </c>
      <c r="D77" t="e">
        <f>NA()</f>
        <v>#N/A</v>
      </c>
      <c r="E77" t="e">
        <f>NA()</f>
        <v>#N/A</v>
      </c>
      <c r="F77" t="e">
        <f>NA()</f>
        <v>#N/A</v>
      </c>
      <c r="G77" t="e">
        <f>NA()</f>
        <v>#N/A</v>
      </c>
      <c r="H77" t="e">
        <f>NA()</f>
        <v>#N/A</v>
      </c>
      <c r="I77" t="e">
        <f>NA()</f>
        <v>#N/A</v>
      </c>
      <c r="J77" t="e">
        <f>NA()</f>
        <v>#N/A</v>
      </c>
      <c r="K77" t="e">
        <f>NA()</f>
        <v>#N/A</v>
      </c>
      <c r="L77" t="e">
        <f>NA()</f>
        <v>#N/A</v>
      </c>
      <c r="M77" t="e">
        <f>NA()</f>
        <v>#N/A</v>
      </c>
      <c r="N77" t="e">
        <f>NA()</f>
        <v>#N/A</v>
      </c>
      <c r="O77">
        <f t="shared" si="3"/>
        <v>4.3</v>
      </c>
    </row>
    <row r="78" spans="1:15" x14ac:dyDescent="0.25">
      <c r="A78" s="1">
        <v>45869</v>
      </c>
      <c r="B78" t="e">
        <f>NA()</f>
        <v>#N/A</v>
      </c>
      <c r="C78" t="e">
        <f>NA()</f>
        <v>#N/A</v>
      </c>
      <c r="D78">
        <f>0.3</f>
        <v>0.3</v>
      </c>
      <c r="E78">
        <f>1.2</f>
        <v>1.2</v>
      </c>
      <c r="F78">
        <f>7208</f>
        <v>7208</v>
      </c>
      <c r="G78">
        <f>62.2</f>
        <v>62.2</v>
      </c>
      <c r="H78">
        <f>5.2</f>
        <v>5.2</v>
      </c>
      <c r="I78">
        <f>323</f>
        <v>323</v>
      </c>
      <c r="J78">
        <f>2.7</f>
        <v>2.7</v>
      </c>
      <c r="K78">
        <f>48</f>
        <v>48</v>
      </c>
      <c r="L78">
        <f>-0.4</f>
        <v>-0.4</v>
      </c>
      <c r="M78" t="e">
        <f>NA()</f>
        <v>#N/A</v>
      </c>
      <c r="N78">
        <f>4.2</f>
        <v>4.2</v>
      </c>
      <c r="O78">
        <f t="shared" si="3"/>
        <v>4.3</v>
      </c>
    </row>
    <row r="79" spans="1:15" x14ac:dyDescent="0.25">
      <c r="A79" s="1">
        <v>45868</v>
      </c>
      <c r="B79" t="e">
        <f>NA()</f>
        <v>#N/A</v>
      </c>
      <c r="C79" t="e">
        <f>NA()</f>
        <v>#N/A</v>
      </c>
      <c r="D79" t="e">
        <f>NA()</f>
        <v>#N/A</v>
      </c>
      <c r="E79" t="e">
        <f>NA()</f>
        <v>#N/A</v>
      </c>
      <c r="F79" t="e">
        <f>NA()</f>
        <v>#N/A</v>
      </c>
      <c r="G79" t="e">
        <f>NA()</f>
        <v>#N/A</v>
      </c>
      <c r="H79" t="e">
        <f>NA()</f>
        <v>#N/A</v>
      </c>
      <c r="I79" t="e">
        <f>NA()</f>
        <v>#N/A</v>
      </c>
      <c r="J79" t="e">
        <f>NA()</f>
        <v>#N/A</v>
      </c>
      <c r="K79" t="e">
        <f>NA()</f>
        <v>#N/A</v>
      </c>
      <c r="L79" t="e">
        <f>NA()</f>
        <v>#N/A</v>
      </c>
      <c r="M79" t="e">
        <f>NA()</f>
        <v>#N/A</v>
      </c>
      <c r="N79" t="e">
        <f>NA()</f>
        <v>#N/A</v>
      </c>
      <c r="O79">
        <f t="shared" si="3"/>
        <v>4.3</v>
      </c>
    </row>
    <row r="80" spans="1:15" x14ac:dyDescent="0.25">
      <c r="A80" s="1">
        <v>45867</v>
      </c>
      <c r="B80" t="e">
        <f>NA()</f>
        <v>#N/A</v>
      </c>
      <c r="C80" t="e">
        <f>NA()</f>
        <v>#N/A</v>
      </c>
      <c r="D80" t="e">
        <f>NA()</f>
        <v>#N/A</v>
      </c>
      <c r="E80" t="e">
        <f>NA()</f>
        <v>#N/A</v>
      </c>
      <c r="F80" t="e">
        <f>NA()</f>
        <v>#N/A</v>
      </c>
      <c r="G80" t="e">
        <f>NA()</f>
        <v>#N/A</v>
      </c>
      <c r="H80" t="e">
        <f>NA()</f>
        <v>#N/A</v>
      </c>
      <c r="I80" t="e">
        <f>NA()</f>
        <v>#N/A</v>
      </c>
      <c r="J80" t="e">
        <f>NA()</f>
        <v>#N/A</v>
      </c>
      <c r="K80" t="e">
        <f>NA()</f>
        <v>#N/A</v>
      </c>
      <c r="L80" t="e">
        <f>NA()</f>
        <v>#N/A</v>
      </c>
      <c r="M80" t="e">
        <f>NA()</f>
        <v>#N/A</v>
      </c>
      <c r="N80" t="e">
        <f>NA()</f>
        <v>#N/A</v>
      </c>
      <c r="O80">
        <f t="shared" si="3"/>
        <v>4.3</v>
      </c>
    </row>
    <row r="81" spans="1:15" x14ac:dyDescent="0.25">
      <c r="A81" s="1">
        <v>45866</v>
      </c>
      <c r="B81" t="e">
        <f>NA()</f>
        <v>#N/A</v>
      </c>
      <c r="C81" t="e">
        <f>NA()</f>
        <v>#N/A</v>
      </c>
      <c r="D81" t="e">
        <f>NA()</f>
        <v>#N/A</v>
      </c>
      <c r="E81" t="e">
        <f>NA()</f>
        <v>#N/A</v>
      </c>
      <c r="F81" t="e">
        <f>NA()</f>
        <v>#N/A</v>
      </c>
      <c r="G81" t="e">
        <f>NA()</f>
        <v>#N/A</v>
      </c>
      <c r="H81" t="e">
        <f>NA()</f>
        <v>#N/A</v>
      </c>
      <c r="I81" t="e">
        <f>NA()</f>
        <v>#N/A</v>
      </c>
      <c r="J81" t="e">
        <f>NA()</f>
        <v>#N/A</v>
      </c>
      <c r="K81" t="e">
        <f>NA()</f>
        <v>#N/A</v>
      </c>
      <c r="L81" t="e">
        <f>NA()</f>
        <v>#N/A</v>
      </c>
      <c r="M81" t="e">
        <f>NA()</f>
        <v>#N/A</v>
      </c>
      <c r="N81" t="e">
        <f>NA()</f>
        <v>#N/A</v>
      </c>
      <c r="O81">
        <f t="shared" si="3"/>
        <v>4.3</v>
      </c>
    </row>
    <row r="82" spans="1:15" x14ac:dyDescent="0.25">
      <c r="A82" s="1">
        <v>45863</v>
      </c>
      <c r="B82">
        <f>-0.8</f>
        <v>-0.8</v>
      </c>
      <c r="C82">
        <f>0</f>
        <v>0</v>
      </c>
      <c r="D82" t="e">
        <f>NA()</f>
        <v>#N/A</v>
      </c>
      <c r="E82" t="e">
        <f>NA()</f>
        <v>#N/A</v>
      </c>
      <c r="F82" t="e">
        <f>NA()</f>
        <v>#N/A</v>
      </c>
      <c r="G82" t="e">
        <f>NA()</f>
        <v>#N/A</v>
      </c>
      <c r="H82" t="e">
        <f>NA()</f>
        <v>#N/A</v>
      </c>
      <c r="I82" t="e">
        <f>NA()</f>
        <v>#N/A</v>
      </c>
      <c r="J82" t="e">
        <f>NA()</f>
        <v>#N/A</v>
      </c>
      <c r="K82" t="e">
        <f>NA()</f>
        <v>#N/A</v>
      </c>
      <c r="L82" t="e">
        <f>NA()</f>
        <v>#N/A</v>
      </c>
      <c r="M82" t="e">
        <f>NA()</f>
        <v>#N/A</v>
      </c>
      <c r="N82" t="e">
        <f>NA()</f>
        <v>#N/A</v>
      </c>
      <c r="O82">
        <f t="shared" si="3"/>
        <v>4.3</v>
      </c>
    </row>
    <row r="83" spans="1:15" x14ac:dyDescent="0.25">
      <c r="A83" s="1">
        <v>45862</v>
      </c>
      <c r="B83" t="e">
        <f>NA()</f>
        <v>#N/A</v>
      </c>
      <c r="C83" t="e">
        <f>NA()</f>
        <v>#N/A</v>
      </c>
      <c r="D83" t="e">
        <f>NA()</f>
        <v>#N/A</v>
      </c>
      <c r="E83" t="e">
        <f>NA()</f>
        <v>#N/A</v>
      </c>
      <c r="F83" t="e">
        <f>NA()</f>
        <v>#N/A</v>
      </c>
      <c r="G83" t="e">
        <f>NA()</f>
        <v>#N/A</v>
      </c>
      <c r="H83" t="e">
        <f>NA()</f>
        <v>#N/A</v>
      </c>
      <c r="I83" t="e">
        <f>NA()</f>
        <v>#N/A</v>
      </c>
      <c r="J83" t="e">
        <f>NA()</f>
        <v>#N/A</v>
      </c>
      <c r="K83" t="e">
        <f>NA()</f>
        <v>#N/A</v>
      </c>
      <c r="L83" t="e">
        <f>NA()</f>
        <v>#N/A</v>
      </c>
      <c r="M83" t="e">
        <f>NA()</f>
        <v>#N/A</v>
      </c>
      <c r="N83" t="e">
        <f>NA()</f>
        <v>#N/A</v>
      </c>
      <c r="O83">
        <f t="shared" si="3"/>
        <v>4.3</v>
      </c>
    </row>
    <row r="84" spans="1:15" x14ac:dyDescent="0.25">
      <c r="A84" s="1">
        <v>45861</v>
      </c>
      <c r="B84" t="e">
        <f>NA()</f>
        <v>#N/A</v>
      </c>
      <c r="C84" t="e">
        <f>NA()</f>
        <v>#N/A</v>
      </c>
      <c r="D84" t="e">
        <f>NA()</f>
        <v>#N/A</v>
      </c>
      <c r="E84" t="e">
        <f>NA()</f>
        <v>#N/A</v>
      </c>
      <c r="F84" t="e">
        <f>NA()</f>
        <v>#N/A</v>
      </c>
      <c r="G84" t="e">
        <f>NA()</f>
        <v>#N/A</v>
      </c>
      <c r="H84" t="e">
        <f>NA()</f>
        <v>#N/A</v>
      </c>
      <c r="I84" t="e">
        <f>NA()</f>
        <v>#N/A</v>
      </c>
      <c r="J84" t="e">
        <f>NA()</f>
        <v>#N/A</v>
      </c>
      <c r="K84" t="e">
        <f>NA()</f>
        <v>#N/A</v>
      </c>
      <c r="L84" t="e">
        <f>NA()</f>
        <v>#N/A</v>
      </c>
      <c r="M84" t="e">
        <f>NA()</f>
        <v>#N/A</v>
      </c>
      <c r="N84" t="e">
        <f>NA()</f>
        <v>#N/A</v>
      </c>
      <c r="O84">
        <f t="shared" si="3"/>
        <v>4.3</v>
      </c>
    </row>
    <row r="85" spans="1:15" x14ac:dyDescent="0.25">
      <c r="A85" s="1">
        <v>45860</v>
      </c>
      <c r="B85" t="e">
        <f>NA()</f>
        <v>#N/A</v>
      </c>
      <c r="C85" t="e">
        <f>NA()</f>
        <v>#N/A</v>
      </c>
      <c r="D85" t="e">
        <f>NA()</f>
        <v>#N/A</v>
      </c>
      <c r="E85" t="e">
        <f>NA()</f>
        <v>#N/A</v>
      </c>
      <c r="F85" t="e">
        <f>NA()</f>
        <v>#N/A</v>
      </c>
      <c r="G85" t="e">
        <f>NA()</f>
        <v>#N/A</v>
      </c>
      <c r="H85" t="e">
        <f>NA()</f>
        <v>#N/A</v>
      </c>
      <c r="I85" t="e">
        <f>NA()</f>
        <v>#N/A</v>
      </c>
      <c r="J85" t="e">
        <f>NA()</f>
        <v>#N/A</v>
      </c>
      <c r="K85" t="e">
        <f>NA()</f>
        <v>#N/A</v>
      </c>
      <c r="L85" t="e">
        <f>NA()</f>
        <v>#N/A</v>
      </c>
      <c r="M85" t="e">
        <f>NA()</f>
        <v>#N/A</v>
      </c>
      <c r="N85" t="e">
        <f>NA()</f>
        <v>#N/A</v>
      </c>
      <c r="O85">
        <f t="shared" si="3"/>
        <v>4.3</v>
      </c>
    </row>
    <row r="86" spans="1:15" x14ac:dyDescent="0.25">
      <c r="A86" s="1">
        <v>45859</v>
      </c>
      <c r="B86" t="e">
        <f>NA()</f>
        <v>#N/A</v>
      </c>
      <c r="C86" t="e">
        <f>NA()</f>
        <v>#N/A</v>
      </c>
      <c r="D86" t="e">
        <f>NA()</f>
        <v>#N/A</v>
      </c>
      <c r="E86" t="e">
        <f>NA()</f>
        <v>#N/A</v>
      </c>
      <c r="F86" t="e">
        <f>NA()</f>
        <v>#N/A</v>
      </c>
      <c r="G86" t="e">
        <f>NA()</f>
        <v>#N/A</v>
      </c>
      <c r="H86" t="e">
        <f>NA()</f>
        <v>#N/A</v>
      </c>
      <c r="I86" t="e">
        <f>NA()</f>
        <v>#N/A</v>
      </c>
      <c r="J86" t="e">
        <f>NA()</f>
        <v>#N/A</v>
      </c>
      <c r="K86" t="e">
        <f>NA()</f>
        <v>#N/A</v>
      </c>
      <c r="L86" t="e">
        <f>NA()</f>
        <v>#N/A</v>
      </c>
      <c r="M86" t="e">
        <f>NA()</f>
        <v>#N/A</v>
      </c>
      <c r="N86" t="e">
        <f>NA()</f>
        <v>#N/A</v>
      </c>
      <c r="O86">
        <f t="shared" si="3"/>
        <v>4.3</v>
      </c>
    </row>
    <row r="87" spans="1:15" x14ac:dyDescent="0.25">
      <c r="A87" s="1">
        <v>45856</v>
      </c>
      <c r="B87">
        <f>-0.7</f>
        <v>-0.7</v>
      </c>
      <c r="C87">
        <f>0</f>
        <v>0</v>
      </c>
      <c r="D87" t="e">
        <f>NA()</f>
        <v>#N/A</v>
      </c>
      <c r="E87" t="e">
        <f>NA()</f>
        <v>#N/A</v>
      </c>
      <c r="F87" t="e">
        <f>NA()</f>
        <v>#N/A</v>
      </c>
      <c r="G87" t="e">
        <f>NA()</f>
        <v>#N/A</v>
      </c>
      <c r="H87" t="e">
        <f>NA()</f>
        <v>#N/A</v>
      </c>
      <c r="I87" t="e">
        <f>NA()</f>
        <v>#N/A</v>
      </c>
      <c r="J87" t="e">
        <f>NA()</f>
        <v>#N/A</v>
      </c>
      <c r="K87" t="e">
        <f>NA()</f>
        <v>#N/A</v>
      </c>
      <c r="L87" t="e">
        <f>NA()</f>
        <v>#N/A</v>
      </c>
      <c r="M87" t="e">
        <f>NA()</f>
        <v>#N/A</v>
      </c>
      <c r="N87" t="e">
        <f>NA()</f>
        <v>#N/A</v>
      </c>
      <c r="O87">
        <f t="shared" si="3"/>
        <v>4.3</v>
      </c>
    </row>
    <row r="88" spans="1:15" x14ac:dyDescent="0.25">
      <c r="A88" s="1">
        <v>45855</v>
      </c>
      <c r="B88" t="e">
        <f>NA()</f>
        <v>#N/A</v>
      </c>
      <c r="C88" t="e">
        <f>NA()</f>
        <v>#N/A</v>
      </c>
      <c r="D88" t="e">
        <f>NA()</f>
        <v>#N/A</v>
      </c>
      <c r="E88" t="e">
        <f>NA()</f>
        <v>#N/A</v>
      </c>
      <c r="F88" t="e">
        <f>NA()</f>
        <v>#N/A</v>
      </c>
      <c r="G88" t="e">
        <f>NA()</f>
        <v>#N/A</v>
      </c>
      <c r="H88" t="e">
        <f>NA()</f>
        <v>#N/A</v>
      </c>
      <c r="I88" t="e">
        <f>NA()</f>
        <v>#N/A</v>
      </c>
      <c r="J88" t="e">
        <f>NA()</f>
        <v>#N/A</v>
      </c>
      <c r="K88" t="e">
        <f>NA()</f>
        <v>#N/A</v>
      </c>
      <c r="L88" t="e">
        <f>NA()</f>
        <v>#N/A</v>
      </c>
      <c r="M88" t="e">
        <f>NA()</f>
        <v>#N/A</v>
      </c>
      <c r="N88" t="e">
        <f>NA()</f>
        <v>#N/A</v>
      </c>
      <c r="O88">
        <f t="shared" si="3"/>
        <v>4.3</v>
      </c>
    </row>
    <row r="89" spans="1:15" x14ac:dyDescent="0.25">
      <c r="A89" s="1">
        <v>45854</v>
      </c>
      <c r="B89" t="e">
        <f>NA()</f>
        <v>#N/A</v>
      </c>
      <c r="C89" t="e">
        <f>NA()</f>
        <v>#N/A</v>
      </c>
      <c r="D89" t="e">
        <f>NA()</f>
        <v>#N/A</v>
      </c>
      <c r="E89" t="e">
        <f>NA()</f>
        <v>#N/A</v>
      </c>
      <c r="F89" t="e">
        <f>NA()</f>
        <v>#N/A</v>
      </c>
      <c r="G89" t="e">
        <f>NA()</f>
        <v>#N/A</v>
      </c>
      <c r="H89" t="e">
        <f>NA()</f>
        <v>#N/A</v>
      </c>
      <c r="I89" t="e">
        <f>NA()</f>
        <v>#N/A</v>
      </c>
      <c r="J89" t="e">
        <f>NA()</f>
        <v>#N/A</v>
      </c>
      <c r="K89" t="e">
        <f>NA()</f>
        <v>#N/A</v>
      </c>
      <c r="L89" t="e">
        <f>NA()</f>
        <v>#N/A</v>
      </c>
      <c r="M89" t="e">
        <f>NA()</f>
        <v>#N/A</v>
      </c>
      <c r="N89" t="e">
        <f>NA()</f>
        <v>#N/A</v>
      </c>
      <c r="O89">
        <f t="shared" si="3"/>
        <v>4.3</v>
      </c>
    </row>
    <row r="90" spans="1:15" x14ac:dyDescent="0.25">
      <c r="A90" s="1">
        <v>45853</v>
      </c>
      <c r="B90" t="e">
        <f>NA()</f>
        <v>#N/A</v>
      </c>
      <c r="C90" t="e">
        <f>NA()</f>
        <v>#N/A</v>
      </c>
      <c r="D90" t="e">
        <f>NA()</f>
        <v>#N/A</v>
      </c>
      <c r="E90" t="e">
        <f>NA()</f>
        <v>#N/A</v>
      </c>
      <c r="F90" t="e">
        <f>NA()</f>
        <v>#N/A</v>
      </c>
      <c r="G90" t="e">
        <f>NA()</f>
        <v>#N/A</v>
      </c>
      <c r="H90" t="e">
        <f>NA()</f>
        <v>#N/A</v>
      </c>
      <c r="I90" t="e">
        <f>NA()</f>
        <v>#N/A</v>
      </c>
      <c r="J90" t="e">
        <f>NA()</f>
        <v>#N/A</v>
      </c>
      <c r="K90" t="e">
        <f>NA()</f>
        <v>#N/A</v>
      </c>
      <c r="L90" t="e">
        <f>NA()</f>
        <v>#N/A</v>
      </c>
      <c r="M90" t="e">
        <f>NA()</f>
        <v>#N/A</v>
      </c>
      <c r="N90" t="e">
        <f>NA()</f>
        <v>#N/A</v>
      </c>
      <c r="O90">
        <f t="shared" si="3"/>
        <v>4.3</v>
      </c>
    </row>
    <row r="91" spans="1:15" x14ac:dyDescent="0.25">
      <c r="A91" s="1">
        <v>45852</v>
      </c>
      <c r="B91" t="e">
        <f>NA()</f>
        <v>#N/A</v>
      </c>
      <c r="C91" t="e">
        <f>NA()</f>
        <v>#N/A</v>
      </c>
      <c r="D91" t="e">
        <f>NA()</f>
        <v>#N/A</v>
      </c>
      <c r="E91" t="e">
        <f>NA()</f>
        <v>#N/A</v>
      </c>
      <c r="F91" t="e">
        <f>NA()</f>
        <v>#N/A</v>
      </c>
      <c r="G91" t="e">
        <f>NA()</f>
        <v>#N/A</v>
      </c>
      <c r="H91" t="e">
        <f>NA()</f>
        <v>#N/A</v>
      </c>
      <c r="I91" t="e">
        <f>NA()</f>
        <v>#N/A</v>
      </c>
      <c r="J91" t="e">
        <f>NA()</f>
        <v>#N/A</v>
      </c>
      <c r="K91" t="e">
        <f>NA()</f>
        <v>#N/A</v>
      </c>
      <c r="L91" t="e">
        <f>NA()</f>
        <v>#N/A</v>
      </c>
      <c r="M91" t="e">
        <f>NA()</f>
        <v>#N/A</v>
      </c>
      <c r="N91" t="e">
        <f>NA()</f>
        <v>#N/A</v>
      </c>
      <c r="O91">
        <f t="shared" si="3"/>
        <v>4.3</v>
      </c>
    </row>
    <row r="92" spans="1:15" x14ac:dyDescent="0.25">
      <c r="A92" s="1">
        <v>45849</v>
      </c>
      <c r="B92">
        <f>-0.7</f>
        <v>-0.7</v>
      </c>
      <c r="C92">
        <f>0</f>
        <v>0</v>
      </c>
      <c r="D92" t="e">
        <f>NA()</f>
        <v>#N/A</v>
      </c>
      <c r="E92" t="e">
        <f>NA()</f>
        <v>#N/A</v>
      </c>
      <c r="F92" t="e">
        <f>NA()</f>
        <v>#N/A</v>
      </c>
      <c r="G92" t="e">
        <f>NA()</f>
        <v>#N/A</v>
      </c>
      <c r="H92" t="e">
        <f>NA()</f>
        <v>#N/A</v>
      </c>
      <c r="I92" t="e">
        <f>NA()</f>
        <v>#N/A</v>
      </c>
      <c r="J92" t="e">
        <f>NA()</f>
        <v>#N/A</v>
      </c>
      <c r="K92" t="e">
        <f>NA()</f>
        <v>#N/A</v>
      </c>
      <c r="L92" t="e">
        <f>NA()</f>
        <v>#N/A</v>
      </c>
      <c r="M92" t="e">
        <f>NA()</f>
        <v>#N/A</v>
      </c>
      <c r="N92" t="e">
        <f>NA()</f>
        <v>#N/A</v>
      </c>
      <c r="O92">
        <f t="shared" si="3"/>
        <v>4.3</v>
      </c>
    </row>
    <row r="93" spans="1:15" x14ac:dyDescent="0.25">
      <c r="A93" s="1">
        <v>45848</v>
      </c>
      <c r="B93" t="e">
        <f>NA()</f>
        <v>#N/A</v>
      </c>
      <c r="C93" t="e">
        <f>NA()</f>
        <v>#N/A</v>
      </c>
      <c r="D93" t="e">
        <f>NA()</f>
        <v>#N/A</v>
      </c>
      <c r="E93" t="e">
        <f>NA()</f>
        <v>#N/A</v>
      </c>
      <c r="F93" t="e">
        <f>NA()</f>
        <v>#N/A</v>
      </c>
      <c r="G93" t="e">
        <f>NA()</f>
        <v>#N/A</v>
      </c>
      <c r="H93" t="e">
        <f>NA()</f>
        <v>#N/A</v>
      </c>
      <c r="I93" t="e">
        <f>NA()</f>
        <v>#N/A</v>
      </c>
      <c r="J93" t="e">
        <f>NA()</f>
        <v>#N/A</v>
      </c>
      <c r="K93" t="e">
        <f>NA()</f>
        <v>#N/A</v>
      </c>
      <c r="L93" t="e">
        <f>NA()</f>
        <v>#N/A</v>
      </c>
      <c r="M93" t="e">
        <f>NA()</f>
        <v>#N/A</v>
      </c>
      <c r="N93" t="e">
        <f>NA()</f>
        <v>#N/A</v>
      </c>
      <c r="O93">
        <f t="shared" si="3"/>
        <v>4.3</v>
      </c>
    </row>
    <row r="94" spans="1:15" x14ac:dyDescent="0.25">
      <c r="A94" s="1">
        <v>45847</v>
      </c>
      <c r="B94" t="e">
        <f>NA()</f>
        <v>#N/A</v>
      </c>
      <c r="C94" t="e">
        <f>NA()</f>
        <v>#N/A</v>
      </c>
      <c r="D94" t="e">
        <f>NA()</f>
        <v>#N/A</v>
      </c>
      <c r="E94" t="e">
        <f>NA()</f>
        <v>#N/A</v>
      </c>
      <c r="F94" t="e">
        <f>NA()</f>
        <v>#N/A</v>
      </c>
      <c r="G94" t="e">
        <f>NA()</f>
        <v>#N/A</v>
      </c>
      <c r="H94" t="e">
        <f>NA()</f>
        <v>#N/A</v>
      </c>
      <c r="I94" t="e">
        <f>NA()</f>
        <v>#N/A</v>
      </c>
      <c r="J94" t="e">
        <f>NA()</f>
        <v>#N/A</v>
      </c>
      <c r="K94" t="e">
        <f>NA()</f>
        <v>#N/A</v>
      </c>
      <c r="L94" t="e">
        <f>NA()</f>
        <v>#N/A</v>
      </c>
      <c r="M94" t="e">
        <f>NA()</f>
        <v>#N/A</v>
      </c>
      <c r="N94" t="e">
        <f>NA()</f>
        <v>#N/A</v>
      </c>
      <c r="O94">
        <f t="shared" si="3"/>
        <v>4.3</v>
      </c>
    </row>
    <row r="95" spans="1:15" x14ac:dyDescent="0.25">
      <c r="A95" s="1">
        <v>45846</v>
      </c>
      <c r="B95" t="e">
        <f>NA()</f>
        <v>#N/A</v>
      </c>
      <c r="C95" t="e">
        <f>NA()</f>
        <v>#N/A</v>
      </c>
      <c r="D95" t="e">
        <f>NA()</f>
        <v>#N/A</v>
      </c>
      <c r="E95" t="e">
        <f>NA()</f>
        <v>#N/A</v>
      </c>
      <c r="F95" t="e">
        <f>NA()</f>
        <v>#N/A</v>
      </c>
      <c r="G95" t="e">
        <f>NA()</f>
        <v>#N/A</v>
      </c>
      <c r="H95" t="e">
        <f>NA()</f>
        <v>#N/A</v>
      </c>
      <c r="I95" t="e">
        <f>NA()</f>
        <v>#N/A</v>
      </c>
      <c r="J95" t="e">
        <f>NA()</f>
        <v>#N/A</v>
      </c>
      <c r="K95" t="e">
        <f>NA()</f>
        <v>#N/A</v>
      </c>
      <c r="L95" t="e">
        <f>NA()</f>
        <v>#N/A</v>
      </c>
      <c r="M95" t="e">
        <f>NA()</f>
        <v>#N/A</v>
      </c>
      <c r="N95" t="e">
        <f>NA()</f>
        <v>#N/A</v>
      </c>
      <c r="O95">
        <f t="shared" si="3"/>
        <v>4.3</v>
      </c>
    </row>
    <row r="96" spans="1:15" x14ac:dyDescent="0.25">
      <c r="A96" s="1">
        <v>45845</v>
      </c>
      <c r="B96" t="e">
        <f>NA()</f>
        <v>#N/A</v>
      </c>
      <c r="C96" t="e">
        <f>NA()</f>
        <v>#N/A</v>
      </c>
      <c r="D96" t="e">
        <f>NA()</f>
        <v>#N/A</v>
      </c>
      <c r="E96" t="e">
        <f>NA()</f>
        <v>#N/A</v>
      </c>
      <c r="F96" t="e">
        <f>NA()</f>
        <v>#N/A</v>
      </c>
      <c r="G96" t="e">
        <f>NA()</f>
        <v>#N/A</v>
      </c>
      <c r="H96" t="e">
        <f>NA()</f>
        <v>#N/A</v>
      </c>
      <c r="I96" t="e">
        <f>NA()</f>
        <v>#N/A</v>
      </c>
      <c r="J96" t="e">
        <f>NA()</f>
        <v>#N/A</v>
      </c>
      <c r="K96" t="e">
        <f>NA()</f>
        <v>#N/A</v>
      </c>
      <c r="L96" t="e">
        <f>NA()</f>
        <v>#N/A</v>
      </c>
      <c r="M96" t="e">
        <f>NA()</f>
        <v>#N/A</v>
      </c>
      <c r="N96" t="e">
        <f>NA()</f>
        <v>#N/A</v>
      </c>
      <c r="O96">
        <f t="shared" si="3"/>
        <v>4.3</v>
      </c>
    </row>
    <row r="97" spans="1:15" x14ac:dyDescent="0.25">
      <c r="A97" s="1">
        <v>45842</v>
      </c>
      <c r="B97">
        <f>-0.9</f>
        <v>-0.9</v>
      </c>
      <c r="C97">
        <f>0</f>
        <v>0</v>
      </c>
      <c r="D97" t="e">
        <f>NA()</f>
        <v>#N/A</v>
      </c>
      <c r="E97" t="e">
        <f>NA()</f>
        <v>#N/A</v>
      </c>
      <c r="F97" t="e">
        <f>NA()</f>
        <v>#N/A</v>
      </c>
      <c r="G97" t="e">
        <f>NA()</f>
        <v>#N/A</v>
      </c>
      <c r="H97" t="e">
        <f>NA()</f>
        <v>#N/A</v>
      </c>
      <c r="I97" t="e">
        <f>NA()</f>
        <v>#N/A</v>
      </c>
      <c r="J97" t="e">
        <f>NA()</f>
        <v>#N/A</v>
      </c>
      <c r="K97" t="e">
        <f>NA()</f>
        <v>#N/A</v>
      </c>
      <c r="L97" t="e">
        <f>NA()</f>
        <v>#N/A</v>
      </c>
      <c r="M97" t="e">
        <f>NA()</f>
        <v>#N/A</v>
      </c>
      <c r="N97" t="e">
        <f>NA()</f>
        <v>#N/A</v>
      </c>
      <c r="O97" t="e">
        <f>NA()</f>
        <v>#N/A</v>
      </c>
    </row>
    <row r="98" spans="1:15" x14ac:dyDescent="0.25">
      <c r="A98" s="1">
        <v>45841</v>
      </c>
      <c r="B98" t="e">
        <f>NA()</f>
        <v>#N/A</v>
      </c>
      <c r="C98" t="e">
        <f>NA()</f>
        <v>#N/A</v>
      </c>
      <c r="D98" t="e">
        <f>NA()</f>
        <v>#N/A</v>
      </c>
      <c r="E98" t="e">
        <f>NA()</f>
        <v>#N/A</v>
      </c>
      <c r="F98" t="e">
        <f>NA()</f>
        <v>#N/A</v>
      </c>
      <c r="G98" t="e">
        <f>NA()</f>
        <v>#N/A</v>
      </c>
      <c r="H98" t="e">
        <f>NA()</f>
        <v>#N/A</v>
      </c>
      <c r="I98" t="e">
        <f>NA()</f>
        <v>#N/A</v>
      </c>
      <c r="J98" t="e">
        <f>NA()</f>
        <v>#N/A</v>
      </c>
      <c r="K98" t="e">
        <f>NA()</f>
        <v>#N/A</v>
      </c>
      <c r="L98" t="e">
        <f>NA()</f>
        <v>#N/A</v>
      </c>
      <c r="M98" t="e">
        <f>NA()</f>
        <v>#N/A</v>
      </c>
      <c r="N98" t="e">
        <f>NA()</f>
        <v>#N/A</v>
      </c>
      <c r="O98">
        <f t="shared" ref="O98:O120" si="4">4.3</f>
        <v>4.3</v>
      </c>
    </row>
    <row r="99" spans="1:15" x14ac:dyDescent="0.25">
      <c r="A99" s="1">
        <v>45840</v>
      </c>
      <c r="B99" t="e">
        <f>NA()</f>
        <v>#N/A</v>
      </c>
      <c r="C99" t="e">
        <f>NA()</f>
        <v>#N/A</v>
      </c>
      <c r="D99" t="e">
        <f>NA()</f>
        <v>#N/A</v>
      </c>
      <c r="E99" t="e">
        <f>NA()</f>
        <v>#N/A</v>
      </c>
      <c r="F99" t="e">
        <f>NA()</f>
        <v>#N/A</v>
      </c>
      <c r="G99" t="e">
        <f>NA()</f>
        <v>#N/A</v>
      </c>
      <c r="H99" t="e">
        <f>NA()</f>
        <v>#N/A</v>
      </c>
      <c r="I99" t="e">
        <f>NA()</f>
        <v>#N/A</v>
      </c>
      <c r="J99" t="e">
        <f>NA()</f>
        <v>#N/A</v>
      </c>
      <c r="K99" t="e">
        <f>NA()</f>
        <v>#N/A</v>
      </c>
      <c r="L99" t="e">
        <f>NA()</f>
        <v>#N/A</v>
      </c>
      <c r="M99" t="e">
        <f>NA()</f>
        <v>#N/A</v>
      </c>
      <c r="N99" t="e">
        <f>NA()</f>
        <v>#N/A</v>
      </c>
      <c r="O99">
        <f t="shared" si="4"/>
        <v>4.3</v>
      </c>
    </row>
    <row r="100" spans="1:15" x14ac:dyDescent="0.25">
      <c r="A100" s="1">
        <v>45839</v>
      </c>
      <c r="B100" t="e">
        <f>NA()</f>
        <v>#N/A</v>
      </c>
      <c r="C100" t="e">
        <f>NA()</f>
        <v>#N/A</v>
      </c>
      <c r="D100" t="e">
        <f>NA()</f>
        <v>#N/A</v>
      </c>
      <c r="E100" t="e">
        <f>NA()</f>
        <v>#N/A</v>
      </c>
      <c r="F100" t="e">
        <f>NA()</f>
        <v>#N/A</v>
      </c>
      <c r="G100" t="e">
        <f>NA()</f>
        <v>#N/A</v>
      </c>
      <c r="H100" t="e">
        <f>NA()</f>
        <v>#N/A</v>
      </c>
      <c r="I100" t="e">
        <f>NA()</f>
        <v>#N/A</v>
      </c>
      <c r="J100" t="e">
        <f>NA()</f>
        <v>#N/A</v>
      </c>
      <c r="K100" t="e">
        <f>NA()</f>
        <v>#N/A</v>
      </c>
      <c r="L100" t="e">
        <f>NA()</f>
        <v>#N/A</v>
      </c>
      <c r="M100" t="e">
        <f>NA()</f>
        <v>#N/A</v>
      </c>
      <c r="N100" t="e">
        <f>NA()</f>
        <v>#N/A</v>
      </c>
      <c r="O100">
        <f t="shared" si="4"/>
        <v>4.3</v>
      </c>
    </row>
    <row r="101" spans="1:15" x14ac:dyDescent="0.25">
      <c r="A101" s="1">
        <v>45838</v>
      </c>
      <c r="B101" t="e">
        <f>NA()</f>
        <v>#N/A</v>
      </c>
      <c r="C101" t="e">
        <f>NA()</f>
        <v>#N/A</v>
      </c>
      <c r="D101">
        <f>0.2</f>
        <v>0.2</v>
      </c>
      <c r="E101">
        <f>1</f>
        <v>1</v>
      </c>
      <c r="F101">
        <f>7357</f>
        <v>7357</v>
      </c>
      <c r="G101">
        <f>62.3</f>
        <v>62.3</v>
      </c>
      <c r="H101">
        <f>5.2</f>
        <v>5.2</v>
      </c>
      <c r="I101">
        <f>322.6</f>
        <v>322.60000000000002</v>
      </c>
      <c r="J101">
        <f>2.7</f>
        <v>2.7</v>
      </c>
      <c r="K101">
        <f>49</f>
        <v>49</v>
      </c>
      <c r="L101">
        <f>0.5</f>
        <v>0.5</v>
      </c>
      <c r="M101">
        <f>3.8</f>
        <v>3.8</v>
      </c>
      <c r="N101">
        <f>4.1</f>
        <v>4.0999999999999996</v>
      </c>
      <c r="O101">
        <f t="shared" si="4"/>
        <v>4.3</v>
      </c>
    </row>
    <row r="102" spans="1:15" x14ac:dyDescent="0.25">
      <c r="A102" s="1">
        <v>45835</v>
      </c>
      <c r="B102">
        <f>-0.7</f>
        <v>-0.7</v>
      </c>
      <c r="C102">
        <f>0</f>
        <v>0</v>
      </c>
      <c r="D102" t="e">
        <f>NA()</f>
        <v>#N/A</v>
      </c>
      <c r="E102" t="e">
        <f>NA()</f>
        <v>#N/A</v>
      </c>
      <c r="F102" t="e">
        <f>NA()</f>
        <v>#N/A</v>
      </c>
      <c r="G102" t="e">
        <f>NA()</f>
        <v>#N/A</v>
      </c>
      <c r="H102" t="e">
        <f>NA()</f>
        <v>#N/A</v>
      </c>
      <c r="I102" t="e">
        <f>NA()</f>
        <v>#N/A</v>
      </c>
      <c r="J102" t="e">
        <f>NA()</f>
        <v>#N/A</v>
      </c>
      <c r="K102" t="e">
        <f>NA()</f>
        <v>#N/A</v>
      </c>
      <c r="L102" t="e">
        <f>NA()</f>
        <v>#N/A</v>
      </c>
      <c r="M102" t="e">
        <f>NA()</f>
        <v>#N/A</v>
      </c>
      <c r="N102" t="e">
        <f>NA()</f>
        <v>#N/A</v>
      </c>
      <c r="O102">
        <f t="shared" si="4"/>
        <v>4.3</v>
      </c>
    </row>
    <row r="103" spans="1:15" x14ac:dyDescent="0.25">
      <c r="A103" s="1">
        <v>45834</v>
      </c>
      <c r="B103" t="e">
        <f>NA()</f>
        <v>#N/A</v>
      </c>
      <c r="C103" t="e">
        <f>NA()</f>
        <v>#N/A</v>
      </c>
      <c r="D103" t="e">
        <f>NA()</f>
        <v>#N/A</v>
      </c>
      <c r="E103" t="e">
        <f>NA()</f>
        <v>#N/A</v>
      </c>
      <c r="F103" t="e">
        <f>NA()</f>
        <v>#N/A</v>
      </c>
      <c r="G103" t="e">
        <f>NA()</f>
        <v>#N/A</v>
      </c>
      <c r="H103" t="e">
        <f>NA()</f>
        <v>#N/A</v>
      </c>
      <c r="I103" t="e">
        <f>NA()</f>
        <v>#N/A</v>
      </c>
      <c r="J103" t="e">
        <f>NA()</f>
        <v>#N/A</v>
      </c>
      <c r="K103" t="e">
        <f>NA()</f>
        <v>#N/A</v>
      </c>
      <c r="L103" t="e">
        <f>NA()</f>
        <v>#N/A</v>
      </c>
      <c r="M103" t="e">
        <f>NA()</f>
        <v>#N/A</v>
      </c>
      <c r="N103" t="e">
        <f>NA()</f>
        <v>#N/A</v>
      </c>
      <c r="O103">
        <f t="shared" si="4"/>
        <v>4.3</v>
      </c>
    </row>
    <row r="104" spans="1:15" x14ac:dyDescent="0.25">
      <c r="A104" s="1">
        <v>45833</v>
      </c>
      <c r="B104" t="e">
        <f>NA()</f>
        <v>#N/A</v>
      </c>
      <c r="C104" t="e">
        <f>NA()</f>
        <v>#N/A</v>
      </c>
      <c r="D104" t="e">
        <f>NA()</f>
        <v>#N/A</v>
      </c>
      <c r="E104" t="e">
        <f>NA()</f>
        <v>#N/A</v>
      </c>
      <c r="F104" t="e">
        <f>NA()</f>
        <v>#N/A</v>
      </c>
      <c r="G104" t="e">
        <f>NA()</f>
        <v>#N/A</v>
      </c>
      <c r="H104" t="e">
        <f>NA()</f>
        <v>#N/A</v>
      </c>
      <c r="I104" t="e">
        <f>NA()</f>
        <v>#N/A</v>
      </c>
      <c r="J104" t="e">
        <f>NA()</f>
        <v>#N/A</v>
      </c>
      <c r="K104" t="e">
        <f>NA()</f>
        <v>#N/A</v>
      </c>
      <c r="L104" t="e">
        <f>NA()</f>
        <v>#N/A</v>
      </c>
      <c r="M104" t="e">
        <f>NA()</f>
        <v>#N/A</v>
      </c>
      <c r="N104" t="e">
        <f>NA()</f>
        <v>#N/A</v>
      </c>
      <c r="O104">
        <f t="shared" si="4"/>
        <v>4.3</v>
      </c>
    </row>
    <row r="105" spans="1:15" x14ac:dyDescent="0.25">
      <c r="A105" s="1">
        <v>45832</v>
      </c>
      <c r="B105" t="e">
        <f>NA()</f>
        <v>#N/A</v>
      </c>
      <c r="C105" t="e">
        <f>NA()</f>
        <v>#N/A</v>
      </c>
      <c r="D105" t="e">
        <f>NA()</f>
        <v>#N/A</v>
      </c>
      <c r="E105" t="e">
        <f>NA()</f>
        <v>#N/A</v>
      </c>
      <c r="F105" t="e">
        <f>NA()</f>
        <v>#N/A</v>
      </c>
      <c r="G105" t="e">
        <f>NA()</f>
        <v>#N/A</v>
      </c>
      <c r="H105" t="e">
        <f>NA()</f>
        <v>#N/A</v>
      </c>
      <c r="I105" t="e">
        <f>NA()</f>
        <v>#N/A</v>
      </c>
      <c r="J105" t="e">
        <f>NA()</f>
        <v>#N/A</v>
      </c>
      <c r="K105" t="e">
        <f>NA()</f>
        <v>#N/A</v>
      </c>
      <c r="L105" t="e">
        <f>NA()</f>
        <v>#N/A</v>
      </c>
      <c r="M105" t="e">
        <f>NA()</f>
        <v>#N/A</v>
      </c>
      <c r="N105" t="e">
        <f>NA()</f>
        <v>#N/A</v>
      </c>
      <c r="O105">
        <f t="shared" si="4"/>
        <v>4.3</v>
      </c>
    </row>
    <row r="106" spans="1:15" x14ac:dyDescent="0.25">
      <c r="A106" s="1">
        <v>45831</v>
      </c>
      <c r="B106" t="e">
        <f>NA()</f>
        <v>#N/A</v>
      </c>
      <c r="C106" t="e">
        <f>NA()</f>
        <v>#N/A</v>
      </c>
      <c r="D106" t="e">
        <f>NA()</f>
        <v>#N/A</v>
      </c>
      <c r="E106" t="e">
        <f>NA()</f>
        <v>#N/A</v>
      </c>
      <c r="F106" t="e">
        <f>NA()</f>
        <v>#N/A</v>
      </c>
      <c r="G106" t="e">
        <f>NA()</f>
        <v>#N/A</v>
      </c>
      <c r="H106" t="e">
        <f>NA()</f>
        <v>#N/A</v>
      </c>
      <c r="I106" t="e">
        <f>NA()</f>
        <v>#N/A</v>
      </c>
      <c r="J106" t="e">
        <f>NA()</f>
        <v>#N/A</v>
      </c>
      <c r="K106" t="e">
        <f>NA()</f>
        <v>#N/A</v>
      </c>
      <c r="L106" t="e">
        <f>NA()</f>
        <v>#N/A</v>
      </c>
      <c r="M106" t="e">
        <f>NA()</f>
        <v>#N/A</v>
      </c>
      <c r="N106" t="e">
        <f>NA()</f>
        <v>#N/A</v>
      </c>
      <c r="O106">
        <f t="shared" si="4"/>
        <v>4.3</v>
      </c>
    </row>
    <row r="107" spans="1:15" x14ac:dyDescent="0.25">
      <c r="A107" s="1">
        <v>45828</v>
      </c>
      <c r="B107">
        <f>-0.7</f>
        <v>-0.7</v>
      </c>
      <c r="C107">
        <f>0</f>
        <v>0</v>
      </c>
      <c r="D107" t="e">
        <f>NA()</f>
        <v>#N/A</v>
      </c>
      <c r="E107" t="e">
        <f>NA()</f>
        <v>#N/A</v>
      </c>
      <c r="F107" t="e">
        <f>NA()</f>
        <v>#N/A</v>
      </c>
      <c r="G107" t="e">
        <f>NA()</f>
        <v>#N/A</v>
      </c>
      <c r="H107" t="e">
        <f>NA()</f>
        <v>#N/A</v>
      </c>
      <c r="I107" t="e">
        <f>NA()</f>
        <v>#N/A</v>
      </c>
      <c r="J107" t="e">
        <f>NA()</f>
        <v>#N/A</v>
      </c>
      <c r="K107" t="e">
        <f>NA()</f>
        <v>#N/A</v>
      </c>
      <c r="L107" t="e">
        <f>NA()</f>
        <v>#N/A</v>
      </c>
      <c r="M107" t="e">
        <f>NA()</f>
        <v>#N/A</v>
      </c>
      <c r="N107" t="e">
        <f>NA()</f>
        <v>#N/A</v>
      </c>
      <c r="O107">
        <f t="shared" si="4"/>
        <v>4.3</v>
      </c>
    </row>
    <row r="108" spans="1:15" x14ac:dyDescent="0.25">
      <c r="A108" s="1">
        <v>45826</v>
      </c>
      <c r="B108" t="e">
        <f>NA()</f>
        <v>#N/A</v>
      </c>
      <c r="C108" t="e">
        <f>NA()</f>
        <v>#N/A</v>
      </c>
      <c r="D108" t="e">
        <f>NA()</f>
        <v>#N/A</v>
      </c>
      <c r="E108" t="e">
        <f>NA()</f>
        <v>#N/A</v>
      </c>
      <c r="F108" t="e">
        <f>NA()</f>
        <v>#N/A</v>
      </c>
      <c r="G108" t="e">
        <f>NA()</f>
        <v>#N/A</v>
      </c>
      <c r="H108" t="e">
        <f>NA()</f>
        <v>#N/A</v>
      </c>
      <c r="I108" t="e">
        <f>NA()</f>
        <v>#N/A</v>
      </c>
      <c r="J108" t="e">
        <f>NA()</f>
        <v>#N/A</v>
      </c>
      <c r="K108" t="e">
        <f>NA()</f>
        <v>#N/A</v>
      </c>
      <c r="L108" t="e">
        <f>NA()</f>
        <v>#N/A</v>
      </c>
      <c r="M108" t="e">
        <f>NA()</f>
        <v>#N/A</v>
      </c>
      <c r="N108" t="e">
        <f>NA()</f>
        <v>#N/A</v>
      </c>
      <c r="O108">
        <f t="shared" si="4"/>
        <v>4.3</v>
      </c>
    </row>
    <row r="109" spans="1:15" x14ac:dyDescent="0.25">
      <c r="A109" s="1">
        <v>45825</v>
      </c>
      <c r="B109" t="e">
        <f>NA()</f>
        <v>#N/A</v>
      </c>
      <c r="C109" t="e">
        <f>NA()</f>
        <v>#N/A</v>
      </c>
      <c r="D109" t="e">
        <f>NA()</f>
        <v>#N/A</v>
      </c>
      <c r="E109" t="e">
        <f>NA()</f>
        <v>#N/A</v>
      </c>
      <c r="F109" t="e">
        <f>NA()</f>
        <v>#N/A</v>
      </c>
      <c r="G109" t="e">
        <f>NA()</f>
        <v>#N/A</v>
      </c>
      <c r="H109" t="e">
        <f>NA()</f>
        <v>#N/A</v>
      </c>
      <c r="I109" t="e">
        <f>NA()</f>
        <v>#N/A</v>
      </c>
      <c r="J109" t="e">
        <f>NA()</f>
        <v>#N/A</v>
      </c>
      <c r="K109" t="e">
        <f>NA()</f>
        <v>#N/A</v>
      </c>
      <c r="L109" t="e">
        <f>NA()</f>
        <v>#N/A</v>
      </c>
      <c r="M109" t="e">
        <f>NA()</f>
        <v>#N/A</v>
      </c>
      <c r="N109" t="e">
        <f>NA()</f>
        <v>#N/A</v>
      </c>
      <c r="O109">
        <f t="shared" si="4"/>
        <v>4.3</v>
      </c>
    </row>
    <row r="110" spans="1:15" x14ac:dyDescent="0.25">
      <c r="A110" s="1">
        <v>45824</v>
      </c>
      <c r="B110" t="e">
        <f>NA()</f>
        <v>#N/A</v>
      </c>
      <c r="C110" t="e">
        <f>NA()</f>
        <v>#N/A</v>
      </c>
      <c r="D110" t="e">
        <f>NA()</f>
        <v>#N/A</v>
      </c>
      <c r="E110" t="e">
        <f>NA()</f>
        <v>#N/A</v>
      </c>
      <c r="F110" t="e">
        <f>NA()</f>
        <v>#N/A</v>
      </c>
      <c r="G110" t="e">
        <f>NA()</f>
        <v>#N/A</v>
      </c>
      <c r="H110" t="e">
        <f>NA()</f>
        <v>#N/A</v>
      </c>
      <c r="I110" t="e">
        <f>NA()</f>
        <v>#N/A</v>
      </c>
      <c r="J110" t="e">
        <f>NA()</f>
        <v>#N/A</v>
      </c>
      <c r="K110" t="e">
        <f>NA()</f>
        <v>#N/A</v>
      </c>
      <c r="L110" t="e">
        <f>NA()</f>
        <v>#N/A</v>
      </c>
      <c r="M110" t="e">
        <f>NA()</f>
        <v>#N/A</v>
      </c>
      <c r="N110" t="e">
        <f>NA()</f>
        <v>#N/A</v>
      </c>
      <c r="O110">
        <f t="shared" si="4"/>
        <v>4.3</v>
      </c>
    </row>
    <row r="111" spans="1:15" x14ac:dyDescent="0.25">
      <c r="A111" s="1">
        <v>45821</v>
      </c>
      <c r="B111">
        <f>-0.8</f>
        <v>-0.8</v>
      </c>
      <c r="C111">
        <f>0</f>
        <v>0</v>
      </c>
      <c r="D111" t="e">
        <f>NA()</f>
        <v>#N/A</v>
      </c>
      <c r="E111" t="e">
        <f>NA()</f>
        <v>#N/A</v>
      </c>
      <c r="F111" t="e">
        <f>NA()</f>
        <v>#N/A</v>
      </c>
      <c r="G111" t="e">
        <f>NA()</f>
        <v>#N/A</v>
      </c>
      <c r="H111" t="e">
        <f>NA()</f>
        <v>#N/A</v>
      </c>
      <c r="I111" t="e">
        <f>NA()</f>
        <v>#N/A</v>
      </c>
      <c r="J111" t="e">
        <f>NA()</f>
        <v>#N/A</v>
      </c>
      <c r="K111" t="e">
        <f>NA()</f>
        <v>#N/A</v>
      </c>
      <c r="L111" t="e">
        <f>NA()</f>
        <v>#N/A</v>
      </c>
      <c r="M111" t="e">
        <f>NA()</f>
        <v>#N/A</v>
      </c>
      <c r="N111" t="e">
        <f>NA()</f>
        <v>#N/A</v>
      </c>
      <c r="O111">
        <f t="shared" si="4"/>
        <v>4.3</v>
      </c>
    </row>
    <row r="112" spans="1:15" x14ac:dyDescent="0.25">
      <c r="A112" s="1">
        <v>45820</v>
      </c>
      <c r="B112" t="e">
        <f>NA()</f>
        <v>#N/A</v>
      </c>
      <c r="C112" t="e">
        <f>NA()</f>
        <v>#N/A</v>
      </c>
      <c r="D112" t="e">
        <f>NA()</f>
        <v>#N/A</v>
      </c>
      <c r="E112" t="e">
        <f>NA()</f>
        <v>#N/A</v>
      </c>
      <c r="F112" t="e">
        <f>NA()</f>
        <v>#N/A</v>
      </c>
      <c r="G112" t="e">
        <f>NA()</f>
        <v>#N/A</v>
      </c>
      <c r="H112" t="e">
        <f>NA()</f>
        <v>#N/A</v>
      </c>
      <c r="I112" t="e">
        <f>NA()</f>
        <v>#N/A</v>
      </c>
      <c r="J112" t="e">
        <f>NA()</f>
        <v>#N/A</v>
      </c>
      <c r="K112" t="e">
        <f>NA()</f>
        <v>#N/A</v>
      </c>
      <c r="L112" t="e">
        <f>NA()</f>
        <v>#N/A</v>
      </c>
      <c r="M112" t="e">
        <f>NA()</f>
        <v>#N/A</v>
      </c>
      <c r="N112" t="e">
        <f>NA()</f>
        <v>#N/A</v>
      </c>
      <c r="O112">
        <f t="shared" si="4"/>
        <v>4.3</v>
      </c>
    </row>
    <row r="113" spans="1:15" x14ac:dyDescent="0.25">
      <c r="A113" s="1">
        <v>45819</v>
      </c>
      <c r="B113" t="e">
        <f>NA()</f>
        <v>#N/A</v>
      </c>
      <c r="C113" t="e">
        <f>NA()</f>
        <v>#N/A</v>
      </c>
      <c r="D113" t="e">
        <f>NA()</f>
        <v>#N/A</v>
      </c>
      <c r="E113" t="e">
        <f>NA()</f>
        <v>#N/A</v>
      </c>
      <c r="F113" t="e">
        <f>NA()</f>
        <v>#N/A</v>
      </c>
      <c r="G113" t="e">
        <f>NA()</f>
        <v>#N/A</v>
      </c>
      <c r="H113" t="e">
        <f>NA()</f>
        <v>#N/A</v>
      </c>
      <c r="I113" t="e">
        <f>NA()</f>
        <v>#N/A</v>
      </c>
      <c r="J113" t="e">
        <f>NA()</f>
        <v>#N/A</v>
      </c>
      <c r="K113" t="e">
        <f>NA()</f>
        <v>#N/A</v>
      </c>
      <c r="L113" t="e">
        <f>NA()</f>
        <v>#N/A</v>
      </c>
      <c r="M113" t="e">
        <f>NA()</f>
        <v>#N/A</v>
      </c>
      <c r="N113" t="e">
        <f>NA()</f>
        <v>#N/A</v>
      </c>
      <c r="O113">
        <f t="shared" si="4"/>
        <v>4.3</v>
      </c>
    </row>
    <row r="114" spans="1:15" x14ac:dyDescent="0.25">
      <c r="A114" s="1">
        <v>45818</v>
      </c>
      <c r="B114" t="e">
        <f>NA()</f>
        <v>#N/A</v>
      </c>
      <c r="C114" t="e">
        <f>NA()</f>
        <v>#N/A</v>
      </c>
      <c r="D114" t="e">
        <f>NA()</f>
        <v>#N/A</v>
      </c>
      <c r="E114" t="e">
        <f>NA()</f>
        <v>#N/A</v>
      </c>
      <c r="F114" t="e">
        <f>NA()</f>
        <v>#N/A</v>
      </c>
      <c r="G114" t="e">
        <f>NA()</f>
        <v>#N/A</v>
      </c>
      <c r="H114" t="e">
        <f>NA()</f>
        <v>#N/A</v>
      </c>
      <c r="I114" t="e">
        <f>NA()</f>
        <v>#N/A</v>
      </c>
      <c r="J114" t="e">
        <f>NA()</f>
        <v>#N/A</v>
      </c>
      <c r="K114" t="e">
        <f>NA()</f>
        <v>#N/A</v>
      </c>
      <c r="L114" t="e">
        <f>NA()</f>
        <v>#N/A</v>
      </c>
      <c r="M114" t="e">
        <f>NA()</f>
        <v>#N/A</v>
      </c>
      <c r="N114" t="e">
        <f>NA()</f>
        <v>#N/A</v>
      </c>
      <c r="O114">
        <f t="shared" si="4"/>
        <v>4.3</v>
      </c>
    </row>
    <row r="115" spans="1:15" x14ac:dyDescent="0.25">
      <c r="A115" s="1">
        <v>45817</v>
      </c>
      <c r="B115" t="e">
        <f>NA()</f>
        <v>#N/A</v>
      </c>
      <c r="C115" t="e">
        <f>NA()</f>
        <v>#N/A</v>
      </c>
      <c r="D115" t="e">
        <f>NA()</f>
        <v>#N/A</v>
      </c>
      <c r="E115" t="e">
        <f>NA()</f>
        <v>#N/A</v>
      </c>
      <c r="F115" t="e">
        <f>NA()</f>
        <v>#N/A</v>
      </c>
      <c r="G115" t="e">
        <f>NA()</f>
        <v>#N/A</v>
      </c>
      <c r="H115" t="e">
        <f>NA()</f>
        <v>#N/A</v>
      </c>
      <c r="I115" t="e">
        <f>NA()</f>
        <v>#N/A</v>
      </c>
      <c r="J115" t="e">
        <f>NA()</f>
        <v>#N/A</v>
      </c>
      <c r="K115" t="e">
        <f>NA()</f>
        <v>#N/A</v>
      </c>
      <c r="L115" t="e">
        <f>NA()</f>
        <v>#N/A</v>
      </c>
      <c r="M115" t="e">
        <f>NA()</f>
        <v>#N/A</v>
      </c>
      <c r="N115" t="e">
        <f>NA()</f>
        <v>#N/A</v>
      </c>
      <c r="O115">
        <f t="shared" si="4"/>
        <v>4.3</v>
      </c>
    </row>
    <row r="116" spans="1:15" x14ac:dyDescent="0.25">
      <c r="A116" s="1">
        <v>45814</v>
      </c>
      <c r="B116">
        <f>-0.8</f>
        <v>-0.8</v>
      </c>
      <c r="C116">
        <f>0</f>
        <v>0</v>
      </c>
      <c r="D116" t="e">
        <f>NA()</f>
        <v>#N/A</v>
      </c>
      <c r="E116" t="e">
        <f>NA()</f>
        <v>#N/A</v>
      </c>
      <c r="F116" t="e">
        <f>NA()</f>
        <v>#N/A</v>
      </c>
      <c r="G116" t="e">
        <f>NA()</f>
        <v>#N/A</v>
      </c>
      <c r="H116" t="e">
        <f>NA()</f>
        <v>#N/A</v>
      </c>
      <c r="I116" t="e">
        <f>NA()</f>
        <v>#N/A</v>
      </c>
      <c r="J116" t="e">
        <f>NA()</f>
        <v>#N/A</v>
      </c>
      <c r="K116" t="e">
        <f>NA()</f>
        <v>#N/A</v>
      </c>
      <c r="L116" t="e">
        <f>NA()</f>
        <v>#N/A</v>
      </c>
      <c r="M116" t="e">
        <f>NA()</f>
        <v>#N/A</v>
      </c>
      <c r="N116" t="e">
        <f>NA()</f>
        <v>#N/A</v>
      </c>
      <c r="O116">
        <f t="shared" si="4"/>
        <v>4.3</v>
      </c>
    </row>
    <row r="117" spans="1:15" x14ac:dyDescent="0.25">
      <c r="A117" s="1">
        <v>45813</v>
      </c>
      <c r="B117" t="e">
        <f>NA()</f>
        <v>#N/A</v>
      </c>
      <c r="C117" t="e">
        <f>NA()</f>
        <v>#N/A</v>
      </c>
      <c r="D117" t="e">
        <f>NA()</f>
        <v>#N/A</v>
      </c>
      <c r="E117" t="e">
        <f>NA()</f>
        <v>#N/A</v>
      </c>
      <c r="F117" t="e">
        <f>NA()</f>
        <v>#N/A</v>
      </c>
      <c r="G117" t="e">
        <f>NA()</f>
        <v>#N/A</v>
      </c>
      <c r="H117" t="e">
        <f>NA()</f>
        <v>#N/A</v>
      </c>
      <c r="I117" t="e">
        <f>NA()</f>
        <v>#N/A</v>
      </c>
      <c r="J117" t="e">
        <f>NA()</f>
        <v>#N/A</v>
      </c>
      <c r="K117" t="e">
        <f>NA()</f>
        <v>#N/A</v>
      </c>
      <c r="L117" t="e">
        <f>NA()</f>
        <v>#N/A</v>
      </c>
      <c r="M117" t="e">
        <f>NA()</f>
        <v>#N/A</v>
      </c>
      <c r="N117" t="e">
        <f>NA()</f>
        <v>#N/A</v>
      </c>
      <c r="O117">
        <f t="shared" si="4"/>
        <v>4.3</v>
      </c>
    </row>
    <row r="118" spans="1:15" x14ac:dyDescent="0.25">
      <c r="A118" s="1">
        <v>45812</v>
      </c>
      <c r="B118" t="e">
        <f>NA()</f>
        <v>#N/A</v>
      </c>
      <c r="C118" t="e">
        <f>NA()</f>
        <v>#N/A</v>
      </c>
      <c r="D118" t="e">
        <f>NA()</f>
        <v>#N/A</v>
      </c>
      <c r="E118" t="e">
        <f>NA()</f>
        <v>#N/A</v>
      </c>
      <c r="F118" t="e">
        <f>NA()</f>
        <v>#N/A</v>
      </c>
      <c r="G118" t="e">
        <f>NA()</f>
        <v>#N/A</v>
      </c>
      <c r="H118" t="e">
        <f>NA()</f>
        <v>#N/A</v>
      </c>
      <c r="I118" t="e">
        <f>NA()</f>
        <v>#N/A</v>
      </c>
      <c r="J118" t="e">
        <f>NA()</f>
        <v>#N/A</v>
      </c>
      <c r="K118" t="e">
        <f>NA()</f>
        <v>#N/A</v>
      </c>
      <c r="L118" t="e">
        <f>NA()</f>
        <v>#N/A</v>
      </c>
      <c r="M118" t="e">
        <f>NA()</f>
        <v>#N/A</v>
      </c>
      <c r="N118" t="e">
        <f>NA()</f>
        <v>#N/A</v>
      </c>
      <c r="O118">
        <f t="shared" si="4"/>
        <v>4.3</v>
      </c>
    </row>
    <row r="119" spans="1:15" x14ac:dyDescent="0.25">
      <c r="A119" s="1">
        <v>45811</v>
      </c>
      <c r="B119" t="e">
        <f>NA()</f>
        <v>#N/A</v>
      </c>
      <c r="C119" t="e">
        <f>NA()</f>
        <v>#N/A</v>
      </c>
      <c r="D119" t="e">
        <f>NA()</f>
        <v>#N/A</v>
      </c>
      <c r="E119" t="e">
        <f>NA()</f>
        <v>#N/A</v>
      </c>
      <c r="F119" t="e">
        <f>NA()</f>
        <v>#N/A</v>
      </c>
      <c r="G119" t="e">
        <f>NA()</f>
        <v>#N/A</v>
      </c>
      <c r="H119" t="e">
        <f>NA()</f>
        <v>#N/A</v>
      </c>
      <c r="I119" t="e">
        <f>NA()</f>
        <v>#N/A</v>
      </c>
      <c r="J119" t="e">
        <f>NA()</f>
        <v>#N/A</v>
      </c>
      <c r="K119" t="e">
        <f>NA()</f>
        <v>#N/A</v>
      </c>
      <c r="L119" t="e">
        <f>NA()</f>
        <v>#N/A</v>
      </c>
      <c r="M119" t="e">
        <f>NA()</f>
        <v>#N/A</v>
      </c>
      <c r="N119" t="e">
        <f>NA()</f>
        <v>#N/A</v>
      </c>
      <c r="O119">
        <f t="shared" si="4"/>
        <v>4.3</v>
      </c>
    </row>
    <row r="120" spans="1:15" x14ac:dyDescent="0.25">
      <c r="A120" s="1">
        <v>45810</v>
      </c>
      <c r="B120" t="e">
        <f>NA()</f>
        <v>#N/A</v>
      </c>
      <c r="C120" t="e">
        <f>NA()</f>
        <v>#N/A</v>
      </c>
      <c r="D120" t="e">
        <f>NA()</f>
        <v>#N/A</v>
      </c>
      <c r="E120" t="e">
        <f>NA()</f>
        <v>#N/A</v>
      </c>
      <c r="F120" t="e">
        <f>NA()</f>
        <v>#N/A</v>
      </c>
      <c r="G120" t="e">
        <f>NA()</f>
        <v>#N/A</v>
      </c>
      <c r="H120" t="e">
        <f>NA()</f>
        <v>#N/A</v>
      </c>
      <c r="I120" t="e">
        <f>NA()</f>
        <v>#N/A</v>
      </c>
      <c r="J120" t="e">
        <f>NA()</f>
        <v>#N/A</v>
      </c>
      <c r="K120" t="e">
        <f>NA()</f>
        <v>#N/A</v>
      </c>
      <c r="L120" t="e">
        <f>NA()</f>
        <v>#N/A</v>
      </c>
      <c r="M120" t="e">
        <f>NA()</f>
        <v>#N/A</v>
      </c>
      <c r="N120" t="e">
        <f>NA()</f>
        <v>#N/A</v>
      </c>
      <c r="O120">
        <f t="shared" si="4"/>
        <v>4.3</v>
      </c>
    </row>
    <row r="121" spans="1:15" x14ac:dyDescent="0.25">
      <c r="A121" s="1">
        <v>45808</v>
      </c>
      <c r="B121" t="e">
        <f>NA()</f>
        <v>#N/A</v>
      </c>
      <c r="C121" t="e">
        <f>NA()</f>
        <v>#N/A</v>
      </c>
      <c r="D121">
        <f>0.4</f>
        <v>0.4</v>
      </c>
      <c r="E121">
        <f>1.4</f>
        <v>1.4</v>
      </c>
      <c r="F121">
        <f>7712</f>
        <v>7712</v>
      </c>
      <c r="G121">
        <f>62.4</f>
        <v>62.4</v>
      </c>
      <c r="H121">
        <f>5</f>
        <v>5</v>
      </c>
      <c r="I121">
        <f>321.5</f>
        <v>321.5</v>
      </c>
      <c r="J121">
        <f>2.4</f>
        <v>2.4</v>
      </c>
      <c r="K121">
        <f>48.5</f>
        <v>48.5</v>
      </c>
      <c r="L121">
        <f>0</f>
        <v>0</v>
      </c>
      <c r="M121" t="e">
        <f>NA()</f>
        <v>#N/A</v>
      </c>
      <c r="N121">
        <f>4.2</f>
        <v>4.2</v>
      </c>
      <c r="O121" t="e">
        <f>NA()</f>
        <v>#N/A</v>
      </c>
    </row>
    <row r="122" spans="1:15" x14ac:dyDescent="0.25">
      <c r="A122" s="1">
        <v>45807</v>
      </c>
      <c r="B122">
        <f>-0.5</f>
        <v>-0.5</v>
      </c>
      <c r="C122">
        <f>0</f>
        <v>0</v>
      </c>
      <c r="D122" t="e">
        <f>NA()</f>
        <v>#N/A</v>
      </c>
      <c r="E122" t="e">
        <f>NA()</f>
        <v>#N/A</v>
      </c>
      <c r="F122" t="e">
        <f>NA()</f>
        <v>#N/A</v>
      </c>
      <c r="G122" t="e">
        <f>NA()</f>
        <v>#N/A</v>
      </c>
      <c r="H122" t="e">
        <f>NA()</f>
        <v>#N/A</v>
      </c>
      <c r="I122" t="e">
        <f>NA()</f>
        <v>#N/A</v>
      </c>
      <c r="J122" t="e">
        <f>NA()</f>
        <v>#N/A</v>
      </c>
      <c r="K122" t="e">
        <f>NA()</f>
        <v>#N/A</v>
      </c>
      <c r="L122" t="e">
        <f>NA()</f>
        <v>#N/A</v>
      </c>
      <c r="M122" t="e">
        <f>NA()</f>
        <v>#N/A</v>
      </c>
      <c r="N122" t="e">
        <f>NA()</f>
        <v>#N/A</v>
      </c>
      <c r="O122">
        <f t="shared" ref="O122:O153" si="5">4.3</f>
        <v>4.3</v>
      </c>
    </row>
    <row r="123" spans="1:15" x14ac:dyDescent="0.25">
      <c r="A123" s="1">
        <v>45806</v>
      </c>
      <c r="B123" t="e">
        <f>NA()</f>
        <v>#N/A</v>
      </c>
      <c r="C123" t="e">
        <f>NA()</f>
        <v>#N/A</v>
      </c>
      <c r="D123" t="e">
        <f>NA()</f>
        <v>#N/A</v>
      </c>
      <c r="E123" t="e">
        <f>NA()</f>
        <v>#N/A</v>
      </c>
      <c r="F123" t="e">
        <f>NA()</f>
        <v>#N/A</v>
      </c>
      <c r="G123" t="e">
        <f>NA()</f>
        <v>#N/A</v>
      </c>
      <c r="H123" t="e">
        <f>NA()</f>
        <v>#N/A</v>
      </c>
      <c r="I123" t="e">
        <f>NA()</f>
        <v>#N/A</v>
      </c>
      <c r="J123" t="e">
        <f>NA()</f>
        <v>#N/A</v>
      </c>
      <c r="K123" t="e">
        <f>NA()</f>
        <v>#N/A</v>
      </c>
      <c r="L123" t="e">
        <f>NA()</f>
        <v>#N/A</v>
      </c>
      <c r="M123" t="e">
        <f>NA()</f>
        <v>#N/A</v>
      </c>
      <c r="N123" t="e">
        <f>NA()</f>
        <v>#N/A</v>
      </c>
      <c r="O123">
        <f t="shared" si="5"/>
        <v>4.3</v>
      </c>
    </row>
    <row r="124" spans="1:15" x14ac:dyDescent="0.25">
      <c r="A124" s="1">
        <v>45805</v>
      </c>
      <c r="B124" t="e">
        <f>NA()</f>
        <v>#N/A</v>
      </c>
      <c r="C124" t="e">
        <f>NA()</f>
        <v>#N/A</v>
      </c>
      <c r="D124" t="e">
        <f>NA()</f>
        <v>#N/A</v>
      </c>
      <c r="E124" t="e">
        <f>NA()</f>
        <v>#N/A</v>
      </c>
      <c r="F124" t="e">
        <f>NA()</f>
        <v>#N/A</v>
      </c>
      <c r="G124" t="e">
        <f>NA()</f>
        <v>#N/A</v>
      </c>
      <c r="H124" t="e">
        <f>NA()</f>
        <v>#N/A</v>
      </c>
      <c r="I124" t="e">
        <f>NA()</f>
        <v>#N/A</v>
      </c>
      <c r="J124" t="e">
        <f>NA()</f>
        <v>#N/A</v>
      </c>
      <c r="K124" t="e">
        <f>NA()</f>
        <v>#N/A</v>
      </c>
      <c r="L124" t="e">
        <f>NA()</f>
        <v>#N/A</v>
      </c>
      <c r="M124" t="e">
        <f>NA()</f>
        <v>#N/A</v>
      </c>
      <c r="N124" t="e">
        <f>NA()</f>
        <v>#N/A</v>
      </c>
      <c r="O124">
        <f t="shared" si="5"/>
        <v>4.3</v>
      </c>
    </row>
    <row r="125" spans="1:15" x14ac:dyDescent="0.25">
      <c r="A125" s="1">
        <v>45804</v>
      </c>
      <c r="B125" t="e">
        <f>NA()</f>
        <v>#N/A</v>
      </c>
      <c r="C125" t="e">
        <f>NA()</f>
        <v>#N/A</v>
      </c>
      <c r="D125" t="e">
        <f>NA()</f>
        <v>#N/A</v>
      </c>
      <c r="E125" t="e">
        <f>NA()</f>
        <v>#N/A</v>
      </c>
      <c r="F125" t="e">
        <f>NA()</f>
        <v>#N/A</v>
      </c>
      <c r="G125" t="e">
        <f>NA()</f>
        <v>#N/A</v>
      </c>
      <c r="H125" t="e">
        <f>NA()</f>
        <v>#N/A</v>
      </c>
      <c r="I125" t="e">
        <f>NA()</f>
        <v>#N/A</v>
      </c>
      <c r="J125" t="e">
        <f>NA()</f>
        <v>#N/A</v>
      </c>
      <c r="K125" t="e">
        <f>NA()</f>
        <v>#N/A</v>
      </c>
      <c r="L125" t="e">
        <f>NA()</f>
        <v>#N/A</v>
      </c>
      <c r="M125" t="e">
        <f>NA()</f>
        <v>#N/A</v>
      </c>
      <c r="N125" t="e">
        <f>NA()</f>
        <v>#N/A</v>
      </c>
      <c r="O125">
        <f t="shared" si="5"/>
        <v>4.3</v>
      </c>
    </row>
    <row r="126" spans="1:15" x14ac:dyDescent="0.25">
      <c r="A126" s="1">
        <v>45800</v>
      </c>
      <c r="B126">
        <f>-0.5</f>
        <v>-0.5</v>
      </c>
      <c r="C126">
        <f>0</f>
        <v>0</v>
      </c>
      <c r="D126" t="e">
        <f>NA()</f>
        <v>#N/A</v>
      </c>
      <c r="E126" t="e">
        <f>NA()</f>
        <v>#N/A</v>
      </c>
      <c r="F126" t="e">
        <f>NA()</f>
        <v>#N/A</v>
      </c>
      <c r="G126" t="e">
        <f>NA()</f>
        <v>#N/A</v>
      </c>
      <c r="H126" t="e">
        <f>NA()</f>
        <v>#N/A</v>
      </c>
      <c r="I126" t="e">
        <f>NA()</f>
        <v>#N/A</v>
      </c>
      <c r="J126" t="e">
        <f>NA()</f>
        <v>#N/A</v>
      </c>
      <c r="K126" t="e">
        <f>NA()</f>
        <v>#N/A</v>
      </c>
      <c r="L126" t="e">
        <f>NA()</f>
        <v>#N/A</v>
      </c>
      <c r="M126" t="e">
        <f>NA()</f>
        <v>#N/A</v>
      </c>
      <c r="N126" t="e">
        <f>NA()</f>
        <v>#N/A</v>
      </c>
      <c r="O126">
        <f t="shared" si="5"/>
        <v>4.3</v>
      </c>
    </row>
    <row r="127" spans="1:15" x14ac:dyDescent="0.25">
      <c r="A127" s="1">
        <v>45799</v>
      </c>
      <c r="B127" t="e">
        <f>NA()</f>
        <v>#N/A</v>
      </c>
      <c r="C127" t="e">
        <f>NA()</f>
        <v>#N/A</v>
      </c>
      <c r="D127" t="e">
        <f>NA()</f>
        <v>#N/A</v>
      </c>
      <c r="E127" t="e">
        <f>NA()</f>
        <v>#N/A</v>
      </c>
      <c r="F127" t="e">
        <f>NA()</f>
        <v>#N/A</v>
      </c>
      <c r="G127" t="e">
        <f>NA()</f>
        <v>#N/A</v>
      </c>
      <c r="H127" t="e">
        <f>NA()</f>
        <v>#N/A</v>
      </c>
      <c r="I127" t="e">
        <f>NA()</f>
        <v>#N/A</v>
      </c>
      <c r="J127" t="e">
        <f>NA()</f>
        <v>#N/A</v>
      </c>
      <c r="K127" t="e">
        <f>NA()</f>
        <v>#N/A</v>
      </c>
      <c r="L127" t="e">
        <f>NA()</f>
        <v>#N/A</v>
      </c>
      <c r="M127" t="e">
        <f>NA()</f>
        <v>#N/A</v>
      </c>
      <c r="N127" t="e">
        <f>NA()</f>
        <v>#N/A</v>
      </c>
      <c r="O127">
        <f t="shared" si="5"/>
        <v>4.3</v>
      </c>
    </row>
    <row r="128" spans="1:15" x14ac:dyDescent="0.25">
      <c r="A128" s="1">
        <v>45798</v>
      </c>
      <c r="B128" t="e">
        <f>NA()</f>
        <v>#N/A</v>
      </c>
      <c r="C128" t="e">
        <f>NA()</f>
        <v>#N/A</v>
      </c>
      <c r="D128" t="e">
        <f>NA()</f>
        <v>#N/A</v>
      </c>
      <c r="E128" t="e">
        <f>NA()</f>
        <v>#N/A</v>
      </c>
      <c r="F128" t="e">
        <f>NA()</f>
        <v>#N/A</v>
      </c>
      <c r="G128" t="e">
        <f>NA()</f>
        <v>#N/A</v>
      </c>
      <c r="H128" t="e">
        <f>NA()</f>
        <v>#N/A</v>
      </c>
      <c r="I128" t="e">
        <f>NA()</f>
        <v>#N/A</v>
      </c>
      <c r="J128" t="e">
        <f>NA()</f>
        <v>#N/A</v>
      </c>
      <c r="K128" t="e">
        <f>NA()</f>
        <v>#N/A</v>
      </c>
      <c r="L128" t="e">
        <f>NA()</f>
        <v>#N/A</v>
      </c>
      <c r="M128" t="e">
        <f>NA()</f>
        <v>#N/A</v>
      </c>
      <c r="N128" t="e">
        <f>NA()</f>
        <v>#N/A</v>
      </c>
      <c r="O128">
        <f t="shared" si="5"/>
        <v>4.3</v>
      </c>
    </row>
    <row r="129" spans="1:15" x14ac:dyDescent="0.25">
      <c r="A129" s="1">
        <v>45797</v>
      </c>
      <c r="B129" t="e">
        <f>NA()</f>
        <v>#N/A</v>
      </c>
      <c r="C129" t="e">
        <f>NA()</f>
        <v>#N/A</v>
      </c>
      <c r="D129" t="e">
        <f>NA()</f>
        <v>#N/A</v>
      </c>
      <c r="E129" t="e">
        <f>NA()</f>
        <v>#N/A</v>
      </c>
      <c r="F129" t="e">
        <f>NA()</f>
        <v>#N/A</v>
      </c>
      <c r="G129" t="e">
        <f>NA()</f>
        <v>#N/A</v>
      </c>
      <c r="H129" t="e">
        <f>NA()</f>
        <v>#N/A</v>
      </c>
      <c r="I129" t="e">
        <f>NA()</f>
        <v>#N/A</v>
      </c>
      <c r="J129" t="e">
        <f>NA()</f>
        <v>#N/A</v>
      </c>
      <c r="K129" t="e">
        <f>NA()</f>
        <v>#N/A</v>
      </c>
      <c r="L129" t="e">
        <f>NA()</f>
        <v>#N/A</v>
      </c>
      <c r="M129" t="e">
        <f>NA()</f>
        <v>#N/A</v>
      </c>
      <c r="N129" t="e">
        <f>NA()</f>
        <v>#N/A</v>
      </c>
      <c r="O129">
        <f t="shared" si="5"/>
        <v>4.3</v>
      </c>
    </row>
    <row r="130" spans="1:15" x14ac:dyDescent="0.25">
      <c r="A130" s="1">
        <v>45796</v>
      </c>
      <c r="B130" t="e">
        <f>NA()</f>
        <v>#N/A</v>
      </c>
      <c r="C130" t="e">
        <f>NA()</f>
        <v>#N/A</v>
      </c>
      <c r="D130" t="e">
        <f>NA()</f>
        <v>#N/A</v>
      </c>
      <c r="E130" t="e">
        <f>NA()</f>
        <v>#N/A</v>
      </c>
      <c r="F130" t="e">
        <f>NA()</f>
        <v>#N/A</v>
      </c>
      <c r="G130" t="e">
        <f>NA()</f>
        <v>#N/A</v>
      </c>
      <c r="H130" t="e">
        <f>NA()</f>
        <v>#N/A</v>
      </c>
      <c r="I130" t="e">
        <f>NA()</f>
        <v>#N/A</v>
      </c>
      <c r="J130" t="e">
        <f>NA()</f>
        <v>#N/A</v>
      </c>
      <c r="K130" t="e">
        <f>NA()</f>
        <v>#N/A</v>
      </c>
      <c r="L130" t="e">
        <f>NA()</f>
        <v>#N/A</v>
      </c>
      <c r="M130" t="e">
        <f>NA()</f>
        <v>#N/A</v>
      </c>
      <c r="N130" t="e">
        <f>NA()</f>
        <v>#N/A</v>
      </c>
      <c r="O130">
        <f t="shared" si="5"/>
        <v>4.3</v>
      </c>
    </row>
    <row r="131" spans="1:15" x14ac:dyDescent="0.25">
      <c r="A131" s="1">
        <v>45793</v>
      </c>
      <c r="B131">
        <f>-0.9</f>
        <v>-0.9</v>
      </c>
      <c r="C131">
        <f>0</f>
        <v>0</v>
      </c>
      <c r="D131" t="e">
        <f>NA()</f>
        <v>#N/A</v>
      </c>
      <c r="E131" t="e">
        <f>NA()</f>
        <v>#N/A</v>
      </c>
      <c r="F131" t="e">
        <f>NA()</f>
        <v>#N/A</v>
      </c>
      <c r="G131" t="e">
        <f>NA()</f>
        <v>#N/A</v>
      </c>
      <c r="H131" t="e">
        <f>NA()</f>
        <v>#N/A</v>
      </c>
      <c r="I131" t="e">
        <f>NA()</f>
        <v>#N/A</v>
      </c>
      <c r="J131" t="e">
        <f>NA()</f>
        <v>#N/A</v>
      </c>
      <c r="K131" t="e">
        <f>NA()</f>
        <v>#N/A</v>
      </c>
      <c r="L131" t="e">
        <f>NA()</f>
        <v>#N/A</v>
      </c>
      <c r="M131" t="e">
        <f>NA()</f>
        <v>#N/A</v>
      </c>
      <c r="N131" t="e">
        <f>NA()</f>
        <v>#N/A</v>
      </c>
      <c r="O131">
        <f t="shared" si="5"/>
        <v>4.3</v>
      </c>
    </row>
    <row r="132" spans="1:15" x14ac:dyDescent="0.25">
      <c r="A132" s="1">
        <v>45792</v>
      </c>
      <c r="B132" t="e">
        <f>NA()</f>
        <v>#N/A</v>
      </c>
      <c r="C132" t="e">
        <f>NA()</f>
        <v>#N/A</v>
      </c>
      <c r="D132" t="e">
        <f>NA()</f>
        <v>#N/A</v>
      </c>
      <c r="E132" t="e">
        <f>NA()</f>
        <v>#N/A</v>
      </c>
      <c r="F132" t="e">
        <f>NA()</f>
        <v>#N/A</v>
      </c>
      <c r="G132" t="e">
        <f>NA()</f>
        <v>#N/A</v>
      </c>
      <c r="H132" t="e">
        <f>NA()</f>
        <v>#N/A</v>
      </c>
      <c r="I132" t="e">
        <f>NA()</f>
        <v>#N/A</v>
      </c>
      <c r="J132" t="e">
        <f>NA()</f>
        <v>#N/A</v>
      </c>
      <c r="K132" t="e">
        <f>NA()</f>
        <v>#N/A</v>
      </c>
      <c r="L132" t="e">
        <f>NA()</f>
        <v>#N/A</v>
      </c>
      <c r="M132" t="e">
        <f>NA()</f>
        <v>#N/A</v>
      </c>
      <c r="N132" t="e">
        <f>NA()</f>
        <v>#N/A</v>
      </c>
      <c r="O132">
        <f t="shared" si="5"/>
        <v>4.3</v>
      </c>
    </row>
    <row r="133" spans="1:15" x14ac:dyDescent="0.25">
      <c r="A133" s="1">
        <v>45791</v>
      </c>
      <c r="B133" t="e">
        <f>NA()</f>
        <v>#N/A</v>
      </c>
      <c r="C133" t="e">
        <f>NA()</f>
        <v>#N/A</v>
      </c>
      <c r="D133" t="e">
        <f>NA()</f>
        <v>#N/A</v>
      </c>
      <c r="E133" t="e">
        <f>NA()</f>
        <v>#N/A</v>
      </c>
      <c r="F133" t="e">
        <f>NA()</f>
        <v>#N/A</v>
      </c>
      <c r="G133" t="e">
        <f>NA()</f>
        <v>#N/A</v>
      </c>
      <c r="H133" t="e">
        <f>NA()</f>
        <v>#N/A</v>
      </c>
      <c r="I133" t="e">
        <f>NA()</f>
        <v>#N/A</v>
      </c>
      <c r="J133" t="e">
        <f>NA()</f>
        <v>#N/A</v>
      </c>
      <c r="K133" t="e">
        <f>NA()</f>
        <v>#N/A</v>
      </c>
      <c r="L133" t="e">
        <f>NA()</f>
        <v>#N/A</v>
      </c>
      <c r="M133" t="e">
        <f>NA()</f>
        <v>#N/A</v>
      </c>
      <c r="N133" t="e">
        <f>NA()</f>
        <v>#N/A</v>
      </c>
      <c r="O133">
        <f t="shared" si="5"/>
        <v>4.3</v>
      </c>
    </row>
    <row r="134" spans="1:15" x14ac:dyDescent="0.25">
      <c r="A134" s="1">
        <v>45790</v>
      </c>
      <c r="B134" t="e">
        <f>NA()</f>
        <v>#N/A</v>
      </c>
      <c r="C134" t="e">
        <f>NA()</f>
        <v>#N/A</v>
      </c>
      <c r="D134" t="e">
        <f>NA()</f>
        <v>#N/A</v>
      </c>
      <c r="E134" t="e">
        <f>NA()</f>
        <v>#N/A</v>
      </c>
      <c r="F134" t="e">
        <f>NA()</f>
        <v>#N/A</v>
      </c>
      <c r="G134" t="e">
        <f>NA()</f>
        <v>#N/A</v>
      </c>
      <c r="H134" t="e">
        <f>NA()</f>
        <v>#N/A</v>
      </c>
      <c r="I134" t="e">
        <f>NA()</f>
        <v>#N/A</v>
      </c>
      <c r="J134" t="e">
        <f>NA()</f>
        <v>#N/A</v>
      </c>
      <c r="K134" t="e">
        <f>NA()</f>
        <v>#N/A</v>
      </c>
      <c r="L134" t="e">
        <f>NA()</f>
        <v>#N/A</v>
      </c>
      <c r="M134" t="e">
        <f>NA()</f>
        <v>#N/A</v>
      </c>
      <c r="N134" t="e">
        <f>NA()</f>
        <v>#N/A</v>
      </c>
      <c r="O134">
        <f t="shared" si="5"/>
        <v>4.3</v>
      </c>
    </row>
    <row r="135" spans="1:15" x14ac:dyDescent="0.25">
      <c r="A135" s="1">
        <v>45789</v>
      </c>
      <c r="B135" t="e">
        <f>NA()</f>
        <v>#N/A</v>
      </c>
      <c r="C135" t="e">
        <f>NA()</f>
        <v>#N/A</v>
      </c>
      <c r="D135" t="e">
        <f>NA()</f>
        <v>#N/A</v>
      </c>
      <c r="E135" t="e">
        <f>NA()</f>
        <v>#N/A</v>
      </c>
      <c r="F135" t="e">
        <f>NA()</f>
        <v>#N/A</v>
      </c>
      <c r="G135" t="e">
        <f>NA()</f>
        <v>#N/A</v>
      </c>
      <c r="H135" t="e">
        <f>NA()</f>
        <v>#N/A</v>
      </c>
      <c r="I135" t="e">
        <f>NA()</f>
        <v>#N/A</v>
      </c>
      <c r="J135" t="e">
        <f>NA()</f>
        <v>#N/A</v>
      </c>
      <c r="K135" t="e">
        <f>NA()</f>
        <v>#N/A</v>
      </c>
      <c r="L135" t="e">
        <f>NA()</f>
        <v>#N/A</v>
      </c>
      <c r="M135" t="e">
        <f>NA()</f>
        <v>#N/A</v>
      </c>
      <c r="N135" t="e">
        <f>NA()</f>
        <v>#N/A</v>
      </c>
      <c r="O135">
        <f t="shared" si="5"/>
        <v>4.3</v>
      </c>
    </row>
    <row r="136" spans="1:15" x14ac:dyDescent="0.25">
      <c r="A136" s="1">
        <v>45786</v>
      </c>
      <c r="B136">
        <f>-0.5</f>
        <v>-0.5</v>
      </c>
      <c r="C136">
        <f>0</f>
        <v>0</v>
      </c>
      <c r="D136" t="e">
        <f>NA()</f>
        <v>#N/A</v>
      </c>
      <c r="E136" t="e">
        <f>NA()</f>
        <v>#N/A</v>
      </c>
      <c r="F136" t="e">
        <f>NA()</f>
        <v>#N/A</v>
      </c>
      <c r="G136" t="e">
        <f>NA()</f>
        <v>#N/A</v>
      </c>
      <c r="H136" t="e">
        <f>NA()</f>
        <v>#N/A</v>
      </c>
      <c r="I136" t="e">
        <f>NA()</f>
        <v>#N/A</v>
      </c>
      <c r="J136" t="e">
        <f>NA()</f>
        <v>#N/A</v>
      </c>
      <c r="K136" t="e">
        <f>NA()</f>
        <v>#N/A</v>
      </c>
      <c r="L136" t="e">
        <f>NA()</f>
        <v>#N/A</v>
      </c>
      <c r="M136" t="e">
        <f>NA()</f>
        <v>#N/A</v>
      </c>
      <c r="N136" t="e">
        <f>NA()</f>
        <v>#N/A</v>
      </c>
      <c r="O136">
        <f t="shared" si="5"/>
        <v>4.3</v>
      </c>
    </row>
    <row r="137" spans="1:15" x14ac:dyDescent="0.25">
      <c r="A137" s="1">
        <v>45785</v>
      </c>
      <c r="B137" t="e">
        <f>NA()</f>
        <v>#N/A</v>
      </c>
      <c r="C137" t="e">
        <f>NA()</f>
        <v>#N/A</v>
      </c>
      <c r="D137" t="e">
        <f>NA()</f>
        <v>#N/A</v>
      </c>
      <c r="E137" t="e">
        <f>NA()</f>
        <v>#N/A</v>
      </c>
      <c r="F137" t="e">
        <f>NA()</f>
        <v>#N/A</v>
      </c>
      <c r="G137" t="e">
        <f>NA()</f>
        <v>#N/A</v>
      </c>
      <c r="H137" t="e">
        <f>NA()</f>
        <v>#N/A</v>
      </c>
      <c r="I137" t="e">
        <f>NA()</f>
        <v>#N/A</v>
      </c>
      <c r="J137" t="e">
        <f>NA()</f>
        <v>#N/A</v>
      </c>
      <c r="K137" t="e">
        <f>NA()</f>
        <v>#N/A</v>
      </c>
      <c r="L137" t="e">
        <f>NA()</f>
        <v>#N/A</v>
      </c>
      <c r="M137" t="e">
        <f>NA()</f>
        <v>#N/A</v>
      </c>
      <c r="N137" t="e">
        <f>NA()</f>
        <v>#N/A</v>
      </c>
      <c r="O137">
        <f t="shared" si="5"/>
        <v>4.3</v>
      </c>
    </row>
    <row r="138" spans="1:15" x14ac:dyDescent="0.25">
      <c r="A138" s="1">
        <v>45784</v>
      </c>
      <c r="B138" t="e">
        <f>NA()</f>
        <v>#N/A</v>
      </c>
      <c r="C138" t="e">
        <f>NA()</f>
        <v>#N/A</v>
      </c>
      <c r="D138" t="e">
        <f>NA()</f>
        <v>#N/A</v>
      </c>
      <c r="E138" t="e">
        <f>NA()</f>
        <v>#N/A</v>
      </c>
      <c r="F138" t="e">
        <f>NA()</f>
        <v>#N/A</v>
      </c>
      <c r="G138" t="e">
        <f>NA()</f>
        <v>#N/A</v>
      </c>
      <c r="H138" t="e">
        <f>NA()</f>
        <v>#N/A</v>
      </c>
      <c r="I138" t="e">
        <f>NA()</f>
        <v>#N/A</v>
      </c>
      <c r="J138" t="e">
        <f>NA()</f>
        <v>#N/A</v>
      </c>
      <c r="K138" t="e">
        <f>NA()</f>
        <v>#N/A</v>
      </c>
      <c r="L138" t="e">
        <f>NA()</f>
        <v>#N/A</v>
      </c>
      <c r="M138" t="e">
        <f>NA()</f>
        <v>#N/A</v>
      </c>
      <c r="N138" t="e">
        <f>NA()</f>
        <v>#N/A</v>
      </c>
      <c r="O138">
        <f t="shared" si="5"/>
        <v>4.3</v>
      </c>
    </row>
    <row r="139" spans="1:15" x14ac:dyDescent="0.25">
      <c r="A139" s="1">
        <v>45783</v>
      </c>
      <c r="B139" t="e">
        <f>NA()</f>
        <v>#N/A</v>
      </c>
      <c r="C139" t="e">
        <f>NA()</f>
        <v>#N/A</v>
      </c>
      <c r="D139" t="e">
        <f>NA()</f>
        <v>#N/A</v>
      </c>
      <c r="E139" t="e">
        <f>NA()</f>
        <v>#N/A</v>
      </c>
      <c r="F139" t="e">
        <f>NA()</f>
        <v>#N/A</v>
      </c>
      <c r="G139" t="e">
        <f>NA()</f>
        <v>#N/A</v>
      </c>
      <c r="H139" t="e">
        <f>NA()</f>
        <v>#N/A</v>
      </c>
      <c r="I139" t="e">
        <f>NA()</f>
        <v>#N/A</v>
      </c>
      <c r="J139" t="e">
        <f>NA()</f>
        <v>#N/A</v>
      </c>
      <c r="K139" t="e">
        <f>NA()</f>
        <v>#N/A</v>
      </c>
      <c r="L139" t="e">
        <f>NA()</f>
        <v>#N/A</v>
      </c>
      <c r="M139" t="e">
        <f>NA()</f>
        <v>#N/A</v>
      </c>
      <c r="N139" t="e">
        <f>NA()</f>
        <v>#N/A</v>
      </c>
      <c r="O139">
        <f t="shared" si="5"/>
        <v>4.3</v>
      </c>
    </row>
    <row r="140" spans="1:15" x14ac:dyDescent="0.25">
      <c r="A140" s="1">
        <v>45782</v>
      </c>
      <c r="B140" t="e">
        <f>NA()</f>
        <v>#N/A</v>
      </c>
      <c r="C140" t="e">
        <f>NA()</f>
        <v>#N/A</v>
      </c>
      <c r="D140" t="e">
        <f>NA()</f>
        <v>#N/A</v>
      </c>
      <c r="E140" t="e">
        <f>NA()</f>
        <v>#N/A</v>
      </c>
      <c r="F140" t="e">
        <f>NA()</f>
        <v>#N/A</v>
      </c>
      <c r="G140" t="e">
        <f>NA()</f>
        <v>#N/A</v>
      </c>
      <c r="H140" t="e">
        <f>NA()</f>
        <v>#N/A</v>
      </c>
      <c r="I140" t="e">
        <f>NA()</f>
        <v>#N/A</v>
      </c>
      <c r="J140" t="e">
        <f>NA()</f>
        <v>#N/A</v>
      </c>
      <c r="K140" t="e">
        <f>NA()</f>
        <v>#N/A</v>
      </c>
      <c r="L140" t="e">
        <f>NA()</f>
        <v>#N/A</v>
      </c>
      <c r="M140" t="e">
        <f>NA()</f>
        <v>#N/A</v>
      </c>
      <c r="N140" t="e">
        <f>NA()</f>
        <v>#N/A</v>
      </c>
      <c r="O140">
        <f t="shared" si="5"/>
        <v>4.3</v>
      </c>
    </row>
    <row r="141" spans="1:15" x14ac:dyDescent="0.25">
      <c r="A141" s="1">
        <v>45779</v>
      </c>
      <c r="B141">
        <f>-0.3</f>
        <v>-0.3</v>
      </c>
      <c r="C141">
        <f>0</f>
        <v>0</v>
      </c>
      <c r="D141" t="e">
        <f>NA()</f>
        <v>#N/A</v>
      </c>
      <c r="E141" t="e">
        <f>NA()</f>
        <v>#N/A</v>
      </c>
      <c r="F141" t="e">
        <f>NA()</f>
        <v>#N/A</v>
      </c>
      <c r="G141" t="e">
        <f>NA()</f>
        <v>#N/A</v>
      </c>
      <c r="H141" t="e">
        <f>NA()</f>
        <v>#N/A</v>
      </c>
      <c r="I141" t="e">
        <f>NA()</f>
        <v>#N/A</v>
      </c>
      <c r="J141" t="e">
        <f>NA()</f>
        <v>#N/A</v>
      </c>
      <c r="K141" t="e">
        <f>NA()</f>
        <v>#N/A</v>
      </c>
      <c r="L141" t="e">
        <f>NA()</f>
        <v>#N/A</v>
      </c>
      <c r="M141" t="e">
        <f>NA()</f>
        <v>#N/A</v>
      </c>
      <c r="N141" t="e">
        <f>NA()</f>
        <v>#N/A</v>
      </c>
      <c r="O141">
        <f t="shared" si="5"/>
        <v>4.3</v>
      </c>
    </row>
    <row r="142" spans="1:15" x14ac:dyDescent="0.25">
      <c r="A142" s="1">
        <v>45778</v>
      </c>
      <c r="B142" t="e">
        <f>NA()</f>
        <v>#N/A</v>
      </c>
      <c r="C142" t="e">
        <f>NA()</f>
        <v>#N/A</v>
      </c>
      <c r="D142" t="e">
        <f>NA()</f>
        <v>#N/A</v>
      </c>
      <c r="E142" t="e">
        <f>NA()</f>
        <v>#N/A</v>
      </c>
      <c r="F142" t="e">
        <f>NA()</f>
        <v>#N/A</v>
      </c>
      <c r="G142" t="e">
        <f>NA()</f>
        <v>#N/A</v>
      </c>
      <c r="H142" t="e">
        <f>NA()</f>
        <v>#N/A</v>
      </c>
      <c r="I142" t="e">
        <f>NA()</f>
        <v>#N/A</v>
      </c>
      <c r="J142" t="e">
        <f>NA()</f>
        <v>#N/A</v>
      </c>
      <c r="K142" t="e">
        <f>NA()</f>
        <v>#N/A</v>
      </c>
      <c r="L142" t="e">
        <f>NA()</f>
        <v>#N/A</v>
      </c>
      <c r="M142" t="e">
        <f>NA()</f>
        <v>#N/A</v>
      </c>
      <c r="N142" t="e">
        <f>NA()</f>
        <v>#N/A</v>
      </c>
      <c r="O142">
        <f t="shared" si="5"/>
        <v>4.3</v>
      </c>
    </row>
    <row r="143" spans="1:15" x14ac:dyDescent="0.25">
      <c r="A143" s="1">
        <v>45777</v>
      </c>
      <c r="B143" t="e">
        <f>NA()</f>
        <v>#N/A</v>
      </c>
      <c r="C143" t="e">
        <f>NA()</f>
        <v>#N/A</v>
      </c>
      <c r="D143">
        <f>0.2</f>
        <v>0.2</v>
      </c>
      <c r="E143">
        <f>1.4</f>
        <v>1.4</v>
      </c>
      <c r="F143">
        <f>7395</f>
        <v>7395</v>
      </c>
      <c r="G143">
        <f>62.6</f>
        <v>62.6</v>
      </c>
      <c r="H143">
        <f>5.5</f>
        <v>5.5</v>
      </c>
      <c r="I143">
        <f>320.8</f>
        <v>320.8</v>
      </c>
      <c r="J143">
        <f>2.3</f>
        <v>2.2999999999999998</v>
      </c>
      <c r="K143">
        <f>48.7</f>
        <v>48.7</v>
      </c>
      <c r="L143">
        <f>0.1</f>
        <v>0.1</v>
      </c>
      <c r="M143" t="e">
        <f>NA()</f>
        <v>#N/A</v>
      </c>
      <c r="N143">
        <f>4.2</f>
        <v>4.2</v>
      </c>
      <c r="O143">
        <f t="shared" si="5"/>
        <v>4.3</v>
      </c>
    </row>
    <row r="144" spans="1:15" x14ac:dyDescent="0.25">
      <c r="A144" s="1">
        <v>45776</v>
      </c>
      <c r="B144" t="e">
        <f>NA()</f>
        <v>#N/A</v>
      </c>
      <c r="C144" t="e">
        <f>NA()</f>
        <v>#N/A</v>
      </c>
      <c r="D144" t="e">
        <f>NA()</f>
        <v>#N/A</v>
      </c>
      <c r="E144" t="e">
        <f>NA()</f>
        <v>#N/A</v>
      </c>
      <c r="F144" t="e">
        <f>NA()</f>
        <v>#N/A</v>
      </c>
      <c r="G144" t="e">
        <f>NA()</f>
        <v>#N/A</v>
      </c>
      <c r="H144" t="e">
        <f>NA()</f>
        <v>#N/A</v>
      </c>
      <c r="I144" t="e">
        <f>NA()</f>
        <v>#N/A</v>
      </c>
      <c r="J144" t="e">
        <f>NA()</f>
        <v>#N/A</v>
      </c>
      <c r="K144" t="e">
        <f>NA()</f>
        <v>#N/A</v>
      </c>
      <c r="L144" t="e">
        <f>NA()</f>
        <v>#N/A</v>
      </c>
      <c r="M144" t="e">
        <f>NA()</f>
        <v>#N/A</v>
      </c>
      <c r="N144" t="e">
        <f>NA()</f>
        <v>#N/A</v>
      </c>
      <c r="O144">
        <f t="shared" si="5"/>
        <v>4.3</v>
      </c>
    </row>
    <row r="145" spans="1:15" x14ac:dyDescent="0.25">
      <c r="A145" s="1">
        <v>45775</v>
      </c>
      <c r="B145" t="e">
        <f>NA()</f>
        <v>#N/A</v>
      </c>
      <c r="C145" t="e">
        <f>NA()</f>
        <v>#N/A</v>
      </c>
      <c r="D145" t="e">
        <f>NA()</f>
        <v>#N/A</v>
      </c>
      <c r="E145" t="e">
        <f>NA()</f>
        <v>#N/A</v>
      </c>
      <c r="F145" t="e">
        <f>NA()</f>
        <v>#N/A</v>
      </c>
      <c r="G145" t="e">
        <f>NA()</f>
        <v>#N/A</v>
      </c>
      <c r="H145" t="e">
        <f>NA()</f>
        <v>#N/A</v>
      </c>
      <c r="I145" t="e">
        <f>NA()</f>
        <v>#N/A</v>
      </c>
      <c r="J145" t="e">
        <f>NA()</f>
        <v>#N/A</v>
      </c>
      <c r="K145" t="e">
        <f>NA()</f>
        <v>#N/A</v>
      </c>
      <c r="L145" t="e">
        <f>NA()</f>
        <v>#N/A</v>
      </c>
      <c r="M145" t="e">
        <f>NA()</f>
        <v>#N/A</v>
      </c>
      <c r="N145" t="e">
        <f>NA()</f>
        <v>#N/A</v>
      </c>
      <c r="O145">
        <f t="shared" si="5"/>
        <v>4.3</v>
      </c>
    </row>
    <row r="146" spans="1:15" x14ac:dyDescent="0.25">
      <c r="A146" s="1">
        <v>45772</v>
      </c>
      <c r="B146">
        <f>-0.3</f>
        <v>-0.3</v>
      </c>
      <c r="C146">
        <f>0</f>
        <v>0</v>
      </c>
      <c r="D146" t="e">
        <f>NA()</f>
        <v>#N/A</v>
      </c>
      <c r="E146" t="e">
        <f>NA()</f>
        <v>#N/A</v>
      </c>
      <c r="F146" t="e">
        <f>NA()</f>
        <v>#N/A</v>
      </c>
      <c r="G146" t="e">
        <f>NA()</f>
        <v>#N/A</v>
      </c>
      <c r="H146" t="e">
        <f>NA()</f>
        <v>#N/A</v>
      </c>
      <c r="I146" t="e">
        <f>NA()</f>
        <v>#N/A</v>
      </c>
      <c r="J146" t="e">
        <f>NA()</f>
        <v>#N/A</v>
      </c>
      <c r="K146" t="e">
        <f>NA()</f>
        <v>#N/A</v>
      </c>
      <c r="L146" t="e">
        <f>NA()</f>
        <v>#N/A</v>
      </c>
      <c r="M146" t="e">
        <f>NA()</f>
        <v>#N/A</v>
      </c>
      <c r="N146" t="e">
        <f>NA()</f>
        <v>#N/A</v>
      </c>
      <c r="O146">
        <f t="shared" si="5"/>
        <v>4.3</v>
      </c>
    </row>
    <row r="147" spans="1:15" x14ac:dyDescent="0.25">
      <c r="A147" s="1">
        <v>45771</v>
      </c>
      <c r="B147" t="e">
        <f>NA()</f>
        <v>#N/A</v>
      </c>
      <c r="C147" t="e">
        <f>NA()</f>
        <v>#N/A</v>
      </c>
      <c r="D147" t="e">
        <f>NA()</f>
        <v>#N/A</v>
      </c>
      <c r="E147" t="e">
        <f>NA()</f>
        <v>#N/A</v>
      </c>
      <c r="F147" t="e">
        <f>NA()</f>
        <v>#N/A</v>
      </c>
      <c r="G147" t="e">
        <f>NA()</f>
        <v>#N/A</v>
      </c>
      <c r="H147" t="e">
        <f>NA()</f>
        <v>#N/A</v>
      </c>
      <c r="I147" t="e">
        <f>NA()</f>
        <v>#N/A</v>
      </c>
      <c r="J147" t="e">
        <f>NA()</f>
        <v>#N/A</v>
      </c>
      <c r="K147" t="e">
        <f>NA()</f>
        <v>#N/A</v>
      </c>
      <c r="L147" t="e">
        <f>NA()</f>
        <v>#N/A</v>
      </c>
      <c r="M147" t="e">
        <f>NA()</f>
        <v>#N/A</v>
      </c>
      <c r="N147" t="e">
        <f>NA()</f>
        <v>#N/A</v>
      </c>
      <c r="O147">
        <f t="shared" si="5"/>
        <v>4.3</v>
      </c>
    </row>
    <row r="148" spans="1:15" x14ac:dyDescent="0.25">
      <c r="A148" s="1">
        <v>45770</v>
      </c>
      <c r="B148" t="e">
        <f>NA()</f>
        <v>#N/A</v>
      </c>
      <c r="C148" t="e">
        <f>NA()</f>
        <v>#N/A</v>
      </c>
      <c r="D148" t="e">
        <f>NA()</f>
        <v>#N/A</v>
      </c>
      <c r="E148" t="e">
        <f>NA()</f>
        <v>#N/A</v>
      </c>
      <c r="F148" t="e">
        <f>NA()</f>
        <v>#N/A</v>
      </c>
      <c r="G148" t="e">
        <f>NA()</f>
        <v>#N/A</v>
      </c>
      <c r="H148" t="e">
        <f>NA()</f>
        <v>#N/A</v>
      </c>
      <c r="I148" t="e">
        <f>NA()</f>
        <v>#N/A</v>
      </c>
      <c r="J148" t="e">
        <f>NA()</f>
        <v>#N/A</v>
      </c>
      <c r="K148" t="e">
        <f>NA()</f>
        <v>#N/A</v>
      </c>
      <c r="L148" t="e">
        <f>NA()</f>
        <v>#N/A</v>
      </c>
      <c r="M148" t="e">
        <f>NA()</f>
        <v>#N/A</v>
      </c>
      <c r="N148" t="e">
        <f>NA()</f>
        <v>#N/A</v>
      </c>
      <c r="O148">
        <f t="shared" si="5"/>
        <v>4.3</v>
      </c>
    </row>
    <row r="149" spans="1:15" x14ac:dyDescent="0.25">
      <c r="A149" s="1">
        <v>45769</v>
      </c>
      <c r="B149" t="e">
        <f>NA()</f>
        <v>#N/A</v>
      </c>
      <c r="C149" t="e">
        <f>NA()</f>
        <v>#N/A</v>
      </c>
      <c r="D149" t="e">
        <f>NA()</f>
        <v>#N/A</v>
      </c>
      <c r="E149" t="e">
        <f>NA()</f>
        <v>#N/A</v>
      </c>
      <c r="F149" t="e">
        <f>NA()</f>
        <v>#N/A</v>
      </c>
      <c r="G149" t="e">
        <f>NA()</f>
        <v>#N/A</v>
      </c>
      <c r="H149" t="e">
        <f>NA()</f>
        <v>#N/A</v>
      </c>
      <c r="I149" t="e">
        <f>NA()</f>
        <v>#N/A</v>
      </c>
      <c r="J149" t="e">
        <f>NA()</f>
        <v>#N/A</v>
      </c>
      <c r="K149" t="e">
        <f>NA()</f>
        <v>#N/A</v>
      </c>
      <c r="L149" t="e">
        <f>NA()</f>
        <v>#N/A</v>
      </c>
      <c r="M149" t="e">
        <f>NA()</f>
        <v>#N/A</v>
      </c>
      <c r="N149" t="e">
        <f>NA()</f>
        <v>#N/A</v>
      </c>
      <c r="O149">
        <f t="shared" si="5"/>
        <v>4.3</v>
      </c>
    </row>
    <row r="150" spans="1:15" x14ac:dyDescent="0.25">
      <c r="A150" s="1">
        <v>45768</v>
      </c>
      <c r="B150" t="e">
        <f>NA()</f>
        <v>#N/A</v>
      </c>
      <c r="C150" t="e">
        <f>NA()</f>
        <v>#N/A</v>
      </c>
      <c r="D150" t="e">
        <f>NA()</f>
        <v>#N/A</v>
      </c>
      <c r="E150" t="e">
        <f>NA()</f>
        <v>#N/A</v>
      </c>
      <c r="F150" t="e">
        <f>NA()</f>
        <v>#N/A</v>
      </c>
      <c r="G150" t="e">
        <f>NA()</f>
        <v>#N/A</v>
      </c>
      <c r="H150" t="e">
        <f>NA()</f>
        <v>#N/A</v>
      </c>
      <c r="I150" t="e">
        <f>NA()</f>
        <v>#N/A</v>
      </c>
      <c r="J150" t="e">
        <f>NA()</f>
        <v>#N/A</v>
      </c>
      <c r="K150" t="e">
        <f>NA()</f>
        <v>#N/A</v>
      </c>
      <c r="L150" t="e">
        <f>NA()</f>
        <v>#N/A</v>
      </c>
      <c r="M150" t="e">
        <f>NA()</f>
        <v>#N/A</v>
      </c>
      <c r="N150" t="e">
        <f>NA()</f>
        <v>#N/A</v>
      </c>
      <c r="O150">
        <f t="shared" si="5"/>
        <v>4.3</v>
      </c>
    </row>
    <row r="151" spans="1:15" x14ac:dyDescent="0.25">
      <c r="A151" s="1">
        <v>45765</v>
      </c>
      <c r="B151">
        <f>-0.2</f>
        <v>-0.2</v>
      </c>
      <c r="C151">
        <f>0</f>
        <v>0</v>
      </c>
      <c r="D151" t="e">
        <f>NA()</f>
        <v>#N/A</v>
      </c>
      <c r="E151" t="e">
        <f>NA()</f>
        <v>#N/A</v>
      </c>
      <c r="F151" t="e">
        <f>NA()</f>
        <v>#N/A</v>
      </c>
      <c r="G151" t="e">
        <f>NA()</f>
        <v>#N/A</v>
      </c>
      <c r="H151" t="e">
        <f>NA()</f>
        <v>#N/A</v>
      </c>
      <c r="I151" t="e">
        <f>NA()</f>
        <v>#N/A</v>
      </c>
      <c r="J151" t="e">
        <f>NA()</f>
        <v>#N/A</v>
      </c>
      <c r="K151" t="e">
        <f>NA()</f>
        <v>#N/A</v>
      </c>
      <c r="L151" t="e">
        <f>NA()</f>
        <v>#N/A</v>
      </c>
      <c r="M151" t="e">
        <f>NA()</f>
        <v>#N/A</v>
      </c>
      <c r="N151" t="e">
        <f>NA()</f>
        <v>#N/A</v>
      </c>
      <c r="O151">
        <f t="shared" si="5"/>
        <v>4.3</v>
      </c>
    </row>
    <row r="152" spans="1:15" x14ac:dyDescent="0.25">
      <c r="A152" s="1">
        <v>45764</v>
      </c>
      <c r="B152" t="e">
        <f>NA()</f>
        <v>#N/A</v>
      </c>
      <c r="C152" t="e">
        <f>NA()</f>
        <v>#N/A</v>
      </c>
      <c r="D152" t="e">
        <f>NA()</f>
        <v>#N/A</v>
      </c>
      <c r="E152" t="e">
        <f>NA()</f>
        <v>#N/A</v>
      </c>
      <c r="F152" t="e">
        <f>NA()</f>
        <v>#N/A</v>
      </c>
      <c r="G152" t="e">
        <f>NA()</f>
        <v>#N/A</v>
      </c>
      <c r="H152" t="e">
        <f>NA()</f>
        <v>#N/A</v>
      </c>
      <c r="I152" t="e">
        <f>NA()</f>
        <v>#N/A</v>
      </c>
      <c r="J152" t="e">
        <f>NA()</f>
        <v>#N/A</v>
      </c>
      <c r="K152" t="e">
        <f>NA()</f>
        <v>#N/A</v>
      </c>
      <c r="L152" t="e">
        <f>NA()</f>
        <v>#N/A</v>
      </c>
      <c r="M152" t="e">
        <f>NA()</f>
        <v>#N/A</v>
      </c>
      <c r="N152" t="e">
        <f>NA()</f>
        <v>#N/A</v>
      </c>
      <c r="O152">
        <f t="shared" si="5"/>
        <v>4.3</v>
      </c>
    </row>
    <row r="153" spans="1:15" x14ac:dyDescent="0.25">
      <c r="A153" s="1">
        <v>45763</v>
      </c>
      <c r="B153" t="e">
        <f>NA()</f>
        <v>#N/A</v>
      </c>
      <c r="C153" t="e">
        <f>NA()</f>
        <v>#N/A</v>
      </c>
      <c r="D153" t="e">
        <f>NA()</f>
        <v>#N/A</v>
      </c>
      <c r="E153" t="e">
        <f>NA()</f>
        <v>#N/A</v>
      </c>
      <c r="F153" t="e">
        <f>NA()</f>
        <v>#N/A</v>
      </c>
      <c r="G153" t="e">
        <f>NA()</f>
        <v>#N/A</v>
      </c>
      <c r="H153" t="e">
        <f>NA()</f>
        <v>#N/A</v>
      </c>
      <c r="I153" t="e">
        <f>NA()</f>
        <v>#N/A</v>
      </c>
      <c r="J153" t="e">
        <f>NA()</f>
        <v>#N/A</v>
      </c>
      <c r="K153" t="e">
        <f>NA()</f>
        <v>#N/A</v>
      </c>
      <c r="L153" t="e">
        <f>NA()</f>
        <v>#N/A</v>
      </c>
      <c r="M153" t="e">
        <f>NA()</f>
        <v>#N/A</v>
      </c>
      <c r="N153" t="e">
        <f>NA()</f>
        <v>#N/A</v>
      </c>
      <c r="O153">
        <f t="shared" si="5"/>
        <v>4.3</v>
      </c>
    </row>
    <row r="154" spans="1:15" x14ac:dyDescent="0.25">
      <c r="A154" s="1">
        <v>45762</v>
      </c>
      <c r="B154" t="e">
        <f>NA()</f>
        <v>#N/A</v>
      </c>
      <c r="C154" t="e">
        <f>NA()</f>
        <v>#N/A</v>
      </c>
      <c r="D154" t="e">
        <f>NA()</f>
        <v>#N/A</v>
      </c>
      <c r="E154" t="e">
        <f>NA()</f>
        <v>#N/A</v>
      </c>
      <c r="F154" t="e">
        <f>NA()</f>
        <v>#N/A</v>
      </c>
      <c r="G154" t="e">
        <f>NA()</f>
        <v>#N/A</v>
      </c>
      <c r="H154" t="e">
        <f>NA()</f>
        <v>#N/A</v>
      </c>
      <c r="I154" t="e">
        <f>NA()</f>
        <v>#N/A</v>
      </c>
      <c r="J154" t="e">
        <f>NA()</f>
        <v>#N/A</v>
      </c>
      <c r="K154" t="e">
        <f>NA()</f>
        <v>#N/A</v>
      </c>
      <c r="L154" t="e">
        <f>NA()</f>
        <v>#N/A</v>
      </c>
      <c r="M154" t="e">
        <f>NA()</f>
        <v>#N/A</v>
      </c>
      <c r="N154" t="e">
        <f>NA()</f>
        <v>#N/A</v>
      </c>
      <c r="O154">
        <f t="shared" ref="O154:O185" si="6">4.3</f>
        <v>4.3</v>
      </c>
    </row>
    <row r="155" spans="1:15" x14ac:dyDescent="0.25">
      <c r="A155" s="1">
        <v>45761</v>
      </c>
      <c r="B155" t="e">
        <f>NA()</f>
        <v>#N/A</v>
      </c>
      <c r="C155" t="e">
        <f>NA()</f>
        <v>#N/A</v>
      </c>
      <c r="D155" t="e">
        <f>NA()</f>
        <v>#N/A</v>
      </c>
      <c r="E155" t="e">
        <f>NA()</f>
        <v>#N/A</v>
      </c>
      <c r="F155" t="e">
        <f>NA()</f>
        <v>#N/A</v>
      </c>
      <c r="G155" t="e">
        <f>NA()</f>
        <v>#N/A</v>
      </c>
      <c r="H155" t="e">
        <f>NA()</f>
        <v>#N/A</v>
      </c>
      <c r="I155" t="e">
        <f>NA()</f>
        <v>#N/A</v>
      </c>
      <c r="J155" t="e">
        <f>NA()</f>
        <v>#N/A</v>
      </c>
      <c r="K155" t="e">
        <f>NA()</f>
        <v>#N/A</v>
      </c>
      <c r="L155" t="e">
        <f>NA()</f>
        <v>#N/A</v>
      </c>
      <c r="M155" t="e">
        <f>NA()</f>
        <v>#N/A</v>
      </c>
      <c r="N155" t="e">
        <f>NA()</f>
        <v>#N/A</v>
      </c>
      <c r="O155">
        <f t="shared" si="6"/>
        <v>4.3</v>
      </c>
    </row>
    <row r="156" spans="1:15" x14ac:dyDescent="0.25">
      <c r="A156" s="1">
        <v>45758</v>
      </c>
      <c r="B156">
        <f>0.6</f>
        <v>0.6</v>
      </c>
      <c r="C156">
        <f>0</f>
        <v>0</v>
      </c>
      <c r="D156" t="e">
        <f>NA()</f>
        <v>#N/A</v>
      </c>
      <c r="E156" t="e">
        <f>NA()</f>
        <v>#N/A</v>
      </c>
      <c r="F156" t="e">
        <f>NA()</f>
        <v>#N/A</v>
      </c>
      <c r="G156" t="e">
        <f>NA()</f>
        <v>#N/A</v>
      </c>
      <c r="H156" t="e">
        <f>NA()</f>
        <v>#N/A</v>
      </c>
      <c r="I156" t="e">
        <f>NA()</f>
        <v>#N/A</v>
      </c>
      <c r="J156" t="e">
        <f>NA()</f>
        <v>#N/A</v>
      </c>
      <c r="K156" t="e">
        <f>NA()</f>
        <v>#N/A</v>
      </c>
      <c r="L156" t="e">
        <f>NA()</f>
        <v>#N/A</v>
      </c>
      <c r="M156" t="e">
        <f>NA()</f>
        <v>#N/A</v>
      </c>
      <c r="N156" t="e">
        <f>NA()</f>
        <v>#N/A</v>
      </c>
      <c r="O156">
        <f t="shared" si="6"/>
        <v>4.3</v>
      </c>
    </row>
    <row r="157" spans="1:15" x14ac:dyDescent="0.25">
      <c r="A157" s="1">
        <v>45757</v>
      </c>
      <c r="B157" t="e">
        <f>NA()</f>
        <v>#N/A</v>
      </c>
      <c r="C157" t="e">
        <f>NA()</f>
        <v>#N/A</v>
      </c>
      <c r="D157" t="e">
        <f>NA()</f>
        <v>#N/A</v>
      </c>
      <c r="E157" t="e">
        <f>NA()</f>
        <v>#N/A</v>
      </c>
      <c r="F157" t="e">
        <f>NA()</f>
        <v>#N/A</v>
      </c>
      <c r="G157" t="e">
        <f>NA()</f>
        <v>#N/A</v>
      </c>
      <c r="H157" t="e">
        <f>NA()</f>
        <v>#N/A</v>
      </c>
      <c r="I157" t="e">
        <f>NA()</f>
        <v>#N/A</v>
      </c>
      <c r="J157" t="e">
        <f>NA()</f>
        <v>#N/A</v>
      </c>
      <c r="K157" t="e">
        <f>NA()</f>
        <v>#N/A</v>
      </c>
      <c r="L157" t="e">
        <f>NA()</f>
        <v>#N/A</v>
      </c>
      <c r="M157" t="e">
        <f>NA()</f>
        <v>#N/A</v>
      </c>
      <c r="N157" t="e">
        <f>NA()</f>
        <v>#N/A</v>
      </c>
      <c r="O157">
        <f t="shared" si="6"/>
        <v>4.3</v>
      </c>
    </row>
    <row r="158" spans="1:15" x14ac:dyDescent="0.25">
      <c r="A158" s="1">
        <v>45756</v>
      </c>
      <c r="B158" t="e">
        <f>NA()</f>
        <v>#N/A</v>
      </c>
      <c r="C158" t="e">
        <f>NA()</f>
        <v>#N/A</v>
      </c>
      <c r="D158" t="e">
        <f>NA()</f>
        <v>#N/A</v>
      </c>
      <c r="E158" t="e">
        <f>NA()</f>
        <v>#N/A</v>
      </c>
      <c r="F158" t="e">
        <f>NA()</f>
        <v>#N/A</v>
      </c>
      <c r="G158" t="e">
        <f>NA()</f>
        <v>#N/A</v>
      </c>
      <c r="H158" t="e">
        <f>NA()</f>
        <v>#N/A</v>
      </c>
      <c r="I158" t="e">
        <f>NA()</f>
        <v>#N/A</v>
      </c>
      <c r="J158" t="e">
        <f>NA()</f>
        <v>#N/A</v>
      </c>
      <c r="K158" t="e">
        <f>NA()</f>
        <v>#N/A</v>
      </c>
      <c r="L158" t="e">
        <f>NA()</f>
        <v>#N/A</v>
      </c>
      <c r="M158" t="e">
        <f>NA()</f>
        <v>#N/A</v>
      </c>
      <c r="N158" t="e">
        <f>NA()</f>
        <v>#N/A</v>
      </c>
      <c r="O158">
        <f t="shared" si="6"/>
        <v>4.3</v>
      </c>
    </row>
    <row r="159" spans="1:15" x14ac:dyDescent="0.25">
      <c r="A159" s="1">
        <v>45755</v>
      </c>
      <c r="B159" t="e">
        <f>NA()</f>
        <v>#N/A</v>
      </c>
      <c r="C159" t="e">
        <f>NA()</f>
        <v>#N/A</v>
      </c>
      <c r="D159" t="e">
        <f>NA()</f>
        <v>#N/A</v>
      </c>
      <c r="E159" t="e">
        <f>NA()</f>
        <v>#N/A</v>
      </c>
      <c r="F159" t="e">
        <f>NA()</f>
        <v>#N/A</v>
      </c>
      <c r="G159" t="e">
        <f>NA()</f>
        <v>#N/A</v>
      </c>
      <c r="H159" t="e">
        <f>NA()</f>
        <v>#N/A</v>
      </c>
      <c r="I159" t="e">
        <f>NA()</f>
        <v>#N/A</v>
      </c>
      <c r="J159" t="e">
        <f>NA()</f>
        <v>#N/A</v>
      </c>
      <c r="K159" t="e">
        <f>NA()</f>
        <v>#N/A</v>
      </c>
      <c r="L159" t="e">
        <f>NA()</f>
        <v>#N/A</v>
      </c>
      <c r="M159" t="e">
        <f>NA()</f>
        <v>#N/A</v>
      </c>
      <c r="N159" t="e">
        <f>NA()</f>
        <v>#N/A</v>
      </c>
      <c r="O159">
        <f t="shared" si="6"/>
        <v>4.3</v>
      </c>
    </row>
    <row r="160" spans="1:15" x14ac:dyDescent="0.25">
      <c r="A160" s="1">
        <v>45754</v>
      </c>
      <c r="B160" t="e">
        <f>NA()</f>
        <v>#N/A</v>
      </c>
      <c r="C160" t="e">
        <f>NA()</f>
        <v>#N/A</v>
      </c>
      <c r="D160" t="e">
        <f>NA()</f>
        <v>#N/A</v>
      </c>
      <c r="E160" t="e">
        <f>NA()</f>
        <v>#N/A</v>
      </c>
      <c r="F160" t="e">
        <f>NA()</f>
        <v>#N/A</v>
      </c>
      <c r="G160" t="e">
        <f>NA()</f>
        <v>#N/A</v>
      </c>
      <c r="H160" t="e">
        <f>NA()</f>
        <v>#N/A</v>
      </c>
      <c r="I160" t="e">
        <f>NA()</f>
        <v>#N/A</v>
      </c>
      <c r="J160" t="e">
        <f>NA()</f>
        <v>#N/A</v>
      </c>
      <c r="K160" t="e">
        <f>NA()</f>
        <v>#N/A</v>
      </c>
      <c r="L160" t="e">
        <f>NA()</f>
        <v>#N/A</v>
      </c>
      <c r="M160" t="e">
        <f>NA()</f>
        <v>#N/A</v>
      </c>
      <c r="N160" t="e">
        <f>NA()</f>
        <v>#N/A</v>
      </c>
      <c r="O160">
        <f t="shared" si="6"/>
        <v>4.3</v>
      </c>
    </row>
    <row r="161" spans="1:15" x14ac:dyDescent="0.25">
      <c r="A161" s="1">
        <v>45751</v>
      </c>
      <c r="B161">
        <f>0.1</f>
        <v>0.1</v>
      </c>
      <c r="C161">
        <f>0</f>
        <v>0</v>
      </c>
      <c r="D161" t="e">
        <f>NA()</f>
        <v>#N/A</v>
      </c>
      <c r="E161" t="e">
        <f>NA()</f>
        <v>#N/A</v>
      </c>
      <c r="F161" t="e">
        <f>NA()</f>
        <v>#N/A</v>
      </c>
      <c r="G161" t="e">
        <f>NA()</f>
        <v>#N/A</v>
      </c>
      <c r="H161" t="e">
        <f>NA()</f>
        <v>#N/A</v>
      </c>
      <c r="I161" t="e">
        <f>NA()</f>
        <v>#N/A</v>
      </c>
      <c r="J161" t="e">
        <f>NA()</f>
        <v>#N/A</v>
      </c>
      <c r="K161" t="e">
        <f>NA()</f>
        <v>#N/A</v>
      </c>
      <c r="L161" t="e">
        <f>NA()</f>
        <v>#N/A</v>
      </c>
      <c r="M161" t="e">
        <f>NA()</f>
        <v>#N/A</v>
      </c>
      <c r="N161" t="e">
        <f>NA()</f>
        <v>#N/A</v>
      </c>
      <c r="O161">
        <f t="shared" si="6"/>
        <v>4.3</v>
      </c>
    </row>
    <row r="162" spans="1:15" x14ac:dyDescent="0.25">
      <c r="A162" s="1">
        <v>45750</v>
      </c>
      <c r="B162" t="e">
        <f>NA()</f>
        <v>#N/A</v>
      </c>
      <c r="C162" t="e">
        <f>NA()</f>
        <v>#N/A</v>
      </c>
      <c r="D162" t="e">
        <f>NA()</f>
        <v>#N/A</v>
      </c>
      <c r="E162" t="e">
        <f>NA()</f>
        <v>#N/A</v>
      </c>
      <c r="F162" t="e">
        <f>NA()</f>
        <v>#N/A</v>
      </c>
      <c r="G162" t="e">
        <f>NA()</f>
        <v>#N/A</v>
      </c>
      <c r="H162" t="e">
        <f>NA()</f>
        <v>#N/A</v>
      </c>
      <c r="I162" t="e">
        <f>NA()</f>
        <v>#N/A</v>
      </c>
      <c r="J162" t="e">
        <f>NA()</f>
        <v>#N/A</v>
      </c>
      <c r="K162" t="e">
        <f>NA()</f>
        <v>#N/A</v>
      </c>
      <c r="L162" t="e">
        <f>NA()</f>
        <v>#N/A</v>
      </c>
      <c r="M162" t="e">
        <f>NA()</f>
        <v>#N/A</v>
      </c>
      <c r="N162" t="e">
        <f>NA()</f>
        <v>#N/A</v>
      </c>
      <c r="O162">
        <f t="shared" si="6"/>
        <v>4.3</v>
      </c>
    </row>
    <row r="163" spans="1:15" x14ac:dyDescent="0.25">
      <c r="A163" s="1">
        <v>45749</v>
      </c>
      <c r="B163" t="e">
        <f>NA()</f>
        <v>#N/A</v>
      </c>
      <c r="C163" t="e">
        <f>NA()</f>
        <v>#N/A</v>
      </c>
      <c r="D163" t="e">
        <f>NA()</f>
        <v>#N/A</v>
      </c>
      <c r="E163" t="e">
        <f>NA()</f>
        <v>#N/A</v>
      </c>
      <c r="F163" t="e">
        <f>NA()</f>
        <v>#N/A</v>
      </c>
      <c r="G163" t="e">
        <f>NA()</f>
        <v>#N/A</v>
      </c>
      <c r="H163" t="e">
        <f>NA()</f>
        <v>#N/A</v>
      </c>
      <c r="I163" t="e">
        <f>NA()</f>
        <v>#N/A</v>
      </c>
      <c r="J163" t="e">
        <f>NA()</f>
        <v>#N/A</v>
      </c>
      <c r="K163" t="e">
        <f>NA()</f>
        <v>#N/A</v>
      </c>
      <c r="L163" t="e">
        <f>NA()</f>
        <v>#N/A</v>
      </c>
      <c r="M163" t="e">
        <f>NA()</f>
        <v>#N/A</v>
      </c>
      <c r="N163" t="e">
        <f>NA()</f>
        <v>#N/A</v>
      </c>
      <c r="O163">
        <f t="shared" si="6"/>
        <v>4.3</v>
      </c>
    </row>
    <row r="164" spans="1:15" x14ac:dyDescent="0.25">
      <c r="A164" s="1">
        <v>45748</v>
      </c>
      <c r="B164" t="e">
        <f>NA()</f>
        <v>#N/A</v>
      </c>
      <c r="C164" t="e">
        <f>NA()</f>
        <v>#N/A</v>
      </c>
      <c r="D164" t="e">
        <f>NA()</f>
        <v>#N/A</v>
      </c>
      <c r="E164" t="e">
        <f>NA()</f>
        <v>#N/A</v>
      </c>
      <c r="F164" t="e">
        <f>NA()</f>
        <v>#N/A</v>
      </c>
      <c r="G164" t="e">
        <f>NA()</f>
        <v>#N/A</v>
      </c>
      <c r="H164" t="e">
        <f>NA()</f>
        <v>#N/A</v>
      </c>
      <c r="I164" t="e">
        <f>NA()</f>
        <v>#N/A</v>
      </c>
      <c r="J164" t="e">
        <f>NA()</f>
        <v>#N/A</v>
      </c>
      <c r="K164" t="e">
        <f>NA()</f>
        <v>#N/A</v>
      </c>
      <c r="L164" t="e">
        <f>NA()</f>
        <v>#N/A</v>
      </c>
      <c r="M164" t="e">
        <f>NA()</f>
        <v>#N/A</v>
      </c>
      <c r="N164" t="e">
        <f>NA()</f>
        <v>#N/A</v>
      </c>
      <c r="O164">
        <f t="shared" si="6"/>
        <v>4.3</v>
      </c>
    </row>
    <row r="165" spans="1:15" x14ac:dyDescent="0.25">
      <c r="A165" s="1">
        <v>45747</v>
      </c>
      <c r="B165" t="e">
        <f>NA()</f>
        <v>#N/A</v>
      </c>
      <c r="C165" t="e">
        <f>NA()</f>
        <v>#N/A</v>
      </c>
      <c r="D165">
        <f>0.3</f>
        <v>0.3</v>
      </c>
      <c r="E165">
        <f>1.4</f>
        <v>1.4</v>
      </c>
      <c r="F165">
        <f>7200</f>
        <v>7200</v>
      </c>
      <c r="G165">
        <f>62.5</f>
        <v>62.5</v>
      </c>
      <c r="H165">
        <f>5.6</f>
        <v>5.6</v>
      </c>
      <c r="I165">
        <f>319.8</f>
        <v>319.8</v>
      </c>
      <c r="J165">
        <f>2.4</f>
        <v>2.4</v>
      </c>
      <c r="K165">
        <f>49</f>
        <v>49</v>
      </c>
      <c r="L165">
        <f>-0.3</f>
        <v>-0.3</v>
      </c>
      <c r="M165">
        <f>-0.6</f>
        <v>-0.6</v>
      </c>
      <c r="N165">
        <f>4.2</f>
        <v>4.2</v>
      </c>
      <c r="O165">
        <f t="shared" si="6"/>
        <v>4.3</v>
      </c>
    </row>
    <row r="166" spans="1:15" x14ac:dyDescent="0.25">
      <c r="A166" s="1">
        <v>45744</v>
      </c>
      <c r="B166">
        <f>-0.6</f>
        <v>-0.6</v>
      </c>
      <c r="C166">
        <f>0</f>
        <v>0</v>
      </c>
      <c r="D166" t="e">
        <f>NA()</f>
        <v>#N/A</v>
      </c>
      <c r="E166" t="e">
        <f>NA()</f>
        <v>#N/A</v>
      </c>
      <c r="F166" t="e">
        <f>NA()</f>
        <v>#N/A</v>
      </c>
      <c r="G166" t="e">
        <f>NA()</f>
        <v>#N/A</v>
      </c>
      <c r="H166" t="e">
        <f>NA()</f>
        <v>#N/A</v>
      </c>
      <c r="I166" t="e">
        <f>NA()</f>
        <v>#N/A</v>
      </c>
      <c r="J166" t="e">
        <f>NA()</f>
        <v>#N/A</v>
      </c>
      <c r="K166" t="e">
        <f>NA()</f>
        <v>#N/A</v>
      </c>
      <c r="L166" t="e">
        <f>NA()</f>
        <v>#N/A</v>
      </c>
      <c r="M166" t="e">
        <f>NA()</f>
        <v>#N/A</v>
      </c>
      <c r="N166" t="e">
        <f>NA()</f>
        <v>#N/A</v>
      </c>
      <c r="O166">
        <f t="shared" si="6"/>
        <v>4.3</v>
      </c>
    </row>
    <row r="167" spans="1:15" x14ac:dyDescent="0.25">
      <c r="A167" s="1">
        <v>45743</v>
      </c>
      <c r="B167" t="e">
        <f>NA()</f>
        <v>#N/A</v>
      </c>
      <c r="C167" t="e">
        <f>NA()</f>
        <v>#N/A</v>
      </c>
      <c r="D167" t="e">
        <f>NA()</f>
        <v>#N/A</v>
      </c>
      <c r="E167" t="e">
        <f>NA()</f>
        <v>#N/A</v>
      </c>
      <c r="F167" t="e">
        <f>NA()</f>
        <v>#N/A</v>
      </c>
      <c r="G167" t="e">
        <f>NA()</f>
        <v>#N/A</v>
      </c>
      <c r="H167" t="e">
        <f>NA()</f>
        <v>#N/A</v>
      </c>
      <c r="I167" t="e">
        <f>NA()</f>
        <v>#N/A</v>
      </c>
      <c r="J167" t="e">
        <f>NA()</f>
        <v>#N/A</v>
      </c>
      <c r="K167" t="e">
        <f>NA()</f>
        <v>#N/A</v>
      </c>
      <c r="L167" t="e">
        <f>NA()</f>
        <v>#N/A</v>
      </c>
      <c r="M167" t="e">
        <f>NA()</f>
        <v>#N/A</v>
      </c>
      <c r="N167" t="e">
        <f>NA()</f>
        <v>#N/A</v>
      </c>
      <c r="O167">
        <f t="shared" si="6"/>
        <v>4.3</v>
      </c>
    </row>
    <row r="168" spans="1:15" x14ac:dyDescent="0.25">
      <c r="A168" s="1">
        <v>45742</v>
      </c>
      <c r="B168" t="e">
        <f>NA()</f>
        <v>#N/A</v>
      </c>
      <c r="C168" t="e">
        <f>NA()</f>
        <v>#N/A</v>
      </c>
      <c r="D168" t="e">
        <f>NA()</f>
        <v>#N/A</v>
      </c>
      <c r="E168" t="e">
        <f>NA()</f>
        <v>#N/A</v>
      </c>
      <c r="F168" t="e">
        <f>NA()</f>
        <v>#N/A</v>
      </c>
      <c r="G168" t="e">
        <f>NA()</f>
        <v>#N/A</v>
      </c>
      <c r="H168" t="e">
        <f>NA()</f>
        <v>#N/A</v>
      </c>
      <c r="I168" t="e">
        <f>NA()</f>
        <v>#N/A</v>
      </c>
      <c r="J168" t="e">
        <f>NA()</f>
        <v>#N/A</v>
      </c>
      <c r="K168" t="e">
        <f>NA()</f>
        <v>#N/A</v>
      </c>
      <c r="L168" t="e">
        <f>NA()</f>
        <v>#N/A</v>
      </c>
      <c r="M168" t="e">
        <f>NA()</f>
        <v>#N/A</v>
      </c>
      <c r="N168" t="e">
        <f>NA()</f>
        <v>#N/A</v>
      </c>
      <c r="O168">
        <f t="shared" si="6"/>
        <v>4.3</v>
      </c>
    </row>
    <row r="169" spans="1:15" x14ac:dyDescent="0.25">
      <c r="A169" s="1">
        <v>45741</v>
      </c>
      <c r="B169" t="e">
        <f>NA()</f>
        <v>#N/A</v>
      </c>
      <c r="C169" t="e">
        <f>NA()</f>
        <v>#N/A</v>
      </c>
      <c r="D169" t="e">
        <f>NA()</f>
        <v>#N/A</v>
      </c>
      <c r="E169" t="e">
        <f>NA()</f>
        <v>#N/A</v>
      </c>
      <c r="F169" t="e">
        <f>NA()</f>
        <v>#N/A</v>
      </c>
      <c r="G169" t="e">
        <f>NA()</f>
        <v>#N/A</v>
      </c>
      <c r="H169" t="e">
        <f>NA()</f>
        <v>#N/A</v>
      </c>
      <c r="I169" t="e">
        <f>NA()</f>
        <v>#N/A</v>
      </c>
      <c r="J169" t="e">
        <f>NA()</f>
        <v>#N/A</v>
      </c>
      <c r="K169" t="e">
        <f>NA()</f>
        <v>#N/A</v>
      </c>
      <c r="L169" t="e">
        <f>NA()</f>
        <v>#N/A</v>
      </c>
      <c r="M169" t="e">
        <f>NA()</f>
        <v>#N/A</v>
      </c>
      <c r="N169" t="e">
        <f>NA()</f>
        <v>#N/A</v>
      </c>
      <c r="O169">
        <f t="shared" si="6"/>
        <v>4.3</v>
      </c>
    </row>
    <row r="170" spans="1:15" x14ac:dyDescent="0.25">
      <c r="A170" s="1">
        <v>45740</v>
      </c>
      <c r="B170" t="e">
        <f>NA()</f>
        <v>#N/A</v>
      </c>
      <c r="C170" t="e">
        <f>NA()</f>
        <v>#N/A</v>
      </c>
      <c r="D170" t="e">
        <f>NA()</f>
        <v>#N/A</v>
      </c>
      <c r="E170" t="e">
        <f>NA()</f>
        <v>#N/A</v>
      </c>
      <c r="F170" t="e">
        <f>NA()</f>
        <v>#N/A</v>
      </c>
      <c r="G170" t="e">
        <f>NA()</f>
        <v>#N/A</v>
      </c>
      <c r="H170" t="e">
        <f>NA()</f>
        <v>#N/A</v>
      </c>
      <c r="I170" t="e">
        <f>NA()</f>
        <v>#N/A</v>
      </c>
      <c r="J170" t="e">
        <f>NA()</f>
        <v>#N/A</v>
      </c>
      <c r="K170" t="e">
        <f>NA()</f>
        <v>#N/A</v>
      </c>
      <c r="L170" t="e">
        <f>NA()</f>
        <v>#N/A</v>
      </c>
      <c r="M170" t="e">
        <f>NA()</f>
        <v>#N/A</v>
      </c>
      <c r="N170" t="e">
        <f>NA()</f>
        <v>#N/A</v>
      </c>
      <c r="O170">
        <f t="shared" si="6"/>
        <v>4.3</v>
      </c>
    </row>
    <row r="171" spans="1:15" x14ac:dyDescent="0.25">
      <c r="A171" s="1">
        <v>45737</v>
      </c>
      <c r="B171">
        <f>-0.6</f>
        <v>-0.6</v>
      </c>
      <c r="C171">
        <f>0</f>
        <v>0</v>
      </c>
      <c r="D171" t="e">
        <f>NA()</f>
        <v>#N/A</v>
      </c>
      <c r="E171" t="e">
        <f>NA()</f>
        <v>#N/A</v>
      </c>
      <c r="F171" t="e">
        <f>NA()</f>
        <v>#N/A</v>
      </c>
      <c r="G171" t="e">
        <f>NA()</f>
        <v>#N/A</v>
      </c>
      <c r="H171" t="e">
        <f>NA()</f>
        <v>#N/A</v>
      </c>
      <c r="I171" t="e">
        <f>NA()</f>
        <v>#N/A</v>
      </c>
      <c r="J171" t="e">
        <f>NA()</f>
        <v>#N/A</v>
      </c>
      <c r="K171" t="e">
        <f>NA()</f>
        <v>#N/A</v>
      </c>
      <c r="L171" t="e">
        <f>NA()</f>
        <v>#N/A</v>
      </c>
      <c r="M171" t="e">
        <f>NA()</f>
        <v>#N/A</v>
      </c>
      <c r="N171" t="e">
        <f>NA()</f>
        <v>#N/A</v>
      </c>
      <c r="O171">
        <f t="shared" si="6"/>
        <v>4.3</v>
      </c>
    </row>
    <row r="172" spans="1:15" x14ac:dyDescent="0.25">
      <c r="A172" s="1">
        <v>45736</v>
      </c>
      <c r="B172" t="e">
        <f>NA()</f>
        <v>#N/A</v>
      </c>
      <c r="C172" t="e">
        <f>NA()</f>
        <v>#N/A</v>
      </c>
      <c r="D172" t="e">
        <f>NA()</f>
        <v>#N/A</v>
      </c>
      <c r="E172" t="e">
        <f>NA()</f>
        <v>#N/A</v>
      </c>
      <c r="F172" t="e">
        <f>NA()</f>
        <v>#N/A</v>
      </c>
      <c r="G172" t="e">
        <f>NA()</f>
        <v>#N/A</v>
      </c>
      <c r="H172" t="e">
        <f>NA()</f>
        <v>#N/A</v>
      </c>
      <c r="I172" t="e">
        <f>NA()</f>
        <v>#N/A</v>
      </c>
      <c r="J172" t="e">
        <f>NA()</f>
        <v>#N/A</v>
      </c>
      <c r="K172" t="e">
        <f>NA()</f>
        <v>#N/A</v>
      </c>
      <c r="L172" t="e">
        <f>NA()</f>
        <v>#N/A</v>
      </c>
      <c r="M172" t="e">
        <f>NA()</f>
        <v>#N/A</v>
      </c>
      <c r="N172" t="e">
        <f>NA()</f>
        <v>#N/A</v>
      </c>
      <c r="O172">
        <f t="shared" si="6"/>
        <v>4.3</v>
      </c>
    </row>
    <row r="173" spans="1:15" x14ac:dyDescent="0.25">
      <c r="A173" s="1">
        <v>45735</v>
      </c>
      <c r="B173" t="e">
        <f>NA()</f>
        <v>#N/A</v>
      </c>
      <c r="C173" t="e">
        <f>NA()</f>
        <v>#N/A</v>
      </c>
      <c r="D173" t="e">
        <f>NA()</f>
        <v>#N/A</v>
      </c>
      <c r="E173" t="e">
        <f>NA()</f>
        <v>#N/A</v>
      </c>
      <c r="F173" t="e">
        <f>NA()</f>
        <v>#N/A</v>
      </c>
      <c r="G173" t="e">
        <f>NA()</f>
        <v>#N/A</v>
      </c>
      <c r="H173" t="e">
        <f>NA()</f>
        <v>#N/A</v>
      </c>
      <c r="I173" t="e">
        <f>NA()</f>
        <v>#N/A</v>
      </c>
      <c r="J173" t="e">
        <f>NA()</f>
        <v>#N/A</v>
      </c>
      <c r="K173" t="e">
        <f>NA()</f>
        <v>#N/A</v>
      </c>
      <c r="L173" t="e">
        <f>NA()</f>
        <v>#N/A</v>
      </c>
      <c r="M173" t="e">
        <f>NA()</f>
        <v>#N/A</v>
      </c>
      <c r="N173" t="e">
        <f>NA()</f>
        <v>#N/A</v>
      </c>
      <c r="O173">
        <f t="shared" si="6"/>
        <v>4.3</v>
      </c>
    </row>
    <row r="174" spans="1:15" x14ac:dyDescent="0.25">
      <c r="A174" s="1">
        <v>45734</v>
      </c>
      <c r="B174" t="e">
        <f>NA()</f>
        <v>#N/A</v>
      </c>
      <c r="C174" t="e">
        <f>NA()</f>
        <v>#N/A</v>
      </c>
      <c r="D174" t="e">
        <f>NA()</f>
        <v>#N/A</v>
      </c>
      <c r="E174" t="e">
        <f>NA()</f>
        <v>#N/A</v>
      </c>
      <c r="F174" t="e">
        <f>NA()</f>
        <v>#N/A</v>
      </c>
      <c r="G174" t="e">
        <f>NA()</f>
        <v>#N/A</v>
      </c>
      <c r="H174" t="e">
        <f>NA()</f>
        <v>#N/A</v>
      </c>
      <c r="I174" t="e">
        <f>NA()</f>
        <v>#N/A</v>
      </c>
      <c r="J174" t="e">
        <f>NA()</f>
        <v>#N/A</v>
      </c>
      <c r="K174" t="e">
        <f>NA()</f>
        <v>#N/A</v>
      </c>
      <c r="L174" t="e">
        <f>NA()</f>
        <v>#N/A</v>
      </c>
      <c r="M174" t="e">
        <f>NA()</f>
        <v>#N/A</v>
      </c>
      <c r="N174" t="e">
        <f>NA()</f>
        <v>#N/A</v>
      </c>
      <c r="O174">
        <f t="shared" si="6"/>
        <v>4.3</v>
      </c>
    </row>
    <row r="175" spans="1:15" x14ac:dyDescent="0.25">
      <c r="A175" s="1">
        <v>45733</v>
      </c>
      <c r="B175" t="e">
        <f>NA()</f>
        <v>#N/A</v>
      </c>
      <c r="C175" t="e">
        <f>NA()</f>
        <v>#N/A</v>
      </c>
      <c r="D175" t="e">
        <f>NA()</f>
        <v>#N/A</v>
      </c>
      <c r="E175" t="e">
        <f>NA()</f>
        <v>#N/A</v>
      </c>
      <c r="F175" t="e">
        <f>NA()</f>
        <v>#N/A</v>
      </c>
      <c r="G175" t="e">
        <f>NA()</f>
        <v>#N/A</v>
      </c>
      <c r="H175" t="e">
        <f>NA()</f>
        <v>#N/A</v>
      </c>
      <c r="I175" t="e">
        <f>NA()</f>
        <v>#N/A</v>
      </c>
      <c r="J175" t="e">
        <f>NA()</f>
        <v>#N/A</v>
      </c>
      <c r="K175" t="e">
        <f>NA()</f>
        <v>#N/A</v>
      </c>
      <c r="L175" t="e">
        <f>NA()</f>
        <v>#N/A</v>
      </c>
      <c r="M175" t="e">
        <f>NA()</f>
        <v>#N/A</v>
      </c>
      <c r="N175" t="e">
        <f>NA()</f>
        <v>#N/A</v>
      </c>
      <c r="O175">
        <f t="shared" si="6"/>
        <v>4.3</v>
      </c>
    </row>
    <row r="176" spans="1:15" x14ac:dyDescent="0.25">
      <c r="A176" s="1">
        <v>45730</v>
      </c>
      <c r="B176">
        <f>-0.2</f>
        <v>-0.2</v>
      </c>
      <c r="C176">
        <f>0</f>
        <v>0</v>
      </c>
      <c r="D176" t="e">
        <f>NA()</f>
        <v>#N/A</v>
      </c>
      <c r="E176" t="e">
        <f>NA()</f>
        <v>#N/A</v>
      </c>
      <c r="F176" t="e">
        <f>NA()</f>
        <v>#N/A</v>
      </c>
      <c r="G176" t="e">
        <f>NA()</f>
        <v>#N/A</v>
      </c>
      <c r="H176" t="e">
        <f>NA()</f>
        <v>#N/A</v>
      </c>
      <c r="I176" t="e">
        <f>NA()</f>
        <v>#N/A</v>
      </c>
      <c r="J176" t="e">
        <f>NA()</f>
        <v>#N/A</v>
      </c>
      <c r="K176" t="e">
        <f>NA()</f>
        <v>#N/A</v>
      </c>
      <c r="L176" t="e">
        <f>NA()</f>
        <v>#N/A</v>
      </c>
      <c r="M176" t="e">
        <f>NA()</f>
        <v>#N/A</v>
      </c>
      <c r="N176" t="e">
        <f>NA()</f>
        <v>#N/A</v>
      </c>
      <c r="O176">
        <f t="shared" si="6"/>
        <v>4.3</v>
      </c>
    </row>
    <row r="177" spans="1:15" x14ac:dyDescent="0.25">
      <c r="A177" s="1">
        <v>45729</v>
      </c>
      <c r="B177" t="e">
        <f>NA()</f>
        <v>#N/A</v>
      </c>
      <c r="C177" t="e">
        <f>NA()</f>
        <v>#N/A</v>
      </c>
      <c r="D177" t="e">
        <f>NA()</f>
        <v>#N/A</v>
      </c>
      <c r="E177" t="e">
        <f>NA()</f>
        <v>#N/A</v>
      </c>
      <c r="F177" t="e">
        <f>NA()</f>
        <v>#N/A</v>
      </c>
      <c r="G177" t="e">
        <f>NA()</f>
        <v>#N/A</v>
      </c>
      <c r="H177" t="e">
        <f>NA()</f>
        <v>#N/A</v>
      </c>
      <c r="I177" t="e">
        <f>NA()</f>
        <v>#N/A</v>
      </c>
      <c r="J177" t="e">
        <f>NA()</f>
        <v>#N/A</v>
      </c>
      <c r="K177" t="e">
        <f>NA()</f>
        <v>#N/A</v>
      </c>
      <c r="L177" t="e">
        <f>NA()</f>
        <v>#N/A</v>
      </c>
      <c r="M177" t="e">
        <f>NA()</f>
        <v>#N/A</v>
      </c>
      <c r="N177" t="e">
        <f>NA()</f>
        <v>#N/A</v>
      </c>
      <c r="O177">
        <f t="shared" si="6"/>
        <v>4.3</v>
      </c>
    </row>
    <row r="178" spans="1:15" x14ac:dyDescent="0.25">
      <c r="A178" s="1">
        <v>45728</v>
      </c>
      <c r="B178" t="e">
        <f>NA()</f>
        <v>#N/A</v>
      </c>
      <c r="C178" t="e">
        <f>NA()</f>
        <v>#N/A</v>
      </c>
      <c r="D178" t="e">
        <f>NA()</f>
        <v>#N/A</v>
      </c>
      <c r="E178" t="e">
        <f>NA()</f>
        <v>#N/A</v>
      </c>
      <c r="F178" t="e">
        <f>NA()</f>
        <v>#N/A</v>
      </c>
      <c r="G178" t="e">
        <f>NA()</f>
        <v>#N/A</v>
      </c>
      <c r="H178" t="e">
        <f>NA()</f>
        <v>#N/A</v>
      </c>
      <c r="I178" t="e">
        <f>NA()</f>
        <v>#N/A</v>
      </c>
      <c r="J178" t="e">
        <f>NA()</f>
        <v>#N/A</v>
      </c>
      <c r="K178" t="e">
        <f>NA()</f>
        <v>#N/A</v>
      </c>
      <c r="L178" t="e">
        <f>NA()</f>
        <v>#N/A</v>
      </c>
      <c r="M178" t="e">
        <f>NA()</f>
        <v>#N/A</v>
      </c>
      <c r="N178" t="e">
        <f>NA()</f>
        <v>#N/A</v>
      </c>
      <c r="O178">
        <f t="shared" si="6"/>
        <v>4.3</v>
      </c>
    </row>
    <row r="179" spans="1:15" x14ac:dyDescent="0.25">
      <c r="A179" s="1">
        <v>45727</v>
      </c>
      <c r="B179" t="e">
        <f>NA()</f>
        <v>#N/A</v>
      </c>
      <c r="C179" t="e">
        <f>NA()</f>
        <v>#N/A</v>
      </c>
      <c r="D179" t="e">
        <f>NA()</f>
        <v>#N/A</v>
      </c>
      <c r="E179" t="e">
        <f>NA()</f>
        <v>#N/A</v>
      </c>
      <c r="F179" t="e">
        <f>NA()</f>
        <v>#N/A</v>
      </c>
      <c r="G179" t="e">
        <f>NA()</f>
        <v>#N/A</v>
      </c>
      <c r="H179" t="e">
        <f>NA()</f>
        <v>#N/A</v>
      </c>
      <c r="I179" t="e">
        <f>NA()</f>
        <v>#N/A</v>
      </c>
      <c r="J179" t="e">
        <f>NA()</f>
        <v>#N/A</v>
      </c>
      <c r="K179" t="e">
        <f>NA()</f>
        <v>#N/A</v>
      </c>
      <c r="L179" t="e">
        <f>NA()</f>
        <v>#N/A</v>
      </c>
      <c r="M179" t="e">
        <f>NA()</f>
        <v>#N/A</v>
      </c>
      <c r="N179" t="e">
        <f>NA()</f>
        <v>#N/A</v>
      </c>
      <c r="O179">
        <f t="shared" si="6"/>
        <v>4.3</v>
      </c>
    </row>
    <row r="180" spans="1:15" x14ac:dyDescent="0.25">
      <c r="A180" s="1">
        <v>45726</v>
      </c>
      <c r="B180" t="e">
        <f>NA()</f>
        <v>#N/A</v>
      </c>
      <c r="C180" t="e">
        <f>NA()</f>
        <v>#N/A</v>
      </c>
      <c r="D180" t="e">
        <f>NA()</f>
        <v>#N/A</v>
      </c>
      <c r="E180" t="e">
        <f>NA()</f>
        <v>#N/A</v>
      </c>
      <c r="F180" t="e">
        <f>NA()</f>
        <v>#N/A</v>
      </c>
      <c r="G180" t="e">
        <f>NA()</f>
        <v>#N/A</v>
      </c>
      <c r="H180" t="e">
        <f>NA()</f>
        <v>#N/A</v>
      </c>
      <c r="I180" t="e">
        <f>NA()</f>
        <v>#N/A</v>
      </c>
      <c r="J180" t="e">
        <f>NA()</f>
        <v>#N/A</v>
      </c>
      <c r="K180" t="e">
        <f>NA()</f>
        <v>#N/A</v>
      </c>
      <c r="L180" t="e">
        <f>NA()</f>
        <v>#N/A</v>
      </c>
      <c r="M180" t="e">
        <f>NA()</f>
        <v>#N/A</v>
      </c>
      <c r="N180" t="e">
        <f>NA()</f>
        <v>#N/A</v>
      </c>
      <c r="O180">
        <f t="shared" si="6"/>
        <v>4.3</v>
      </c>
    </row>
    <row r="181" spans="1:15" x14ac:dyDescent="0.25">
      <c r="A181" s="1">
        <v>45723</v>
      </c>
      <c r="B181">
        <f>-0.4</f>
        <v>-0.4</v>
      </c>
      <c r="C181">
        <f>0</f>
        <v>0</v>
      </c>
      <c r="D181" t="e">
        <f>NA()</f>
        <v>#N/A</v>
      </c>
      <c r="E181" t="e">
        <f>NA()</f>
        <v>#N/A</v>
      </c>
      <c r="F181" t="e">
        <f>NA()</f>
        <v>#N/A</v>
      </c>
      <c r="G181" t="e">
        <f>NA()</f>
        <v>#N/A</v>
      </c>
      <c r="H181" t="e">
        <f>NA()</f>
        <v>#N/A</v>
      </c>
      <c r="I181" t="e">
        <f>NA()</f>
        <v>#N/A</v>
      </c>
      <c r="J181" t="e">
        <f>NA()</f>
        <v>#N/A</v>
      </c>
      <c r="K181" t="e">
        <f>NA()</f>
        <v>#N/A</v>
      </c>
      <c r="L181" t="e">
        <f>NA()</f>
        <v>#N/A</v>
      </c>
      <c r="M181" t="e">
        <f>NA()</f>
        <v>#N/A</v>
      </c>
      <c r="N181" t="e">
        <f>NA()</f>
        <v>#N/A</v>
      </c>
      <c r="O181">
        <f t="shared" si="6"/>
        <v>4.3</v>
      </c>
    </row>
    <row r="182" spans="1:15" x14ac:dyDescent="0.25">
      <c r="A182" s="1">
        <v>45722</v>
      </c>
      <c r="B182" t="e">
        <f>NA()</f>
        <v>#N/A</v>
      </c>
      <c r="C182" t="e">
        <f>NA()</f>
        <v>#N/A</v>
      </c>
      <c r="D182" t="e">
        <f>NA()</f>
        <v>#N/A</v>
      </c>
      <c r="E182" t="e">
        <f>NA()</f>
        <v>#N/A</v>
      </c>
      <c r="F182" t="e">
        <f>NA()</f>
        <v>#N/A</v>
      </c>
      <c r="G182" t="e">
        <f>NA()</f>
        <v>#N/A</v>
      </c>
      <c r="H182" t="e">
        <f>NA()</f>
        <v>#N/A</v>
      </c>
      <c r="I182" t="e">
        <f>NA()</f>
        <v>#N/A</v>
      </c>
      <c r="J182" t="e">
        <f>NA()</f>
        <v>#N/A</v>
      </c>
      <c r="K182" t="e">
        <f>NA()</f>
        <v>#N/A</v>
      </c>
      <c r="L182" t="e">
        <f>NA()</f>
        <v>#N/A</v>
      </c>
      <c r="M182" t="e">
        <f>NA()</f>
        <v>#N/A</v>
      </c>
      <c r="N182" t="e">
        <f>NA()</f>
        <v>#N/A</v>
      </c>
      <c r="O182">
        <f t="shared" si="6"/>
        <v>4.3</v>
      </c>
    </row>
    <row r="183" spans="1:15" x14ac:dyDescent="0.25">
      <c r="A183" s="1">
        <v>45721</v>
      </c>
      <c r="B183" t="e">
        <f>NA()</f>
        <v>#N/A</v>
      </c>
      <c r="C183" t="e">
        <f>NA()</f>
        <v>#N/A</v>
      </c>
      <c r="D183" t="e">
        <f>NA()</f>
        <v>#N/A</v>
      </c>
      <c r="E183" t="e">
        <f>NA()</f>
        <v>#N/A</v>
      </c>
      <c r="F183" t="e">
        <f>NA()</f>
        <v>#N/A</v>
      </c>
      <c r="G183" t="e">
        <f>NA()</f>
        <v>#N/A</v>
      </c>
      <c r="H183" t="e">
        <f>NA()</f>
        <v>#N/A</v>
      </c>
      <c r="I183" t="e">
        <f>NA()</f>
        <v>#N/A</v>
      </c>
      <c r="J183" t="e">
        <f>NA()</f>
        <v>#N/A</v>
      </c>
      <c r="K183" t="e">
        <f>NA()</f>
        <v>#N/A</v>
      </c>
      <c r="L183" t="e">
        <f>NA()</f>
        <v>#N/A</v>
      </c>
      <c r="M183" t="e">
        <f>NA()</f>
        <v>#N/A</v>
      </c>
      <c r="N183" t="e">
        <f>NA()</f>
        <v>#N/A</v>
      </c>
      <c r="O183">
        <f t="shared" si="6"/>
        <v>4.3</v>
      </c>
    </row>
    <row r="184" spans="1:15" x14ac:dyDescent="0.25">
      <c r="A184" s="1">
        <v>45720</v>
      </c>
      <c r="B184" t="e">
        <f>NA()</f>
        <v>#N/A</v>
      </c>
      <c r="C184" t="e">
        <f>NA()</f>
        <v>#N/A</v>
      </c>
      <c r="D184" t="e">
        <f>NA()</f>
        <v>#N/A</v>
      </c>
      <c r="E184" t="e">
        <f>NA()</f>
        <v>#N/A</v>
      </c>
      <c r="F184" t="e">
        <f>NA()</f>
        <v>#N/A</v>
      </c>
      <c r="G184" t="e">
        <f>NA()</f>
        <v>#N/A</v>
      </c>
      <c r="H184" t="e">
        <f>NA()</f>
        <v>#N/A</v>
      </c>
      <c r="I184" t="e">
        <f>NA()</f>
        <v>#N/A</v>
      </c>
      <c r="J184" t="e">
        <f>NA()</f>
        <v>#N/A</v>
      </c>
      <c r="K184" t="e">
        <f>NA()</f>
        <v>#N/A</v>
      </c>
      <c r="L184" t="e">
        <f>NA()</f>
        <v>#N/A</v>
      </c>
      <c r="M184" t="e">
        <f>NA()</f>
        <v>#N/A</v>
      </c>
      <c r="N184" t="e">
        <f>NA()</f>
        <v>#N/A</v>
      </c>
      <c r="O184">
        <f t="shared" si="6"/>
        <v>4.3</v>
      </c>
    </row>
    <row r="185" spans="1:15" x14ac:dyDescent="0.25">
      <c r="A185" s="1">
        <v>45719</v>
      </c>
      <c r="B185" t="e">
        <f>NA()</f>
        <v>#N/A</v>
      </c>
      <c r="C185" t="e">
        <f>NA()</f>
        <v>#N/A</v>
      </c>
      <c r="D185" t="e">
        <f>NA()</f>
        <v>#N/A</v>
      </c>
      <c r="E185" t="e">
        <f>NA()</f>
        <v>#N/A</v>
      </c>
      <c r="F185" t="e">
        <f>NA()</f>
        <v>#N/A</v>
      </c>
      <c r="G185" t="e">
        <f>NA()</f>
        <v>#N/A</v>
      </c>
      <c r="H185" t="e">
        <f>NA()</f>
        <v>#N/A</v>
      </c>
      <c r="I185" t="e">
        <f>NA()</f>
        <v>#N/A</v>
      </c>
      <c r="J185" t="e">
        <f>NA()</f>
        <v>#N/A</v>
      </c>
      <c r="K185" t="e">
        <f>NA()</f>
        <v>#N/A</v>
      </c>
      <c r="L185" t="e">
        <f>NA()</f>
        <v>#N/A</v>
      </c>
      <c r="M185" t="e">
        <f>NA()</f>
        <v>#N/A</v>
      </c>
      <c r="N185" t="e">
        <f>NA()</f>
        <v>#N/A</v>
      </c>
      <c r="O185">
        <f t="shared" si="6"/>
        <v>4.3</v>
      </c>
    </row>
    <row r="186" spans="1:15" x14ac:dyDescent="0.25">
      <c r="A186" s="1">
        <v>45716</v>
      </c>
      <c r="B186">
        <f>-0.5</f>
        <v>-0.5</v>
      </c>
      <c r="C186">
        <f>0</f>
        <v>0</v>
      </c>
      <c r="D186">
        <f>0.2</f>
        <v>0.2</v>
      </c>
      <c r="E186">
        <f>1.1</f>
        <v>1.1000000000000001</v>
      </c>
      <c r="F186">
        <f>7480</f>
        <v>7480</v>
      </c>
      <c r="G186">
        <f>62.4</f>
        <v>62.4</v>
      </c>
      <c r="H186">
        <f>5.5</f>
        <v>5.5</v>
      </c>
      <c r="I186">
        <f>319.1</f>
        <v>319.10000000000002</v>
      </c>
      <c r="J186">
        <f>2.8</f>
        <v>2.8</v>
      </c>
      <c r="K186">
        <f>50.3</f>
        <v>50.3</v>
      </c>
      <c r="L186">
        <f>1</f>
        <v>1</v>
      </c>
      <c r="M186" t="e">
        <f>NA()</f>
        <v>#N/A</v>
      </c>
      <c r="N186">
        <f>4.1</f>
        <v>4.0999999999999996</v>
      </c>
      <c r="O186">
        <f t="shared" ref="O186:O217" si="7">4.3</f>
        <v>4.3</v>
      </c>
    </row>
    <row r="187" spans="1:15" x14ac:dyDescent="0.25">
      <c r="A187" s="1">
        <v>45715</v>
      </c>
      <c r="B187" t="e">
        <f>NA()</f>
        <v>#N/A</v>
      </c>
      <c r="C187" t="e">
        <f>NA()</f>
        <v>#N/A</v>
      </c>
      <c r="D187" t="e">
        <f>NA()</f>
        <v>#N/A</v>
      </c>
      <c r="E187" t="e">
        <f>NA()</f>
        <v>#N/A</v>
      </c>
      <c r="F187" t="e">
        <f>NA()</f>
        <v>#N/A</v>
      </c>
      <c r="G187" t="e">
        <f>NA()</f>
        <v>#N/A</v>
      </c>
      <c r="H187" t="e">
        <f>NA()</f>
        <v>#N/A</v>
      </c>
      <c r="I187" t="e">
        <f>NA()</f>
        <v>#N/A</v>
      </c>
      <c r="J187" t="e">
        <f>NA()</f>
        <v>#N/A</v>
      </c>
      <c r="K187" t="e">
        <f>NA()</f>
        <v>#N/A</v>
      </c>
      <c r="L187" t="e">
        <f>NA()</f>
        <v>#N/A</v>
      </c>
      <c r="M187" t="e">
        <f>NA()</f>
        <v>#N/A</v>
      </c>
      <c r="N187" t="e">
        <f>NA()</f>
        <v>#N/A</v>
      </c>
      <c r="O187">
        <f t="shared" si="7"/>
        <v>4.3</v>
      </c>
    </row>
    <row r="188" spans="1:15" x14ac:dyDescent="0.25">
      <c r="A188" s="1">
        <v>45714</v>
      </c>
      <c r="B188" t="e">
        <f>NA()</f>
        <v>#N/A</v>
      </c>
      <c r="C188" t="e">
        <f>NA()</f>
        <v>#N/A</v>
      </c>
      <c r="D188" t="e">
        <f>NA()</f>
        <v>#N/A</v>
      </c>
      <c r="E188" t="e">
        <f>NA()</f>
        <v>#N/A</v>
      </c>
      <c r="F188" t="e">
        <f>NA()</f>
        <v>#N/A</v>
      </c>
      <c r="G188" t="e">
        <f>NA()</f>
        <v>#N/A</v>
      </c>
      <c r="H188" t="e">
        <f>NA()</f>
        <v>#N/A</v>
      </c>
      <c r="I188" t="e">
        <f>NA()</f>
        <v>#N/A</v>
      </c>
      <c r="J188" t="e">
        <f>NA()</f>
        <v>#N/A</v>
      </c>
      <c r="K188" t="e">
        <f>NA()</f>
        <v>#N/A</v>
      </c>
      <c r="L188" t="e">
        <f>NA()</f>
        <v>#N/A</v>
      </c>
      <c r="M188" t="e">
        <f>NA()</f>
        <v>#N/A</v>
      </c>
      <c r="N188" t="e">
        <f>NA()</f>
        <v>#N/A</v>
      </c>
      <c r="O188">
        <f t="shared" si="7"/>
        <v>4.3</v>
      </c>
    </row>
    <row r="189" spans="1:15" x14ac:dyDescent="0.25">
      <c r="A189" s="1">
        <v>45713</v>
      </c>
      <c r="B189" t="e">
        <f>NA()</f>
        <v>#N/A</v>
      </c>
      <c r="C189" t="e">
        <f>NA()</f>
        <v>#N/A</v>
      </c>
      <c r="D189" t="e">
        <f>NA()</f>
        <v>#N/A</v>
      </c>
      <c r="E189" t="e">
        <f>NA()</f>
        <v>#N/A</v>
      </c>
      <c r="F189" t="e">
        <f>NA()</f>
        <v>#N/A</v>
      </c>
      <c r="G189" t="e">
        <f>NA()</f>
        <v>#N/A</v>
      </c>
      <c r="H189" t="e">
        <f>NA()</f>
        <v>#N/A</v>
      </c>
      <c r="I189" t="e">
        <f>NA()</f>
        <v>#N/A</v>
      </c>
      <c r="J189" t="e">
        <f>NA()</f>
        <v>#N/A</v>
      </c>
      <c r="K189" t="e">
        <f>NA()</f>
        <v>#N/A</v>
      </c>
      <c r="L189" t="e">
        <f>NA()</f>
        <v>#N/A</v>
      </c>
      <c r="M189" t="e">
        <f>NA()</f>
        <v>#N/A</v>
      </c>
      <c r="N189" t="e">
        <f>NA()</f>
        <v>#N/A</v>
      </c>
      <c r="O189">
        <f t="shared" si="7"/>
        <v>4.3</v>
      </c>
    </row>
    <row r="190" spans="1:15" x14ac:dyDescent="0.25">
      <c r="A190" s="1">
        <v>45712</v>
      </c>
      <c r="B190" t="e">
        <f>NA()</f>
        <v>#N/A</v>
      </c>
      <c r="C190" t="e">
        <f>NA()</f>
        <v>#N/A</v>
      </c>
      <c r="D190" t="e">
        <f>NA()</f>
        <v>#N/A</v>
      </c>
      <c r="E190" t="e">
        <f>NA()</f>
        <v>#N/A</v>
      </c>
      <c r="F190" t="e">
        <f>NA()</f>
        <v>#N/A</v>
      </c>
      <c r="G190" t="e">
        <f>NA()</f>
        <v>#N/A</v>
      </c>
      <c r="H190" t="e">
        <f>NA()</f>
        <v>#N/A</v>
      </c>
      <c r="I190" t="e">
        <f>NA()</f>
        <v>#N/A</v>
      </c>
      <c r="J190" t="e">
        <f>NA()</f>
        <v>#N/A</v>
      </c>
      <c r="K190" t="e">
        <f>NA()</f>
        <v>#N/A</v>
      </c>
      <c r="L190" t="e">
        <f>NA()</f>
        <v>#N/A</v>
      </c>
      <c r="M190" t="e">
        <f>NA()</f>
        <v>#N/A</v>
      </c>
      <c r="N190" t="e">
        <f>NA()</f>
        <v>#N/A</v>
      </c>
      <c r="O190">
        <f t="shared" si="7"/>
        <v>4.3</v>
      </c>
    </row>
    <row r="191" spans="1:15" x14ac:dyDescent="0.25">
      <c r="A191" s="1">
        <v>45709</v>
      </c>
      <c r="B191">
        <f>-0.8</f>
        <v>-0.8</v>
      </c>
      <c r="C191">
        <f>0</f>
        <v>0</v>
      </c>
      <c r="D191" t="e">
        <f>NA()</f>
        <v>#N/A</v>
      </c>
      <c r="E191" t="e">
        <f>NA()</f>
        <v>#N/A</v>
      </c>
      <c r="F191" t="e">
        <f>NA()</f>
        <v>#N/A</v>
      </c>
      <c r="G191" t="e">
        <f>NA()</f>
        <v>#N/A</v>
      </c>
      <c r="H191" t="e">
        <f>NA()</f>
        <v>#N/A</v>
      </c>
      <c r="I191" t="e">
        <f>NA()</f>
        <v>#N/A</v>
      </c>
      <c r="J191" t="e">
        <f>NA()</f>
        <v>#N/A</v>
      </c>
      <c r="K191" t="e">
        <f>NA()</f>
        <v>#N/A</v>
      </c>
      <c r="L191" t="e">
        <f>NA()</f>
        <v>#N/A</v>
      </c>
      <c r="M191" t="e">
        <f>NA()</f>
        <v>#N/A</v>
      </c>
      <c r="N191" t="e">
        <f>NA()</f>
        <v>#N/A</v>
      </c>
      <c r="O191">
        <f t="shared" si="7"/>
        <v>4.3</v>
      </c>
    </row>
    <row r="192" spans="1:15" x14ac:dyDescent="0.25">
      <c r="A192" s="1">
        <v>45708</v>
      </c>
      <c r="B192" t="e">
        <f>NA()</f>
        <v>#N/A</v>
      </c>
      <c r="C192" t="e">
        <f>NA()</f>
        <v>#N/A</v>
      </c>
      <c r="D192" t="e">
        <f>NA()</f>
        <v>#N/A</v>
      </c>
      <c r="E192" t="e">
        <f>NA()</f>
        <v>#N/A</v>
      </c>
      <c r="F192" t="e">
        <f>NA()</f>
        <v>#N/A</v>
      </c>
      <c r="G192" t="e">
        <f>NA()</f>
        <v>#N/A</v>
      </c>
      <c r="H192" t="e">
        <f>NA()</f>
        <v>#N/A</v>
      </c>
      <c r="I192" t="e">
        <f>NA()</f>
        <v>#N/A</v>
      </c>
      <c r="J192" t="e">
        <f>NA()</f>
        <v>#N/A</v>
      </c>
      <c r="K192" t="e">
        <f>NA()</f>
        <v>#N/A</v>
      </c>
      <c r="L192" t="e">
        <f>NA()</f>
        <v>#N/A</v>
      </c>
      <c r="M192" t="e">
        <f>NA()</f>
        <v>#N/A</v>
      </c>
      <c r="N192" t="e">
        <f>NA()</f>
        <v>#N/A</v>
      </c>
      <c r="O192">
        <f t="shared" si="7"/>
        <v>4.3</v>
      </c>
    </row>
    <row r="193" spans="1:15" x14ac:dyDescent="0.25">
      <c r="A193" s="1">
        <v>45707</v>
      </c>
      <c r="B193" t="e">
        <f>NA()</f>
        <v>#N/A</v>
      </c>
      <c r="C193" t="e">
        <f>NA()</f>
        <v>#N/A</v>
      </c>
      <c r="D193" t="e">
        <f>NA()</f>
        <v>#N/A</v>
      </c>
      <c r="E193" t="e">
        <f>NA()</f>
        <v>#N/A</v>
      </c>
      <c r="F193" t="e">
        <f>NA()</f>
        <v>#N/A</v>
      </c>
      <c r="G193" t="e">
        <f>NA()</f>
        <v>#N/A</v>
      </c>
      <c r="H193" t="e">
        <f>NA()</f>
        <v>#N/A</v>
      </c>
      <c r="I193" t="e">
        <f>NA()</f>
        <v>#N/A</v>
      </c>
      <c r="J193" t="e">
        <f>NA()</f>
        <v>#N/A</v>
      </c>
      <c r="K193" t="e">
        <f>NA()</f>
        <v>#N/A</v>
      </c>
      <c r="L193" t="e">
        <f>NA()</f>
        <v>#N/A</v>
      </c>
      <c r="M193" t="e">
        <f>NA()</f>
        <v>#N/A</v>
      </c>
      <c r="N193" t="e">
        <f>NA()</f>
        <v>#N/A</v>
      </c>
      <c r="O193">
        <f t="shared" si="7"/>
        <v>4.3</v>
      </c>
    </row>
    <row r="194" spans="1:15" x14ac:dyDescent="0.25">
      <c r="A194" s="1">
        <v>45706</v>
      </c>
      <c r="B194" t="e">
        <f>NA()</f>
        <v>#N/A</v>
      </c>
      <c r="C194" t="e">
        <f>NA()</f>
        <v>#N/A</v>
      </c>
      <c r="D194" t="e">
        <f>NA()</f>
        <v>#N/A</v>
      </c>
      <c r="E194" t="e">
        <f>NA()</f>
        <v>#N/A</v>
      </c>
      <c r="F194" t="e">
        <f>NA()</f>
        <v>#N/A</v>
      </c>
      <c r="G194" t="e">
        <f>NA()</f>
        <v>#N/A</v>
      </c>
      <c r="H194" t="e">
        <f>NA()</f>
        <v>#N/A</v>
      </c>
      <c r="I194" t="e">
        <f>NA()</f>
        <v>#N/A</v>
      </c>
      <c r="J194" t="e">
        <f>NA()</f>
        <v>#N/A</v>
      </c>
      <c r="K194" t="e">
        <f>NA()</f>
        <v>#N/A</v>
      </c>
      <c r="L194" t="e">
        <f>NA()</f>
        <v>#N/A</v>
      </c>
      <c r="M194" t="e">
        <f>NA()</f>
        <v>#N/A</v>
      </c>
      <c r="N194" t="e">
        <f>NA()</f>
        <v>#N/A</v>
      </c>
      <c r="O194">
        <f t="shared" si="7"/>
        <v>4.3</v>
      </c>
    </row>
    <row r="195" spans="1:15" x14ac:dyDescent="0.25">
      <c r="A195" s="1">
        <v>45702</v>
      </c>
      <c r="B195">
        <f>-0.8</f>
        <v>-0.8</v>
      </c>
      <c r="C195">
        <f>0</f>
        <v>0</v>
      </c>
      <c r="D195" t="e">
        <f>NA()</f>
        <v>#N/A</v>
      </c>
      <c r="E195" t="e">
        <f>NA()</f>
        <v>#N/A</v>
      </c>
      <c r="F195" t="e">
        <f>NA()</f>
        <v>#N/A</v>
      </c>
      <c r="G195" t="e">
        <f>NA()</f>
        <v>#N/A</v>
      </c>
      <c r="H195" t="e">
        <f>NA()</f>
        <v>#N/A</v>
      </c>
      <c r="I195" t="e">
        <f>NA()</f>
        <v>#N/A</v>
      </c>
      <c r="J195" t="e">
        <f>NA()</f>
        <v>#N/A</v>
      </c>
      <c r="K195" t="e">
        <f>NA()</f>
        <v>#N/A</v>
      </c>
      <c r="L195" t="e">
        <f>NA()</f>
        <v>#N/A</v>
      </c>
      <c r="M195" t="e">
        <f>NA()</f>
        <v>#N/A</v>
      </c>
      <c r="N195" t="e">
        <f>NA()</f>
        <v>#N/A</v>
      </c>
      <c r="O195">
        <f t="shared" si="7"/>
        <v>4.3</v>
      </c>
    </row>
    <row r="196" spans="1:15" x14ac:dyDescent="0.25">
      <c r="A196" s="1">
        <v>45701</v>
      </c>
      <c r="B196" t="e">
        <f>NA()</f>
        <v>#N/A</v>
      </c>
      <c r="C196" t="e">
        <f>NA()</f>
        <v>#N/A</v>
      </c>
      <c r="D196" t="e">
        <f>NA()</f>
        <v>#N/A</v>
      </c>
      <c r="E196" t="e">
        <f>NA()</f>
        <v>#N/A</v>
      </c>
      <c r="F196" t="e">
        <f>NA()</f>
        <v>#N/A</v>
      </c>
      <c r="G196" t="e">
        <f>NA()</f>
        <v>#N/A</v>
      </c>
      <c r="H196" t="e">
        <f>NA()</f>
        <v>#N/A</v>
      </c>
      <c r="I196" t="e">
        <f>NA()</f>
        <v>#N/A</v>
      </c>
      <c r="J196" t="e">
        <f>NA()</f>
        <v>#N/A</v>
      </c>
      <c r="K196" t="e">
        <f>NA()</f>
        <v>#N/A</v>
      </c>
      <c r="L196" t="e">
        <f>NA()</f>
        <v>#N/A</v>
      </c>
      <c r="M196" t="e">
        <f>NA()</f>
        <v>#N/A</v>
      </c>
      <c r="N196" t="e">
        <f>NA()</f>
        <v>#N/A</v>
      </c>
      <c r="O196">
        <f t="shared" si="7"/>
        <v>4.3</v>
      </c>
    </row>
    <row r="197" spans="1:15" x14ac:dyDescent="0.25">
      <c r="A197" s="1">
        <v>45700</v>
      </c>
      <c r="B197" t="e">
        <f>NA()</f>
        <v>#N/A</v>
      </c>
      <c r="C197" t="e">
        <f>NA()</f>
        <v>#N/A</v>
      </c>
      <c r="D197" t="e">
        <f>NA()</f>
        <v>#N/A</v>
      </c>
      <c r="E197" t="e">
        <f>NA()</f>
        <v>#N/A</v>
      </c>
      <c r="F197" t="e">
        <f>NA()</f>
        <v>#N/A</v>
      </c>
      <c r="G197" t="e">
        <f>NA()</f>
        <v>#N/A</v>
      </c>
      <c r="H197" t="e">
        <f>NA()</f>
        <v>#N/A</v>
      </c>
      <c r="I197" t="e">
        <f>NA()</f>
        <v>#N/A</v>
      </c>
      <c r="J197" t="e">
        <f>NA()</f>
        <v>#N/A</v>
      </c>
      <c r="K197" t="e">
        <f>NA()</f>
        <v>#N/A</v>
      </c>
      <c r="L197" t="e">
        <f>NA()</f>
        <v>#N/A</v>
      </c>
      <c r="M197" t="e">
        <f>NA()</f>
        <v>#N/A</v>
      </c>
      <c r="N197" t="e">
        <f>NA()</f>
        <v>#N/A</v>
      </c>
      <c r="O197">
        <f t="shared" si="7"/>
        <v>4.3</v>
      </c>
    </row>
    <row r="198" spans="1:15" x14ac:dyDescent="0.25">
      <c r="A198" s="1">
        <v>45699</v>
      </c>
      <c r="B198" t="e">
        <f>NA()</f>
        <v>#N/A</v>
      </c>
      <c r="C198" t="e">
        <f>NA()</f>
        <v>#N/A</v>
      </c>
      <c r="D198" t="e">
        <f>NA()</f>
        <v>#N/A</v>
      </c>
      <c r="E198" t="e">
        <f>NA()</f>
        <v>#N/A</v>
      </c>
      <c r="F198" t="e">
        <f>NA()</f>
        <v>#N/A</v>
      </c>
      <c r="G198" t="e">
        <f>NA()</f>
        <v>#N/A</v>
      </c>
      <c r="H198" t="e">
        <f>NA()</f>
        <v>#N/A</v>
      </c>
      <c r="I198" t="e">
        <f>NA()</f>
        <v>#N/A</v>
      </c>
      <c r="J198" t="e">
        <f>NA()</f>
        <v>#N/A</v>
      </c>
      <c r="K198" t="e">
        <f>NA()</f>
        <v>#N/A</v>
      </c>
      <c r="L198" t="e">
        <f>NA()</f>
        <v>#N/A</v>
      </c>
      <c r="M198" t="e">
        <f>NA()</f>
        <v>#N/A</v>
      </c>
      <c r="N198" t="e">
        <f>NA()</f>
        <v>#N/A</v>
      </c>
      <c r="O198">
        <f t="shared" si="7"/>
        <v>4.3</v>
      </c>
    </row>
    <row r="199" spans="1:15" x14ac:dyDescent="0.25">
      <c r="A199" s="1">
        <v>45698</v>
      </c>
      <c r="B199" t="e">
        <f>NA()</f>
        <v>#N/A</v>
      </c>
      <c r="C199" t="e">
        <f>NA()</f>
        <v>#N/A</v>
      </c>
      <c r="D199" t="e">
        <f>NA()</f>
        <v>#N/A</v>
      </c>
      <c r="E199" t="e">
        <f>NA()</f>
        <v>#N/A</v>
      </c>
      <c r="F199" t="e">
        <f>NA()</f>
        <v>#N/A</v>
      </c>
      <c r="G199" t="e">
        <f>NA()</f>
        <v>#N/A</v>
      </c>
      <c r="H199" t="e">
        <f>NA()</f>
        <v>#N/A</v>
      </c>
      <c r="I199" t="e">
        <f>NA()</f>
        <v>#N/A</v>
      </c>
      <c r="J199" t="e">
        <f>NA()</f>
        <v>#N/A</v>
      </c>
      <c r="K199" t="e">
        <f>NA()</f>
        <v>#N/A</v>
      </c>
      <c r="L199" t="e">
        <f>NA()</f>
        <v>#N/A</v>
      </c>
      <c r="M199" t="e">
        <f>NA()</f>
        <v>#N/A</v>
      </c>
      <c r="N199" t="e">
        <f>NA()</f>
        <v>#N/A</v>
      </c>
      <c r="O199">
        <f t="shared" si="7"/>
        <v>4.3</v>
      </c>
    </row>
    <row r="200" spans="1:15" x14ac:dyDescent="0.25">
      <c r="A200" s="1">
        <v>45695</v>
      </c>
      <c r="B200">
        <f>-0.8</f>
        <v>-0.8</v>
      </c>
      <c r="C200">
        <f>0</f>
        <v>0</v>
      </c>
      <c r="D200" t="e">
        <f>NA()</f>
        <v>#N/A</v>
      </c>
      <c r="E200" t="e">
        <f>NA()</f>
        <v>#N/A</v>
      </c>
      <c r="F200" t="e">
        <f>NA()</f>
        <v>#N/A</v>
      </c>
      <c r="G200" t="e">
        <f>NA()</f>
        <v>#N/A</v>
      </c>
      <c r="H200" t="e">
        <f>NA()</f>
        <v>#N/A</v>
      </c>
      <c r="I200" t="e">
        <f>NA()</f>
        <v>#N/A</v>
      </c>
      <c r="J200" t="e">
        <f>NA()</f>
        <v>#N/A</v>
      </c>
      <c r="K200" t="e">
        <f>NA()</f>
        <v>#N/A</v>
      </c>
      <c r="L200" t="e">
        <f>NA()</f>
        <v>#N/A</v>
      </c>
      <c r="M200" t="e">
        <f>NA()</f>
        <v>#N/A</v>
      </c>
      <c r="N200" t="e">
        <f>NA()</f>
        <v>#N/A</v>
      </c>
      <c r="O200">
        <f t="shared" si="7"/>
        <v>4.3</v>
      </c>
    </row>
    <row r="201" spans="1:15" x14ac:dyDescent="0.25">
      <c r="A201" s="1">
        <v>45694</v>
      </c>
      <c r="B201" t="e">
        <f>NA()</f>
        <v>#N/A</v>
      </c>
      <c r="C201" t="e">
        <f>NA()</f>
        <v>#N/A</v>
      </c>
      <c r="D201" t="e">
        <f>NA()</f>
        <v>#N/A</v>
      </c>
      <c r="E201" t="e">
        <f>NA()</f>
        <v>#N/A</v>
      </c>
      <c r="F201" t="e">
        <f>NA()</f>
        <v>#N/A</v>
      </c>
      <c r="G201" t="e">
        <f>NA()</f>
        <v>#N/A</v>
      </c>
      <c r="H201" t="e">
        <f>NA()</f>
        <v>#N/A</v>
      </c>
      <c r="I201" t="e">
        <f>NA()</f>
        <v>#N/A</v>
      </c>
      <c r="J201" t="e">
        <f>NA()</f>
        <v>#N/A</v>
      </c>
      <c r="K201" t="e">
        <f>NA()</f>
        <v>#N/A</v>
      </c>
      <c r="L201" t="e">
        <f>NA()</f>
        <v>#N/A</v>
      </c>
      <c r="M201" t="e">
        <f>NA()</f>
        <v>#N/A</v>
      </c>
      <c r="N201" t="e">
        <f>NA()</f>
        <v>#N/A</v>
      </c>
      <c r="O201">
        <f t="shared" si="7"/>
        <v>4.3</v>
      </c>
    </row>
    <row r="202" spans="1:15" x14ac:dyDescent="0.25">
      <c r="A202" s="1">
        <v>45693</v>
      </c>
      <c r="B202" t="e">
        <f>NA()</f>
        <v>#N/A</v>
      </c>
      <c r="C202" t="e">
        <f>NA()</f>
        <v>#N/A</v>
      </c>
      <c r="D202" t="e">
        <f>NA()</f>
        <v>#N/A</v>
      </c>
      <c r="E202" t="e">
        <f>NA()</f>
        <v>#N/A</v>
      </c>
      <c r="F202" t="e">
        <f>NA()</f>
        <v>#N/A</v>
      </c>
      <c r="G202" t="e">
        <f>NA()</f>
        <v>#N/A</v>
      </c>
      <c r="H202" t="e">
        <f>NA()</f>
        <v>#N/A</v>
      </c>
      <c r="I202" t="e">
        <f>NA()</f>
        <v>#N/A</v>
      </c>
      <c r="J202" t="e">
        <f>NA()</f>
        <v>#N/A</v>
      </c>
      <c r="K202" t="e">
        <f>NA()</f>
        <v>#N/A</v>
      </c>
      <c r="L202" t="e">
        <f>NA()</f>
        <v>#N/A</v>
      </c>
      <c r="M202" t="e">
        <f>NA()</f>
        <v>#N/A</v>
      </c>
      <c r="N202" t="e">
        <f>NA()</f>
        <v>#N/A</v>
      </c>
      <c r="O202">
        <f t="shared" si="7"/>
        <v>4.3</v>
      </c>
    </row>
    <row r="203" spans="1:15" x14ac:dyDescent="0.25">
      <c r="A203" s="1">
        <v>45692</v>
      </c>
      <c r="B203" t="e">
        <f>NA()</f>
        <v>#N/A</v>
      </c>
      <c r="C203" t="e">
        <f>NA()</f>
        <v>#N/A</v>
      </c>
      <c r="D203" t="e">
        <f>NA()</f>
        <v>#N/A</v>
      </c>
      <c r="E203" t="e">
        <f>NA()</f>
        <v>#N/A</v>
      </c>
      <c r="F203" t="e">
        <f>NA()</f>
        <v>#N/A</v>
      </c>
      <c r="G203" t="e">
        <f>NA()</f>
        <v>#N/A</v>
      </c>
      <c r="H203" t="e">
        <f>NA()</f>
        <v>#N/A</v>
      </c>
      <c r="I203" t="e">
        <f>NA()</f>
        <v>#N/A</v>
      </c>
      <c r="J203" t="e">
        <f>NA()</f>
        <v>#N/A</v>
      </c>
      <c r="K203" t="e">
        <f>NA()</f>
        <v>#N/A</v>
      </c>
      <c r="L203" t="e">
        <f>NA()</f>
        <v>#N/A</v>
      </c>
      <c r="M203" t="e">
        <f>NA()</f>
        <v>#N/A</v>
      </c>
      <c r="N203" t="e">
        <f>NA()</f>
        <v>#N/A</v>
      </c>
      <c r="O203">
        <f t="shared" si="7"/>
        <v>4.3</v>
      </c>
    </row>
    <row r="204" spans="1:15" x14ac:dyDescent="0.25">
      <c r="A204" s="1">
        <v>45691</v>
      </c>
      <c r="B204" t="e">
        <f>NA()</f>
        <v>#N/A</v>
      </c>
      <c r="C204" t="e">
        <f>NA()</f>
        <v>#N/A</v>
      </c>
      <c r="D204" t="e">
        <f>NA()</f>
        <v>#N/A</v>
      </c>
      <c r="E204" t="e">
        <f>NA()</f>
        <v>#N/A</v>
      </c>
      <c r="F204" t="e">
        <f>NA()</f>
        <v>#N/A</v>
      </c>
      <c r="G204" t="e">
        <f>NA()</f>
        <v>#N/A</v>
      </c>
      <c r="H204" t="e">
        <f>NA()</f>
        <v>#N/A</v>
      </c>
      <c r="I204" t="e">
        <f>NA()</f>
        <v>#N/A</v>
      </c>
      <c r="J204" t="e">
        <f>NA()</f>
        <v>#N/A</v>
      </c>
      <c r="K204" t="e">
        <f>NA()</f>
        <v>#N/A</v>
      </c>
      <c r="L204" t="e">
        <f>NA()</f>
        <v>#N/A</v>
      </c>
      <c r="M204" t="e">
        <f>NA()</f>
        <v>#N/A</v>
      </c>
      <c r="N204" t="e">
        <f>NA()</f>
        <v>#N/A</v>
      </c>
      <c r="O204">
        <f t="shared" si="7"/>
        <v>4.3</v>
      </c>
    </row>
    <row r="205" spans="1:15" x14ac:dyDescent="0.25">
      <c r="A205" s="1">
        <v>45688</v>
      </c>
      <c r="B205">
        <f>-0.8</f>
        <v>-0.8</v>
      </c>
      <c r="C205">
        <f>0</f>
        <v>0</v>
      </c>
      <c r="D205">
        <f>0.4</f>
        <v>0.4</v>
      </c>
      <c r="E205">
        <f>0.9</f>
        <v>0.9</v>
      </c>
      <c r="F205">
        <f>7762</f>
        <v>7762</v>
      </c>
      <c r="G205">
        <f>62.6</f>
        <v>62.6</v>
      </c>
      <c r="H205">
        <f>6</f>
        <v>6</v>
      </c>
      <c r="I205">
        <f>317.7</f>
        <v>317.7</v>
      </c>
      <c r="J205">
        <f>3</f>
        <v>3</v>
      </c>
      <c r="K205">
        <f>50.9</f>
        <v>50.9</v>
      </c>
      <c r="L205">
        <f>-0.2</f>
        <v>-0.2</v>
      </c>
      <c r="M205" t="e">
        <f>NA()</f>
        <v>#N/A</v>
      </c>
      <c r="N205">
        <f>4</f>
        <v>4</v>
      </c>
      <c r="O205">
        <f t="shared" si="7"/>
        <v>4.3</v>
      </c>
    </row>
    <row r="206" spans="1:15" x14ac:dyDescent="0.25">
      <c r="A206" s="1">
        <v>45687</v>
      </c>
      <c r="B206" t="e">
        <f>NA()</f>
        <v>#N/A</v>
      </c>
      <c r="C206" t="e">
        <f>NA()</f>
        <v>#N/A</v>
      </c>
      <c r="D206" t="e">
        <f>NA()</f>
        <v>#N/A</v>
      </c>
      <c r="E206" t="e">
        <f>NA()</f>
        <v>#N/A</v>
      </c>
      <c r="F206" t="e">
        <f>NA()</f>
        <v>#N/A</v>
      </c>
      <c r="G206" t="e">
        <f>NA()</f>
        <v>#N/A</v>
      </c>
      <c r="H206" t="e">
        <f>NA()</f>
        <v>#N/A</v>
      </c>
      <c r="I206" t="e">
        <f>NA()</f>
        <v>#N/A</v>
      </c>
      <c r="J206" t="e">
        <f>NA()</f>
        <v>#N/A</v>
      </c>
      <c r="K206" t="e">
        <f>NA()</f>
        <v>#N/A</v>
      </c>
      <c r="L206" t="e">
        <f>NA()</f>
        <v>#N/A</v>
      </c>
      <c r="M206" t="e">
        <f>NA()</f>
        <v>#N/A</v>
      </c>
      <c r="N206" t="e">
        <f>NA()</f>
        <v>#N/A</v>
      </c>
      <c r="O206">
        <f t="shared" si="7"/>
        <v>4.3</v>
      </c>
    </row>
    <row r="207" spans="1:15" x14ac:dyDescent="0.25">
      <c r="A207" s="1">
        <v>45686</v>
      </c>
      <c r="B207" t="e">
        <f>NA()</f>
        <v>#N/A</v>
      </c>
      <c r="C207" t="e">
        <f>NA()</f>
        <v>#N/A</v>
      </c>
      <c r="D207" t="e">
        <f>NA()</f>
        <v>#N/A</v>
      </c>
      <c r="E207" t="e">
        <f>NA()</f>
        <v>#N/A</v>
      </c>
      <c r="F207" t="e">
        <f>NA()</f>
        <v>#N/A</v>
      </c>
      <c r="G207" t="e">
        <f>NA()</f>
        <v>#N/A</v>
      </c>
      <c r="H207" t="e">
        <f>NA()</f>
        <v>#N/A</v>
      </c>
      <c r="I207" t="e">
        <f>NA()</f>
        <v>#N/A</v>
      </c>
      <c r="J207" t="e">
        <f>NA()</f>
        <v>#N/A</v>
      </c>
      <c r="K207" t="e">
        <f>NA()</f>
        <v>#N/A</v>
      </c>
      <c r="L207" t="e">
        <f>NA()</f>
        <v>#N/A</v>
      </c>
      <c r="M207" t="e">
        <f>NA()</f>
        <v>#N/A</v>
      </c>
      <c r="N207" t="e">
        <f>NA()</f>
        <v>#N/A</v>
      </c>
      <c r="O207">
        <f t="shared" si="7"/>
        <v>4.3</v>
      </c>
    </row>
    <row r="208" spans="1:15" x14ac:dyDescent="0.25">
      <c r="A208" s="1">
        <v>45685</v>
      </c>
      <c r="B208" t="e">
        <f>NA()</f>
        <v>#N/A</v>
      </c>
      <c r="C208" t="e">
        <f>NA()</f>
        <v>#N/A</v>
      </c>
      <c r="D208" t="e">
        <f>NA()</f>
        <v>#N/A</v>
      </c>
      <c r="E208" t="e">
        <f>NA()</f>
        <v>#N/A</v>
      </c>
      <c r="F208" t="e">
        <f>NA()</f>
        <v>#N/A</v>
      </c>
      <c r="G208" t="e">
        <f>NA()</f>
        <v>#N/A</v>
      </c>
      <c r="H208" t="e">
        <f>NA()</f>
        <v>#N/A</v>
      </c>
      <c r="I208" t="e">
        <f>NA()</f>
        <v>#N/A</v>
      </c>
      <c r="J208" t="e">
        <f>NA()</f>
        <v>#N/A</v>
      </c>
      <c r="K208" t="e">
        <f>NA()</f>
        <v>#N/A</v>
      </c>
      <c r="L208" t="e">
        <f>NA()</f>
        <v>#N/A</v>
      </c>
      <c r="M208" t="e">
        <f>NA()</f>
        <v>#N/A</v>
      </c>
      <c r="N208" t="e">
        <f>NA()</f>
        <v>#N/A</v>
      </c>
      <c r="O208">
        <f t="shared" si="7"/>
        <v>4.3</v>
      </c>
    </row>
    <row r="209" spans="1:15" x14ac:dyDescent="0.25">
      <c r="A209" s="1">
        <v>45684</v>
      </c>
      <c r="B209" t="e">
        <f>NA()</f>
        <v>#N/A</v>
      </c>
      <c r="C209" t="e">
        <f>NA()</f>
        <v>#N/A</v>
      </c>
      <c r="D209" t="e">
        <f>NA()</f>
        <v>#N/A</v>
      </c>
      <c r="E209" t="e">
        <f>NA()</f>
        <v>#N/A</v>
      </c>
      <c r="F209" t="e">
        <f>NA()</f>
        <v>#N/A</v>
      </c>
      <c r="G209" t="e">
        <f>NA()</f>
        <v>#N/A</v>
      </c>
      <c r="H209" t="e">
        <f>NA()</f>
        <v>#N/A</v>
      </c>
      <c r="I209" t="e">
        <f>NA()</f>
        <v>#N/A</v>
      </c>
      <c r="J209" t="e">
        <f>NA()</f>
        <v>#N/A</v>
      </c>
      <c r="K209" t="e">
        <f>NA()</f>
        <v>#N/A</v>
      </c>
      <c r="L209" t="e">
        <f>NA()</f>
        <v>#N/A</v>
      </c>
      <c r="M209" t="e">
        <f>NA()</f>
        <v>#N/A</v>
      </c>
      <c r="N209" t="e">
        <f>NA()</f>
        <v>#N/A</v>
      </c>
      <c r="O209">
        <f t="shared" si="7"/>
        <v>4.3</v>
      </c>
    </row>
    <row r="210" spans="1:15" x14ac:dyDescent="0.25">
      <c r="A210" s="1">
        <v>45681</v>
      </c>
      <c r="B210">
        <f>-1</f>
        <v>-1</v>
      </c>
      <c r="C210">
        <f>0</f>
        <v>0</v>
      </c>
      <c r="D210" t="e">
        <f>NA()</f>
        <v>#N/A</v>
      </c>
      <c r="E210" t="e">
        <f>NA()</f>
        <v>#N/A</v>
      </c>
      <c r="F210" t="e">
        <f>NA()</f>
        <v>#N/A</v>
      </c>
      <c r="G210" t="e">
        <f>NA()</f>
        <v>#N/A</v>
      </c>
      <c r="H210" t="e">
        <f>NA()</f>
        <v>#N/A</v>
      </c>
      <c r="I210" t="e">
        <f>NA()</f>
        <v>#N/A</v>
      </c>
      <c r="J210" t="e">
        <f>NA()</f>
        <v>#N/A</v>
      </c>
      <c r="K210" t="e">
        <f>NA()</f>
        <v>#N/A</v>
      </c>
      <c r="L210" t="e">
        <f>NA()</f>
        <v>#N/A</v>
      </c>
      <c r="M210" t="e">
        <f>NA()</f>
        <v>#N/A</v>
      </c>
      <c r="N210" t="e">
        <f>NA()</f>
        <v>#N/A</v>
      </c>
      <c r="O210">
        <f t="shared" si="7"/>
        <v>4.3</v>
      </c>
    </row>
    <row r="211" spans="1:15" x14ac:dyDescent="0.25">
      <c r="A211" s="1">
        <v>45680</v>
      </c>
      <c r="B211" t="e">
        <f>NA()</f>
        <v>#N/A</v>
      </c>
      <c r="C211" t="e">
        <f>NA()</f>
        <v>#N/A</v>
      </c>
      <c r="D211" t="e">
        <f>NA()</f>
        <v>#N/A</v>
      </c>
      <c r="E211" t="e">
        <f>NA()</f>
        <v>#N/A</v>
      </c>
      <c r="F211" t="e">
        <f>NA()</f>
        <v>#N/A</v>
      </c>
      <c r="G211" t="e">
        <f>NA()</f>
        <v>#N/A</v>
      </c>
      <c r="H211" t="e">
        <f>NA()</f>
        <v>#N/A</v>
      </c>
      <c r="I211" t="e">
        <f>NA()</f>
        <v>#N/A</v>
      </c>
      <c r="J211" t="e">
        <f>NA()</f>
        <v>#N/A</v>
      </c>
      <c r="K211" t="e">
        <f>NA()</f>
        <v>#N/A</v>
      </c>
      <c r="L211" t="e">
        <f>NA()</f>
        <v>#N/A</v>
      </c>
      <c r="M211" t="e">
        <f>NA()</f>
        <v>#N/A</v>
      </c>
      <c r="N211" t="e">
        <f>NA()</f>
        <v>#N/A</v>
      </c>
      <c r="O211">
        <f t="shared" si="7"/>
        <v>4.3</v>
      </c>
    </row>
    <row r="212" spans="1:15" x14ac:dyDescent="0.25">
      <c r="A212" s="1">
        <v>45679</v>
      </c>
      <c r="B212" t="e">
        <f>NA()</f>
        <v>#N/A</v>
      </c>
      <c r="C212" t="e">
        <f>NA()</f>
        <v>#N/A</v>
      </c>
      <c r="D212" t="e">
        <f>NA()</f>
        <v>#N/A</v>
      </c>
      <c r="E212" t="e">
        <f>NA()</f>
        <v>#N/A</v>
      </c>
      <c r="F212" t="e">
        <f>NA()</f>
        <v>#N/A</v>
      </c>
      <c r="G212" t="e">
        <f>NA()</f>
        <v>#N/A</v>
      </c>
      <c r="H212" t="e">
        <f>NA()</f>
        <v>#N/A</v>
      </c>
      <c r="I212" t="e">
        <f>NA()</f>
        <v>#N/A</v>
      </c>
      <c r="J212" t="e">
        <f>NA()</f>
        <v>#N/A</v>
      </c>
      <c r="K212" t="e">
        <f>NA()</f>
        <v>#N/A</v>
      </c>
      <c r="L212" t="e">
        <f>NA()</f>
        <v>#N/A</v>
      </c>
      <c r="M212" t="e">
        <f>NA()</f>
        <v>#N/A</v>
      </c>
      <c r="N212" t="e">
        <f>NA()</f>
        <v>#N/A</v>
      </c>
      <c r="O212">
        <f t="shared" si="7"/>
        <v>4.3</v>
      </c>
    </row>
    <row r="213" spans="1:15" x14ac:dyDescent="0.25">
      <c r="A213" s="1">
        <v>45678</v>
      </c>
      <c r="B213" t="e">
        <f>NA()</f>
        <v>#N/A</v>
      </c>
      <c r="C213" t="e">
        <f>NA()</f>
        <v>#N/A</v>
      </c>
      <c r="D213" t="e">
        <f>NA()</f>
        <v>#N/A</v>
      </c>
      <c r="E213" t="e">
        <f>NA()</f>
        <v>#N/A</v>
      </c>
      <c r="F213" t="e">
        <f>NA()</f>
        <v>#N/A</v>
      </c>
      <c r="G213" t="e">
        <f>NA()</f>
        <v>#N/A</v>
      </c>
      <c r="H213" t="e">
        <f>NA()</f>
        <v>#N/A</v>
      </c>
      <c r="I213" t="e">
        <f>NA()</f>
        <v>#N/A</v>
      </c>
      <c r="J213" t="e">
        <f>NA()</f>
        <v>#N/A</v>
      </c>
      <c r="K213" t="e">
        <f>NA()</f>
        <v>#N/A</v>
      </c>
      <c r="L213" t="e">
        <f>NA()</f>
        <v>#N/A</v>
      </c>
      <c r="M213" t="e">
        <f>NA()</f>
        <v>#N/A</v>
      </c>
      <c r="N213" t="e">
        <f>NA()</f>
        <v>#N/A</v>
      </c>
      <c r="O213">
        <f t="shared" si="7"/>
        <v>4.3</v>
      </c>
    </row>
    <row r="214" spans="1:15" x14ac:dyDescent="0.25">
      <c r="A214" s="1">
        <v>45674</v>
      </c>
      <c r="B214">
        <f>-0.8</f>
        <v>-0.8</v>
      </c>
      <c r="C214">
        <f>0</f>
        <v>0</v>
      </c>
      <c r="D214" t="e">
        <f>NA()</f>
        <v>#N/A</v>
      </c>
      <c r="E214" t="e">
        <f>NA()</f>
        <v>#N/A</v>
      </c>
      <c r="F214" t="e">
        <f>NA()</f>
        <v>#N/A</v>
      </c>
      <c r="G214" t="e">
        <f>NA()</f>
        <v>#N/A</v>
      </c>
      <c r="H214" t="e">
        <f>NA()</f>
        <v>#N/A</v>
      </c>
      <c r="I214" t="e">
        <f>NA()</f>
        <v>#N/A</v>
      </c>
      <c r="J214" t="e">
        <f>NA()</f>
        <v>#N/A</v>
      </c>
      <c r="K214" t="e">
        <f>NA()</f>
        <v>#N/A</v>
      </c>
      <c r="L214" t="e">
        <f>NA()</f>
        <v>#N/A</v>
      </c>
      <c r="M214" t="e">
        <f>NA()</f>
        <v>#N/A</v>
      </c>
      <c r="N214" t="e">
        <f>NA()</f>
        <v>#N/A</v>
      </c>
      <c r="O214">
        <f t="shared" si="7"/>
        <v>4.3</v>
      </c>
    </row>
    <row r="215" spans="1:15" x14ac:dyDescent="0.25">
      <c r="A215" s="1">
        <v>45673</v>
      </c>
      <c r="B215" t="e">
        <f>NA()</f>
        <v>#N/A</v>
      </c>
      <c r="C215" t="e">
        <f>NA()</f>
        <v>#N/A</v>
      </c>
      <c r="D215" t="e">
        <f>NA()</f>
        <v>#N/A</v>
      </c>
      <c r="E215" t="e">
        <f>NA()</f>
        <v>#N/A</v>
      </c>
      <c r="F215" t="e">
        <f>NA()</f>
        <v>#N/A</v>
      </c>
      <c r="G215" t="e">
        <f>NA()</f>
        <v>#N/A</v>
      </c>
      <c r="H215" t="e">
        <f>NA()</f>
        <v>#N/A</v>
      </c>
      <c r="I215" t="e">
        <f>NA()</f>
        <v>#N/A</v>
      </c>
      <c r="J215" t="e">
        <f>NA()</f>
        <v>#N/A</v>
      </c>
      <c r="K215" t="e">
        <f>NA()</f>
        <v>#N/A</v>
      </c>
      <c r="L215" t="e">
        <f>NA()</f>
        <v>#N/A</v>
      </c>
      <c r="M215" t="e">
        <f>NA()</f>
        <v>#N/A</v>
      </c>
      <c r="N215" t="e">
        <f>NA()</f>
        <v>#N/A</v>
      </c>
      <c r="O215">
        <f t="shared" si="7"/>
        <v>4.3</v>
      </c>
    </row>
    <row r="216" spans="1:15" x14ac:dyDescent="0.25">
      <c r="A216" s="1">
        <v>45672</v>
      </c>
      <c r="B216" t="e">
        <f>NA()</f>
        <v>#N/A</v>
      </c>
      <c r="C216" t="e">
        <f>NA()</f>
        <v>#N/A</v>
      </c>
      <c r="D216" t="e">
        <f>NA()</f>
        <v>#N/A</v>
      </c>
      <c r="E216" t="e">
        <f>NA()</f>
        <v>#N/A</v>
      </c>
      <c r="F216" t="e">
        <f>NA()</f>
        <v>#N/A</v>
      </c>
      <c r="G216" t="e">
        <f>NA()</f>
        <v>#N/A</v>
      </c>
      <c r="H216" t="e">
        <f>NA()</f>
        <v>#N/A</v>
      </c>
      <c r="I216" t="e">
        <f>NA()</f>
        <v>#N/A</v>
      </c>
      <c r="J216" t="e">
        <f>NA()</f>
        <v>#N/A</v>
      </c>
      <c r="K216" t="e">
        <f>NA()</f>
        <v>#N/A</v>
      </c>
      <c r="L216" t="e">
        <f>NA()</f>
        <v>#N/A</v>
      </c>
      <c r="M216" t="e">
        <f>NA()</f>
        <v>#N/A</v>
      </c>
      <c r="N216" t="e">
        <f>NA()</f>
        <v>#N/A</v>
      </c>
      <c r="O216">
        <f t="shared" si="7"/>
        <v>4.3</v>
      </c>
    </row>
    <row r="217" spans="1:15" x14ac:dyDescent="0.25">
      <c r="A217" s="1">
        <v>45671</v>
      </c>
      <c r="B217" t="e">
        <f>NA()</f>
        <v>#N/A</v>
      </c>
      <c r="C217" t="e">
        <f>NA()</f>
        <v>#N/A</v>
      </c>
      <c r="D217" t="e">
        <f>NA()</f>
        <v>#N/A</v>
      </c>
      <c r="E217" t="e">
        <f>NA()</f>
        <v>#N/A</v>
      </c>
      <c r="F217" t="e">
        <f>NA()</f>
        <v>#N/A</v>
      </c>
      <c r="G217" t="e">
        <f>NA()</f>
        <v>#N/A</v>
      </c>
      <c r="H217" t="e">
        <f>NA()</f>
        <v>#N/A</v>
      </c>
      <c r="I217" t="e">
        <f>NA()</f>
        <v>#N/A</v>
      </c>
      <c r="J217" t="e">
        <f>NA()</f>
        <v>#N/A</v>
      </c>
      <c r="K217" t="e">
        <f>NA()</f>
        <v>#N/A</v>
      </c>
      <c r="L217" t="e">
        <f>NA()</f>
        <v>#N/A</v>
      </c>
      <c r="M217" t="e">
        <f>NA()</f>
        <v>#N/A</v>
      </c>
      <c r="N217" t="e">
        <f>NA()</f>
        <v>#N/A</v>
      </c>
      <c r="O217">
        <f t="shared" si="7"/>
        <v>4.3</v>
      </c>
    </row>
    <row r="218" spans="1:15" x14ac:dyDescent="0.25">
      <c r="A218" s="1">
        <v>45670</v>
      </c>
      <c r="B218" t="e">
        <f>NA()</f>
        <v>#N/A</v>
      </c>
      <c r="C218" t="e">
        <f>NA()</f>
        <v>#N/A</v>
      </c>
      <c r="D218" t="e">
        <f>NA()</f>
        <v>#N/A</v>
      </c>
      <c r="E218" t="e">
        <f>NA()</f>
        <v>#N/A</v>
      </c>
      <c r="F218" t="e">
        <f>NA()</f>
        <v>#N/A</v>
      </c>
      <c r="G218" t="e">
        <f>NA()</f>
        <v>#N/A</v>
      </c>
      <c r="H218" t="e">
        <f>NA()</f>
        <v>#N/A</v>
      </c>
      <c r="I218" t="e">
        <f>NA()</f>
        <v>#N/A</v>
      </c>
      <c r="J218" t="e">
        <f>NA()</f>
        <v>#N/A</v>
      </c>
      <c r="K218" t="e">
        <f>NA()</f>
        <v>#N/A</v>
      </c>
      <c r="L218" t="e">
        <f>NA()</f>
        <v>#N/A</v>
      </c>
      <c r="M218" t="e">
        <f>NA()</f>
        <v>#N/A</v>
      </c>
      <c r="N218" t="e">
        <f>NA()</f>
        <v>#N/A</v>
      </c>
      <c r="O218">
        <f t="shared" ref="O218:O233" si="8">4.3</f>
        <v>4.3</v>
      </c>
    </row>
    <row r="219" spans="1:15" x14ac:dyDescent="0.25">
      <c r="A219" s="1">
        <v>45667</v>
      </c>
      <c r="B219">
        <f>-0.8</f>
        <v>-0.8</v>
      </c>
      <c r="C219">
        <f>0</f>
        <v>0</v>
      </c>
      <c r="D219" t="e">
        <f>NA()</f>
        <v>#N/A</v>
      </c>
      <c r="E219" t="e">
        <f>NA()</f>
        <v>#N/A</v>
      </c>
      <c r="F219" t="e">
        <f>NA()</f>
        <v>#N/A</v>
      </c>
      <c r="G219" t="e">
        <f>NA()</f>
        <v>#N/A</v>
      </c>
      <c r="H219" t="e">
        <f>NA()</f>
        <v>#N/A</v>
      </c>
      <c r="I219" t="e">
        <f>NA()</f>
        <v>#N/A</v>
      </c>
      <c r="J219" t="e">
        <f>NA()</f>
        <v>#N/A</v>
      </c>
      <c r="K219" t="e">
        <f>NA()</f>
        <v>#N/A</v>
      </c>
      <c r="L219" t="e">
        <f>NA()</f>
        <v>#N/A</v>
      </c>
      <c r="M219" t="e">
        <f>NA()</f>
        <v>#N/A</v>
      </c>
      <c r="N219" t="e">
        <f>NA()</f>
        <v>#N/A</v>
      </c>
      <c r="O219">
        <f t="shared" si="8"/>
        <v>4.3</v>
      </c>
    </row>
    <row r="220" spans="1:15" x14ac:dyDescent="0.25">
      <c r="A220" s="1">
        <v>45666</v>
      </c>
      <c r="B220" t="e">
        <f>NA()</f>
        <v>#N/A</v>
      </c>
      <c r="C220" t="e">
        <f>NA()</f>
        <v>#N/A</v>
      </c>
      <c r="D220" t="e">
        <f>NA()</f>
        <v>#N/A</v>
      </c>
      <c r="E220" t="e">
        <f>NA()</f>
        <v>#N/A</v>
      </c>
      <c r="F220" t="e">
        <f>NA()</f>
        <v>#N/A</v>
      </c>
      <c r="G220" t="e">
        <f>NA()</f>
        <v>#N/A</v>
      </c>
      <c r="H220" t="e">
        <f>NA()</f>
        <v>#N/A</v>
      </c>
      <c r="I220" t="e">
        <f>NA()</f>
        <v>#N/A</v>
      </c>
      <c r="J220" t="e">
        <f>NA()</f>
        <v>#N/A</v>
      </c>
      <c r="K220" t="e">
        <f>NA()</f>
        <v>#N/A</v>
      </c>
      <c r="L220" t="e">
        <f>NA()</f>
        <v>#N/A</v>
      </c>
      <c r="M220" t="e">
        <f>NA()</f>
        <v>#N/A</v>
      </c>
      <c r="N220" t="e">
        <f>NA()</f>
        <v>#N/A</v>
      </c>
      <c r="O220">
        <f t="shared" si="8"/>
        <v>4.3</v>
      </c>
    </row>
    <row r="221" spans="1:15" x14ac:dyDescent="0.25">
      <c r="A221" s="1">
        <v>45665</v>
      </c>
      <c r="B221" t="e">
        <f>NA()</f>
        <v>#N/A</v>
      </c>
      <c r="C221" t="e">
        <f>NA()</f>
        <v>#N/A</v>
      </c>
      <c r="D221" t="e">
        <f>NA()</f>
        <v>#N/A</v>
      </c>
      <c r="E221" t="e">
        <f>NA()</f>
        <v>#N/A</v>
      </c>
      <c r="F221" t="e">
        <f>NA()</f>
        <v>#N/A</v>
      </c>
      <c r="G221" t="e">
        <f>NA()</f>
        <v>#N/A</v>
      </c>
      <c r="H221" t="e">
        <f>NA()</f>
        <v>#N/A</v>
      </c>
      <c r="I221" t="e">
        <f>NA()</f>
        <v>#N/A</v>
      </c>
      <c r="J221" t="e">
        <f>NA()</f>
        <v>#N/A</v>
      </c>
      <c r="K221" t="e">
        <f>NA()</f>
        <v>#N/A</v>
      </c>
      <c r="L221" t="e">
        <f>NA()</f>
        <v>#N/A</v>
      </c>
      <c r="M221" t="e">
        <f>NA()</f>
        <v>#N/A</v>
      </c>
      <c r="N221" t="e">
        <f>NA()</f>
        <v>#N/A</v>
      </c>
      <c r="O221">
        <f t="shared" si="8"/>
        <v>4.3</v>
      </c>
    </row>
    <row r="222" spans="1:15" x14ac:dyDescent="0.25">
      <c r="A222" s="1">
        <v>45664</v>
      </c>
      <c r="B222" t="e">
        <f>NA()</f>
        <v>#N/A</v>
      </c>
      <c r="C222" t="e">
        <f>NA()</f>
        <v>#N/A</v>
      </c>
      <c r="D222" t="e">
        <f>NA()</f>
        <v>#N/A</v>
      </c>
      <c r="E222" t="e">
        <f>NA()</f>
        <v>#N/A</v>
      </c>
      <c r="F222" t="e">
        <f>NA()</f>
        <v>#N/A</v>
      </c>
      <c r="G222" t="e">
        <f>NA()</f>
        <v>#N/A</v>
      </c>
      <c r="H222" t="e">
        <f>NA()</f>
        <v>#N/A</v>
      </c>
      <c r="I222" t="e">
        <f>NA()</f>
        <v>#N/A</v>
      </c>
      <c r="J222" t="e">
        <f>NA()</f>
        <v>#N/A</v>
      </c>
      <c r="K222" t="e">
        <f>NA()</f>
        <v>#N/A</v>
      </c>
      <c r="L222" t="e">
        <f>NA()</f>
        <v>#N/A</v>
      </c>
      <c r="M222" t="e">
        <f>NA()</f>
        <v>#N/A</v>
      </c>
      <c r="N222" t="e">
        <f>NA()</f>
        <v>#N/A</v>
      </c>
      <c r="O222">
        <f t="shared" si="8"/>
        <v>4.3</v>
      </c>
    </row>
    <row r="223" spans="1:15" x14ac:dyDescent="0.25">
      <c r="A223" s="1">
        <v>45663</v>
      </c>
      <c r="B223" t="e">
        <f>NA()</f>
        <v>#N/A</v>
      </c>
      <c r="C223" t="e">
        <f>NA()</f>
        <v>#N/A</v>
      </c>
      <c r="D223" t="e">
        <f>NA()</f>
        <v>#N/A</v>
      </c>
      <c r="E223" t="e">
        <f>NA()</f>
        <v>#N/A</v>
      </c>
      <c r="F223" t="e">
        <f>NA()</f>
        <v>#N/A</v>
      </c>
      <c r="G223" t="e">
        <f>NA()</f>
        <v>#N/A</v>
      </c>
      <c r="H223" t="e">
        <f>NA()</f>
        <v>#N/A</v>
      </c>
      <c r="I223" t="e">
        <f>NA()</f>
        <v>#N/A</v>
      </c>
      <c r="J223" t="e">
        <f>NA()</f>
        <v>#N/A</v>
      </c>
      <c r="K223" t="e">
        <f>NA()</f>
        <v>#N/A</v>
      </c>
      <c r="L223" t="e">
        <f>NA()</f>
        <v>#N/A</v>
      </c>
      <c r="M223" t="e">
        <f>NA()</f>
        <v>#N/A</v>
      </c>
      <c r="N223" t="e">
        <f>NA()</f>
        <v>#N/A</v>
      </c>
      <c r="O223">
        <f t="shared" si="8"/>
        <v>4.3</v>
      </c>
    </row>
    <row r="224" spans="1:15" x14ac:dyDescent="0.25">
      <c r="A224" s="1">
        <v>45660</v>
      </c>
      <c r="B224">
        <f>-0.6</f>
        <v>-0.6</v>
      </c>
      <c r="C224">
        <f>0</f>
        <v>0</v>
      </c>
      <c r="D224" t="e">
        <f>NA()</f>
        <v>#N/A</v>
      </c>
      <c r="E224" t="e">
        <f>NA()</f>
        <v>#N/A</v>
      </c>
      <c r="F224" t="e">
        <f>NA()</f>
        <v>#N/A</v>
      </c>
      <c r="G224" t="e">
        <f>NA()</f>
        <v>#N/A</v>
      </c>
      <c r="H224" t="e">
        <f>NA()</f>
        <v>#N/A</v>
      </c>
      <c r="I224" t="e">
        <f>NA()</f>
        <v>#N/A</v>
      </c>
      <c r="J224" t="e">
        <f>NA()</f>
        <v>#N/A</v>
      </c>
      <c r="K224" t="e">
        <f>NA()</f>
        <v>#N/A</v>
      </c>
      <c r="L224" t="e">
        <f>NA()</f>
        <v>#N/A</v>
      </c>
      <c r="M224" t="e">
        <f>NA()</f>
        <v>#N/A</v>
      </c>
      <c r="N224" t="e">
        <f>NA()</f>
        <v>#N/A</v>
      </c>
      <c r="O224">
        <f t="shared" si="8"/>
        <v>4.3</v>
      </c>
    </row>
    <row r="225" spans="1:15" x14ac:dyDescent="0.25">
      <c r="A225" s="1">
        <v>45659</v>
      </c>
      <c r="B225" t="e">
        <f>NA()</f>
        <v>#N/A</v>
      </c>
      <c r="C225" t="e">
        <f>NA()</f>
        <v>#N/A</v>
      </c>
      <c r="D225" t="e">
        <f>NA()</f>
        <v>#N/A</v>
      </c>
      <c r="E225" t="e">
        <f>NA()</f>
        <v>#N/A</v>
      </c>
      <c r="F225" t="e">
        <f>NA()</f>
        <v>#N/A</v>
      </c>
      <c r="G225" t="e">
        <f>NA()</f>
        <v>#N/A</v>
      </c>
      <c r="H225" t="e">
        <f>NA()</f>
        <v>#N/A</v>
      </c>
      <c r="I225" t="e">
        <f>NA()</f>
        <v>#N/A</v>
      </c>
      <c r="J225" t="e">
        <f>NA()</f>
        <v>#N/A</v>
      </c>
      <c r="K225" t="e">
        <f>NA()</f>
        <v>#N/A</v>
      </c>
      <c r="L225" t="e">
        <f>NA()</f>
        <v>#N/A</v>
      </c>
      <c r="M225" t="e">
        <f>NA()</f>
        <v>#N/A</v>
      </c>
      <c r="N225" t="e">
        <f>NA()</f>
        <v>#N/A</v>
      </c>
      <c r="O225">
        <f t="shared" si="8"/>
        <v>4.3</v>
      </c>
    </row>
    <row r="226" spans="1:15" x14ac:dyDescent="0.25">
      <c r="A226" s="1">
        <v>45657</v>
      </c>
      <c r="B226" t="e">
        <f>NA()</f>
        <v>#N/A</v>
      </c>
      <c r="C226" t="e">
        <f>NA()</f>
        <v>#N/A</v>
      </c>
      <c r="D226">
        <f>0.2</f>
        <v>0.2</v>
      </c>
      <c r="E226">
        <f>1.1</f>
        <v>1.1000000000000001</v>
      </c>
      <c r="F226">
        <f>7508</f>
        <v>7508</v>
      </c>
      <c r="G226">
        <f>62.5</f>
        <v>62.5</v>
      </c>
      <c r="H226">
        <f>6.4</f>
        <v>6.4</v>
      </c>
      <c r="I226">
        <f>315.6</f>
        <v>315.60000000000002</v>
      </c>
      <c r="J226">
        <f>2.9</f>
        <v>2.9</v>
      </c>
      <c r="K226">
        <f>49.2</f>
        <v>49.2</v>
      </c>
      <c r="L226">
        <f>1.1</f>
        <v>1.1000000000000001</v>
      </c>
      <c r="M226">
        <f>1.9</f>
        <v>1.9</v>
      </c>
      <c r="N226">
        <f>4.1</f>
        <v>4.0999999999999996</v>
      </c>
      <c r="O226">
        <f t="shared" si="8"/>
        <v>4.3</v>
      </c>
    </row>
    <row r="227" spans="1:15" x14ac:dyDescent="0.25">
      <c r="A227" s="1">
        <v>45656</v>
      </c>
      <c r="B227" t="e">
        <f>NA()</f>
        <v>#N/A</v>
      </c>
      <c r="C227" t="e">
        <f>NA()</f>
        <v>#N/A</v>
      </c>
      <c r="D227" t="e">
        <f>NA()</f>
        <v>#N/A</v>
      </c>
      <c r="E227" t="e">
        <f>NA()</f>
        <v>#N/A</v>
      </c>
      <c r="F227" t="e">
        <f>NA()</f>
        <v>#N/A</v>
      </c>
      <c r="G227" t="e">
        <f>NA()</f>
        <v>#N/A</v>
      </c>
      <c r="H227" t="e">
        <f>NA()</f>
        <v>#N/A</v>
      </c>
      <c r="I227" t="e">
        <f>NA()</f>
        <v>#N/A</v>
      </c>
      <c r="J227" t="e">
        <f>NA()</f>
        <v>#N/A</v>
      </c>
      <c r="K227" t="e">
        <f>NA()</f>
        <v>#N/A</v>
      </c>
      <c r="L227" t="e">
        <f>NA()</f>
        <v>#N/A</v>
      </c>
      <c r="M227" t="e">
        <f>NA()</f>
        <v>#N/A</v>
      </c>
      <c r="N227" t="e">
        <f>NA()</f>
        <v>#N/A</v>
      </c>
      <c r="O227">
        <f t="shared" si="8"/>
        <v>4.3</v>
      </c>
    </row>
    <row r="228" spans="1:15" x14ac:dyDescent="0.25">
      <c r="A228" s="1">
        <v>45653</v>
      </c>
      <c r="B228">
        <f>-0.6</f>
        <v>-0.6</v>
      </c>
      <c r="C228">
        <f>0</f>
        <v>0</v>
      </c>
      <c r="D228" t="e">
        <f>NA()</f>
        <v>#N/A</v>
      </c>
      <c r="E228" t="e">
        <f>NA()</f>
        <v>#N/A</v>
      </c>
      <c r="F228" t="e">
        <f>NA()</f>
        <v>#N/A</v>
      </c>
      <c r="G228" t="e">
        <f>NA()</f>
        <v>#N/A</v>
      </c>
      <c r="H228" t="e">
        <f>NA()</f>
        <v>#N/A</v>
      </c>
      <c r="I228" t="e">
        <f>NA()</f>
        <v>#N/A</v>
      </c>
      <c r="J228" t="e">
        <f>NA()</f>
        <v>#N/A</v>
      </c>
      <c r="K228" t="e">
        <f>NA()</f>
        <v>#N/A</v>
      </c>
      <c r="L228" t="e">
        <f>NA()</f>
        <v>#N/A</v>
      </c>
      <c r="M228" t="e">
        <f>NA()</f>
        <v>#N/A</v>
      </c>
      <c r="N228" t="e">
        <f>NA()</f>
        <v>#N/A</v>
      </c>
      <c r="O228">
        <f t="shared" si="8"/>
        <v>4.3</v>
      </c>
    </row>
    <row r="229" spans="1:15" x14ac:dyDescent="0.25">
      <c r="A229" s="1">
        <v>45652</v>
      </c>
      <c r="B229" t="e">
        <f>NA()</f>
        <v>#N/A</v>
      </c>
      <c r="C229" t="e">
        <f>NA()</f>
        <v>#N/A</v>
      </c>
      <c r="D229" t="e">
        <f>NA()</f>
        <v>#N/A</v>
      </c>
      <c r="E229" t="e">
        <f>NA()</f>
        <v>#N/A</v>
      </c>
      <c r="F229" t="e">
        <f>NA()</f>
        <v>#N/A</v>
      </c>
      <c r="G229" t="e">
        <f>NA()</f>
        <v>#N/A</v>
      </c>
      <c r="H229" t="e">
        <f>NA()</f>
        <v>#N/A</v>
      </c>
      <c r="I229" t="e">
        <f>NA()</f>
        <v>#N/A</v>
      </c>
      <c r="J229" t="e">
        <f>NA()</f>
        <v>#N/A</v>
      </c>
      <c r="K229" t="e">
        <f>NA()</f>
        <v>#N/A</v>
      </c>
      <c r="L229" t="e">
        <f>NA()</f>
        <v>#N/A</v>
      </c>
      <c r="M229" t="e">
        <f>NA()</f>
        <v>#N/A</v>
      </c>
      <c r="N229" t="e">
        <f>NA()</f>
        <v>#N/A</v>
      </c>
      <c r="O229">
        <f t="shared" si="8"/>
        <v>4.3</v>
      </c>
    </row>
    <row r="230" spans="1:15" x14ac:dyDescent="0.25">
      <c r="A230" s="1">
        <v>45650</v>
      </c>
      <c r="B230" t="e">
        <f>NA()</f>
        <v>#N/A</v>
      </c>
      <c r="C230" t="e">
        <f>NA()</f>
        <v>#N/A</v>
      </c>
      <c r="D230" t="e">
        <f>NA()</f>
        <v>#N/A</v>
      </c>
      <c r="E230" t="e">
        <f>NA()</f>
        <v>#N/A</v>
      </c>
      <c r="F230" t="e">
        <f>NA()</f>
        <v>#N/A</v>
      </c>
      <c r="G230" t="e">
        <f>NA()</f>
        <v>#N/A</v>
      </c>
      <c r="H230" t="e">
        <f>NA()</f>
        <v>#N/A</v>
      </c>
      <c r="I230" t="e">
        <f>NA()</f>
        <v>#N/A</v>
      </c>
      <c r="J230" t="e">
        <f>NA()</f>
        <v>#N/A</v>
      </c>
      <c r="K230" t="e">
        <f>NA()</f>
        <v>#N/A</v>
      </c>
      <c r="L230" t="e">
        <f>NA()</f>
        <v>#N/A</v>
      </c>
      <c r="M230" t="e">
        <f>NA()</f>
        <v>#N/A</v>
      </c>
      <c r="N230" t="e">
        <f>NA()</f>
        <v>#N/A</v>
      </c>
      <c r="O230">
        <f t="shared" si="8"/>
        <v>4.3</v>
      </c>
    </row>
    <row r="231" spans="1:15" x14ac:dyDescent="0.25">
      <c r="A231" s="1">
        <v>45649</v>
      </c>
      <c r="B231" t="e">
        <f>NA()</f>
        <v>#N/A</v>
      </c>
      <c r="C231" t="e">
        <f>NA()</f>
        <v>#N/A</v>
      </c>
      <c r="D231" t="e">
        <f>NA()</f>
        <v>#N/A</v>
      </c>
      <c r="E231" t="e">
        <f>NA()</f>
        <v>#N/A</v>
      </c>
      <c r="F231" t="e">
        <f>NA()</f>
        <v>#N/A</v>
      </c>
      <c r="G231" t="e">
        <f>NA()</f>
        <v>#N/A</v>
      </c>
      <c r="H231" t="e">
        <f>NA()</f>
        <v>#N/A</v>
      </c>
      <c r="I231" t="e">
        <f>NA()</f>
        <v>#N/A</v>
      </c>
      <c r="J231" t="e">
        <f>NA()</f>
        <v>#N/A</v>
      </c>
      <c r="K231" t="e">
        <f>NA()</f>
        <v>#N/A</v>
      </c>
      <c r="L231" t="e">
        <f>NA()</f>
        <v>#N/A</v>
      </c>
      <c r="M231" t="e">
        <f>NA()</f>
        <v>#N/A</v>
      </c>
      <c r="N231" t="e">
        <f>NA()</f>
        <v>#N/A</v>
      </c>
      <c r="O231">
        <f t="shared" si="8"/>
        <v>4.3</v>
      </c>
    </row>
    <row r="232" spans="1:15" x14ac:dyDescent="0.25">
      <c r="A232" s="1">
        <v>45646</v>
      </c>
      <c r="B232">
        <f>-0.5</f>
        <v>-0.5</v>
      </c>
      <c r="C232">
        <f>0</f>
        <v>0</v>
      </c>
      <c r="D232" t="e">
        <f>NA()</f>
        <v>#N/A</v>
      </c>
      <c r="E232" t="e">
        <f>NA()</f>
        <v>#N/A</v>
      </c>
      <c r="F232" t="e">
        <f>NA()</f>
        <v>#N/A</v>
      </c>
      <c r="G232" t="e">
        <f>NA()</f>
        <v>#N/A</v>
      </c>
      <c r="H232" t="e">
        <f>NA()</f>
        <v>#N/A</v>
      </c>
      <c r="I232" t="e">
        <f>NA()</f>
        <v>#N/A</v>
      </c>
      <c r="J232" t="e">
        <f>NA()</f>
        <v>#N/A</v>
      </c>
      <c r="K232" t="e">
        <f>NA()</f>
        <v>#N/A</v>
      </c>
      <c r="L232" t="e">
        <f>NA()</f>
        <v>#N/A</v>
      </c>
      <c r="M232" t="e">
        <f>NA()</f>
        <v>#N/A</v>
      </c>
      <c r="N232" t="e">
        <f>NA()</f>
        <v>#N/A</v>
      </c>
      <c r="O232">
        <f t="shared" si="8"/>
        <v>4.3</v>
      </c>
    </row>
    <row r="233" spans="1:15" x14ac:dyDescent="0.25">
      <c r="A233" s="1">
        <v>45645</v>
      </c>
      <c r="B233" t="e">
        <f>NA()</f>
        <v>#N/A</v>
      </c>
      <c r="C233" t="e">
        <f>NA()</f>
        <v>#N/A</v>
      </c>
      <c r="D233" t="e">
        <f>NA()</f>
        <v>#N/A</v>
      </c>
      <c r="E233" t="e">
        <f>NA()</f>
        <v>#N/A</v>
      </c>
      <c r="F233" t="e">
        <f>NA()</f>
        <v>#N/A</v>
      </c>
      <c r="G233" t="e">
        <f>NA()</f>
        <v>#N/A</v>
      </c>
      <c r="H233" t="e">
        <f>NA()</f>
        <v>#N/A</v>
      </c>
      <c r="I233" t="e">
        <f>NA()</f>
        <v>#N/A</v>
      </c>
      <c r="J233" t="e">
        <f>NA()</f>
        <v>#N/A</v>
      </c>
      <c r="K233" t="e">
        <f>NA()</f>
        <v>#N/A</v>
      </c>
      <c r="L233" t="e">
        <f>NA()</f>
        <v>#N/A</v>
      </c>
      <c r="M233" t="e">
        <f>NA()</f>
        <v>#N/A</v>
      </c>
      <c r="N233" t="e">
        <f>NA()</f>
        <v>#N/A</v>
      </c>
      <c r="O233">
        <f t="shared" si="8"/>
        <v>4.3</v>
      </c>
    </row>
    <row r="234" spans="1:15" x14ac:dyDescent="0.25">
      <c r="A234" s="1">
        <v>45644</v>
      </c>
      <c r="B234" t="e">
        <f>NA()</f>
        <v>#N/A</v>
      </c>
      <c r="C234" t="e">
        <f>NA()</f>
        <v>#N/A</v>
      </c>
      <c r="D234" t="e">
        <f>NA()</f>
        <v>#N/A</v>
      </c>
      <c r="E234" t="e">
        <f>NA()</f>
        <v>#N/A</v>
      </c>
      <c r="F234" t="e">
        <f>NA()</f>
        <v>#N/A</v>
      </c>
      <c r="G234" t="e">
        <f>NA()</f>
        <v>#N/A</v>
      </c>
      <c r="H234" t="e">
        <f>NA()</f>
        <v>#N/A</v>
      </c>
      <c r="I234" t="e">
        <f>NA()</f>
        <v>#N/A</v>
      </c>
      <c r="J234" t="e">
        <f>NA()</f>
        <v>#N/A</v>
      </c>
      <c r="K234" t="e">
        <f>NA()</f>
        <v>#N/A</v>
      </c>
      <c r="L234" t="e">
        <f>NA()</f>
        <v>#N/A</v>
      </c>
      <c r="M234" t="e">
        <f>NA()</f>
        <v>#N/A</v>
      </c>
      <c r="N234" t="e">
        <f>NA()</f>
        <v>#N/A</v>
      </c>
      <c r="O234">
        <f t="shared" ref="O234:O246" si="9">4.6</f>
        <v>4.5999999999999996</v>
      </c>
    </row>
    <row r="235" spans="1:15" x14ac:dyDescent="0.25">
      <c r="A235" s="1">
        <v>45643</v>
      </c>
      <c r="B235" t="e">
        <f>NA()</f>
        <v>#N/A</v>
      </c>
      <c r="C235" t="e">
        <f>NA()</f>
        <v>#N/A</v>
      </c>
      <c r="D235" t="e">
        <f>NA()</f>
        <v>#N/A</v>
      </c>
      <c r="E235" t="e">
        <f>NA()</f>
        <v>#N/A</v>
      </c>
      <c r="F235" t="e">
        <f>NA()</f>
        <v>#N/A</v>
      </c>
      <c r="G235" t="e">
        <f>NA()</f>
        <v>#N/A</v>
      </c>
      <c r="H235" t="e">
        <f>NA()</f>
        <v>#N/A</v>
      </c>
      <c r="I235" t="e">
        <f>NA()</f>
        <v>#N/A</v>
      </c>
      <c r="J235" t="e">
        <f>NA()</f>
        <v>#N/A</v>
      </c>
      <c r="K235" t="e">
        <f>NA()</f>
        <v>#N/A</v>
      </c>
      <c r="L235" t="e">
        <f>NA()</f>
        <v>#N/A</v>
      </c>
      <c r="M235" t="e">
        <f>NA()</f>
        <v>#N/A</v>
      </c>
      <c r="N235" t="e">
        <f>NA()</f>
        <v>#N/A</v>
      </c>
      <c r="O235">
        <f t="shared" si="9"/>
        <v>4.5999999999999996</v>
      </c>
    </row>
    <row r="236" spans="1:15" x14ac:dyDescent="0.25">
      <c r="A236" s="1">
        <v>45642</v>
      </c>
      <c r="B236" t="e">
        <f>NA()</f>
        <v>#N/A</v>
      </c>
      <c r="C236" t="e">
        <f>NA()</f>
        <v>#N/A</v>
      </c>
      <c r="D236" t="e">
        <f>NA()</f>
        <v>#N/A</v>
      </c>
      <c r="E236" t="e">
        <f>NA()</f>
        <v>#N/A</v>
      </c>
      <c r="F236" t="e">
        <f>NA()</f>
        <v>#N/A</v>
      </c>
      <c r="G236" t="e">
        <f>NA()</f>
        <v>#N/A</v>
      </c>
      <c r="H236" t="e">
        <f>NA()</f>
        <v>#N/A</v>
      </c>
      <c r="I236" t="e">
        <f>NA()</f>
        <v>#N/A</v>
      </c>
      <c r="J236" t="e">
        <f>NA()</f>
        <v>#N/A</v>
      </c>
      <c r="K236" t="e">
        <f>NA()</f>
        <v>#N/A</v>
      </c>
      <c r="L236" t="e">
        <f>NA()</f>
        <v>#N/A</v>
      </c>
      <c r="M236" t="e">
        <f>NA()</f>
        <v>#N/A</v>
      </c>
      <c r="N236" t="e">
        <f>NA()</f>
        <v>#N/A</v>
      </c>
      <c r="O236">
        <f t="shared" si="9"/>
        <v>4.5999999999999996</v>
      </c>
    </row>
    <row r="237" spans="1:15" x14ac:dyDescent="0.25">
      <c r="A237" s="1">
        <v>45639</v>
      </c>
      <c r="B237">
        <f>-0.6</f>
        <v>-0.6</v>
      </c>
      <c r="C237">
        <f>0</f>
        <v>0</v>
      </c>
      <c r="D237" t="e">
        <f>NA()</f>
        <v>#N/A</v>
      </c>
      <c r="E237" t="e">
        <f>NA()</f>
        <v>#N/A</v>
      </c>
      <c r="F237" t="e">
        <f>NA()</f>
        <v>#N/A</v>
      </c>
      <c r="G237" t="e">
        <f>NA()</f>
        <v>#N/A</v>
      </c>
      <c r="H237" t="e">
        <f>NA()</f>
        <v>#N/A</v>
      </c>
      <c r="I237" t="e">
        <f>NA()</f>
        <v>#N/A</v>
      </c>
      <c r="J237" t="e">
        <f>NA()</f>
        <v>#N/A</v>
      </c>
      <c r="K237" t="e">
        <f>NA()</f>
        <v>#N/A</v>
      </c>
      <c r="L237" t="e">
        <f>NA()</f>
        <v>#N/A</v>
      </c>
      <c r="M237" t="e">
        <f>NA()</f>
        <v>#N/A</v>
      </c>
      <c r="N237" t="e">
        <f>NA()</f>
        <v>#N/A</v>
      </c>
      <c r="O237">
        <f t="shared" si="9"/>
        <v>4.5999999999999996</v>
      </c>
    </row>
    <row r="238" spans="1:15" x14ac:dyDescent="0.25">
      <c r="A238" s="1">
        <v>45638</v>
      </c>
      <c r="B238" t="e">
        <f>NA()</f>
        <v>#N/A</v>
      </c>
      <c r="C238" t="e">
        <f>NA()</f>
        <v>#N/A</v>
      </c>
      <c r="D238" t="e">
        <f>NA()</f>
        <v>#N/A</v>
      </c>
      <c r="E238" t="e">
        <f>NA()</f>
        <v>#N/A</v>
      </c>
      <c r="F238" t="e">
        <f>NA()</f>
        <v>#N/A</v>
      </c>
      <c r="G238" t="e">
        <f>NA()</f>
        <v>#N/A</v>
      </c>
      <c r="H238" t="e">
        <f>NA()</f>
        <v>#N/A</v>
      </c>
      <c r="I238" t="e">
        <f>NA()</f>
        <v>#N/A</v>
      </c>
      <c r="J238" t="e">
        <f>NA()</f>
        <v>#N/A</v>
      </c>
      <c r="K238" t="e">
        <f>NA()</f>
        <v>#N/A</v>
      </c>
      <c r="L238" t="e">
        <f>NA()</f>
        <v>#N/A</v>
      </c>
      <c r="M238" t="e">
        <f>NA()</f>
        <v>#N/A</v>
      </c>
      <c r="N238" t="e">
        <f>NA()</f>
        <v>#N/A</v>
      </c>
      <c r="O238">
        <f t="shared" si="9"/>
        <v>4.5999999999999996</v>
      </c>
    </row>
    <row r="239" spans="1:15" x14ac:dyDescent="0.25">
      <c r="A239" s="1">
        <v>45637</v>
      </c>
      <c r="B239" t="e">
        <f>NA()</f>
        <v>#N/A</v>
      </c>
      <c r="C239" t="e">
        <f>NA()</f>
        <v>#N/A</v>
      </c>
      <c r="D239" t="e">
        <f>NA()</f>
        <v>#N/A</v>
      </c>
      <c r="E239" t="e">
        <f>NA()</f>
        <v>#N/A</v>
      </c>
      <c r="F239" t="e">
        <f>NA()</f>
        <v>#N/A</v>
      </c>
      <c r="G239" t="e">
        <f>NA()</f>
        <v>#N/A</v>
      </c>
      <c r="H239" t="e">
        <f>NA()</f>
        <v>#N/A</v>
      </c>
      <c r="I239" t="e">
        <f>NA()</f>
        <v>#N/A</v>
      </c>
      <c r="J239" t="e">
        <f>NA()</f>
        <v>#N/A</v>
      </c>
      <c r="K239" t="e">
        <f>NA()</f>
        <v>#N/A</v>
      </c>
      <c r="L239" t="e">
        <f>NA()</f>
        <v>#N/A</v>
      </c>
      <c r="M239" t="e">
        <f>NA()</f>
        <v>#N/A</v>
      </c>
      <c r="N239" t="e">
        <f>NA()</f>
        <v>#N/A</v>
      </c>
      <c r="O239">
        <f t="shared" si="9"/>
        <v>4.5999999999999996</v>
      </c>
    </row>
    <row r="240" spans="1:15" x14ac:dyDescent="0.25">
      <c r="A240" s="1">
        <v>45636</v>
      </c>
      <c r="B240" t="e">
        <f>NA()</f>
        <v>#N/A</v>
      </c>
      <c r="C240" t="e">
        <f>NA()</f>
        <v>#N/A</v>
      </c>
      <c r="D240" t="e">
        <f>NA()</f>
        <v>#N/A</v>
      </c>
      <c r="E240" t="e">
        <f>NA()</f>
        <v>#N/A</v>
      </c>
      <c r="F240" t="e">
        <f>NA()</f>
        <v>#N/A</v>
      </c>
      <c r="G240" t="e">
        <f>NA()</f>
        <v>#N/A</v>
      </c>
      <c r="H240" t="e">
        <f>NA()</f>
        <v>#N/A</v>
      </c>
      <c r="I240" t="e">
        <f>NA()</f>
        <v>#N/A</v>
      </c>
      <c r="J240" t="e">
        <f>NA()</f>
        <v>#N/A</v>
      </c>
      <c r="K240" t="e">
        <f>NA()</f>
        <v>#N/A</v>
      </c>
      <c r="L240" t="e">
        <f>NA()</f>
        <v>#N/A</v>
      </c>
      <c r="M240" t="e">
        <f>NA()</f>
        <v>#N/A</v>
      </c>
      <c r="N240" t="e">
        <f>NA()</f>
        <v>#N/A</v>
      </c>
      <c r="O240">
        <f t="shared" si="9"/>
        <v>4.5999999999999996</v>
      </c>
    </row>
    <row r="241" spans="1:15" x14ac:dyDescent="0.25">
      <c r="A241" s="1">
        <v>45635</v>
      </c>
      <c r="B241" t="e">
        <f>NA()</f>
        <v>#N/A</v>
      </c>
      <c r="C241" t="e">
        <f>NA()</f>
        <v>#N/A</v>
      </c>
      <c r="D241" t="e">
        <f>NA()</f>
        <v>#N/A</v>
      </c>
      <c r="E241" t="e">
        <f>NA()</f>
        <v>#N/A</v>
      </c>
      <c r="F241" t="e">
        <f>NA()</f>
        <v>#N/A</v>
      </c>
      <c r="G241" t="e">
        <f>NA()</f>
        <v>#N/A</v>
      </c>
      <c r="H241" t="e">
        <f>NA()</f>
        <v>#N/A</v>
      </c>
      <c r="I241" t="e">
        <f>NA()</f>
        <v>#N/A</v>
      </c>
      <c r="J241" t="e">
        <f>NA()</f>
        <v>#N/A</v>
      </c>
      <c r="K241" t="e">
        <f>NA()</f>
        <v>#N/A</v>
      </c>
      <c r="L241" t="e">
        <f>NA()</f>
        <v>#N/A</v>
      </c>
      <c r="M241" t="e">
        <f>NA()</f>
        <v>#N/A</v>
      </c>
      <c r="N241" t="e">
        <f>NA()</f>
        <v>#N/A</v>
      </c>
      <c r="O241">
        <f t="shared" si="9"/>
        <v>4.5999999999999996</v>
      </c>
    </row>
    <row r="242" spans="1:15" x14ac:dyDescent="0.25">
      <c r="A242" s="1">
        <v>45632</v>
      </c>
      <c r="B242">
        <f>-0.5</f>
        <v>-0.5</v>
      </c>
      <c r="C242">
        <f>0</f>
        <v>0</v>
      </c>
      <c r="D242" t="e">
        <f>NA()</f>
        <v>#N/A</v>
      </c>
      <c r="E242" t="e">
        <f>NA()</f>
        <v>#N/A</v>
      </c>
      <c r="F242" t="e">
        <f>NA()</f>
        <v>#N/A</v>
      </c>
      <c r="G242" t="e">
        <f>NA()</f>
        <v>#N/A</v>
      </c>
      <c r="H242" t="e">
        <f>NA()</f>
        <v>#N/A</v>
      </c>
      <c r="I242" t="e">
        <f>NA()</f>
        <v>#N/A</v>
      </c>
      <c r="J242" t="e">
        <f>NA()</f>
        <v>#N/A</v>
      </c>
      <c r="K242" t="e">
        <f>NA()</f>
        <v>#N/A</v>
      </c>
      <c r="L242" t="e">
        <f>NA()</f>
        <v>#N/A</v>
      </c>
      <c r="M242" t="e">
        <f>NA()</f>
        <v>#N/A</v>
      </c>
      <c r="N242" t="e">
        <f>NA()</f>
        <v>#N/A</v>
      </c>
      <c r="O242">
        <f t="shared" si="9"/>
        <v>4.5999999999999996</v>
      </c>
    </row>
    <row r="243" spans="1:15" x14ac:dyDescent="0.25">
      <c r="A243" s="1">
        <v>45631</v>
      </c>
      <c r="B243" t="e">
        <f>NA()</f>
        <v>#N/A</v>
      </c>
      <c r="C243" t="e">
        <f>NA()</f>
        <v>#N/A</v>
      </c>
      <c r="D243" t="e">
        <f>NA()</f>
        <v>#N/A</v>
      </c>
      <c r="E243" t="e">
        <f>NA()</f>
        <v>#N/A</v>
      </c>
      <c r="F243" t="e">
        <f>NA()</f>
        <v>#N/A</v>
      </c>
      <c r="G243" t="e">
        <f>NA()</f>
        <v>#N/A</v>
      </c>
      <c r="H243" t="e">
        <f>NA()</f>
        <v>#N/A</v>
      </c>
      <c r="I243" t="e">
        <f>NA()</f>
        <v>#N/A</v>
      </c>
      <c r="J243" t="e">
        <f>NA()</f>
        <v>#N/A</v>
      </c>
      <c r="K243" t="e">
        <f>NA()</f>
        <v>#N/A</v>
      </c>
      <c r="L243" t="e">
        <f>NA()</f>
        <v>#N/A</v>
      </c>
      <c r="M243" t="e">
        <f>NA()</f>
        <v>#N/A</v>
      </c>
      <c r="N243" t="e">
        <f>NA()</f>
        <v>#N/A</v>
      </c>
      <c r="O243">
        <f t="shared" si="9"/>
        <v>4.5999999999999996</v>
      </c>
    </row>
    <row r="244" spans="1:15" x14ac:dyDescent="0.25">
      <c r="A244" s="1">
        <v>45630</v>
      </c>
      <c r="B244" t="e">
        <f>NA()</f>
        <v>#N/A</v>
      </c>
      <c r="C244" t="e">
        <f>NA()</f>
        <v>#N/A</v>
      </c>
      <c r="D244" t="e">
        <f>NA()</f>
        <v>#N/A</v>
      </c>
      <c r="E244" t="e">
        <f>NA()</f>
        <v>#N/A</v>
      </c>
      <c r="F244" t="e">
        <f>NA()</f>
        <v>#N/A</v>
      </c>
      <c r="G244" t="e">
        <f>NA()</f>
        <v>#N/A</v>
      </c>
      <c r="H244" t="e">
        <f>NA()</f>
        <v>#N/A</v>
      </c>
      <c r="I244" t="e">
        <f>NA()</f>
        <v>#N/A</v>
      </c>
      <c r="J244" t="e">
        <f>NA()</f>
        <v>#N/A</v>
      </c>
      <c r="K244" t="e">
        <f>NA()</f>
        <v>#N/A</v>
      </c>
      <c r="L244" t="e">
        <f>NA()</f>
        <v>#N/A</v>
      </c>
      <c r="M244" t="e">
        <f>NA()</f>
        <v>#N/A</v>
      </c>
      <c r="N244" t="e">
        <f>NA()</f>
        <v>#N/A</v>
      </c>
      <c r="O244">
        <f t="shared" si="9"/>
        <v>4.5999999999999996</v>
      </c>
    </row>
    <row r="245" spans="1:15" x14ac:dyDescent="0.25">
      <c r="A245" s="1">
        <v>45629</v>
      </c>
      <c r="B245" t="e">
        <f>NA()</f>
        <v>#N/A</v>
      </c>
      <c r="C245" t="e">
        <f>NA()</f>
        <v>#N/A</v>
      </c>
      <c r="D245" t="e">
        <f>NA()</f>
        <v>#N/A</v>
      </c>
      <c r="E245" t="e">
        <f>NA()</f>
        <v>#N/A</v>
      </c>
      <c r="F245" t="e">
        <f>NA()</f>
        <v>#N/A</v>
      </c>
      <c r="G245" t="e">
        <f>NA()</f>
        <v>#N/A</v>
      </c>
      <c r="H245" t="e">
        <f>NA()</f>
        <v>#N/A</v>
      </c>
      <c r="I245" t="e">
        <f>NA()</f>
        <v>#N/A</v>
      </c>
      <c r="J245" t="e">
        <f>NA()</f>
        <v>#N/A</v>
      </c>
      <c r="K245" t="e">
        <f>NA()</f>
        <v>#N/A</v>
      </c>
      <c r="L245" t="e">
        <f>NA()</f>
        <v>#N/A</v>
      </c>
      <c r="M245" t="e">
        <f>NA()</f>
        <v>#N/A</v>
      </c>
      <c r="N245" t="e">
        <f>NA()</f>
        <v>#N/A</v>
      </c>
      <c r="O245">
        <f t="shared" si="9"/>
        <v>4.5999999999999996</v>
      </c>
    </row>
    <row r="246" spans="1:15" x14ac:dyDescent="0.25">
      <c r="A246" s="1">
        <v>45628</v>
      </c>
      <c r="B246" t="e">
        <f>NA()</f>
        <v>#N/A</v>
      </c>
      <c r="C246" t="e">
        <f>NA()</f>
        <v>#N/A</v>
      </c>
      <c r="D246" t="e">
        <f>NA()</f>
        <v>#N/A</v>
      </c>
      <c r="E246" t="e">
        <f>NA()</f>
        <v>#N/A</v>
      </c>
      <c r="F246" t="e">
        <f>NA()</f>
        <v>#N/A</v>
      </c>
      <c r="G246" t="e">
        <f>NA()</f>
        <v>#N/A</v>
      </c>
      <c r="H246" t="e">
        <f>NA()</f>
        <v>#N/A</v>
      </c>
      <c r="I246" t="e">
        <f>NA()</f>
        <v>#N/A</v>
      </c>
      <c r="J246" t="e">
        <f>NA()</f>
        <v>#N/A</v>
      </c>
      <c r="K246" t="e">
        <f>NA()</f>
        <v>#N/A</v>
      </c>
      <c r="L246" t="e">
        <f>NA()</f>
        <v>#N/A</v>
      </c>
      <c r="M246" t="e">
        <f>NA()</f>
        <v>#N/A</v>
      </c>
      <c r="N246" t="e">
        <f>NA()</f>
        <v>#N/A</v>
      </c>
      <c r="O246">
        <f t="shared" si="9"/>
        <v>4.5999999999999996</v>
      </c>
    </row>
    <row r="247" spans="1:15" x14ac:dyDescent="0.25">
      <c r="A247" s="1">
        <v>45626</v>
      </c>
      <c r="B247" t="e">
        <f>NA()</f>
        <v>#N/A</v>
      </c>
      <c r="C247" t="e">
        <f>NA()</f>
        <v>#N/A</v>
      </c>
      <c r="D247">
        <f>0.4</f>
        <v>0.4</v>
      </c>
      <c r="E247">
        <f>1.4</f>
        <v>1.4</v>
      </c>
      <c r="F247">
        <f>8031</f>
        <v>8031</v>
      </c>
      <c r="G247">
        <f>62.5</f>
        <v>62.5</v>
      </c>
      <c r="H247">
        <f>5.9</f>
        <v>5.9</v>
      </c>
      <c r="I247">
        <f>315.5</f>
        <v>315.5</v>
      </c>
      <c r="J247">
        <f>2.7</f>
        <v>2.7</v>
      </c>
      <c r="K247">
        <f>48.4</f>
        <v>48.4</v>
      </c>
      <c r="L247">
        <f>-0.3</f>
        <v>-0.3</v>
      </c>
      <c r="M247" t="e">
        <f>NA()</f>
        <v>#N/A</v>
      </c>
      <c r="N247">
        <f>4.2</f>
        <v>4.2</v>
      </c>
      <c r="O247" t="e">
        <f>NA()</f>
        <v>#N/A</v>
      </c>
    </row>
    <row r="248" spans="1:15" x14ac:dyDescent="0.25">
      <c r="A248" s="1">
        <v>45625</v>
      </c>
      <c r="B248">
        <f>-0.6</f>
        <v>-0.6</v>
      </c>
      <c r="C248">
        <f>0</f>
        <v>0</v>
      </c>
      <c r="D248" t="e">
        <f>NA()</f>
        <v>#N/A</v>
      </c>
      <c r="E248" t="e">
        <f>NA()</f>
        <v>#N/A</v>
      </c>
      <c r="F248" t="e">
        <f>NA()</f>
        <v>#N/A</v>
      </c>
      <c r="G248" t="e">
        <f>NA()</f>
        <v>#N/A</v>
      </c>
      <c r="H248" t="e">
        <f>NA()</f>
        <v>#N/A</v>
      </c>
      <c r="I248" t="e">
        <f>NA()</f>
        <v>#N/A</v>
      </c>
      <c r="J248" t="e">
        <f>NA()</f>
        <v>#N/A</v>
      </c>
      <c r="K248" t="e">
        <f>NA()</f>
        <v>#N/A</v>
      </c>
      <c r="L248" t="e">
        <f>NA()</f>
        <v>#N/A</v>
      </c>
      <c r="M248" t="e">
        <f>NA()</f>
        <v>#N/A</v>
      </c>
      <c r="N248" t="e">
        <f>NA()</f>
        <v>#N/A</v>
      </c>
      <c r="O248">
        <f t="shared" ref="O248:O261" si="10">4.6</f>
        <v>4.5999999999999996</v>
      </c>
    </row>
    <row r="249" spans="1:15" x14ac:dyDescent="0.25">
      <c r="A249" s="1">
        <v>45623</v>
      </c>
      <c r="B249" t="e">
        <f>NA()</f>
        <v>#N/A</v>
      </c>
      <c r="C249" t="e">
        <f>NA()</f>
        <v>#N/A</v>
      </c>
      <c r="D249" t="e">
        <f>NA()</f>
        <v>#N/A</v>
      </c>
      <c r="E249" t="e">
        <f>NA()</f>
        <v>#N/A</v>
      </c>
      <c r="F249" t="e">
        <f>NA()</f>
        <v>#N/A</v>
      </c>
      <c r="G249" t="e">
        <f>NA()</f>
        <v>#N/A</v>
      </c>
      <c r="H249" t="e">
        <f>NA()</f>
        <v>#N/A</v>
      </c>
      <c r="I249" t="e">
        <f>NA()</f>
        <v>#N/A</v>
      </c>
      <c r="J249" t="e">
        <f>NA()</f>
        <v>#N/A</v>
      </c>
      <c r="K249" t="e">
        <f>NA()</f>
        <v>#N/A</v>
      </c>
      <c r="L249" t="e">
        <f>NA()</f>
        <v>#N/A</v>
      </c>
      <c r="M249" t="e">
        <f>NA()</f>
        <v>#N/A</v>
      </c>
      <c r="N249" t="e">
        <f>NA()</f>
        <v>#N/A</v>
      </c>
      <c r="O249">
        <f t="shared" si="10"/>
        <v>4.5999999999999996</v>
      </c>
    </row>
    <row r="250" spans="1:15" x14ac:dyDescent="0.25">
      <c r="A250" s="1">
        <v>45622</v>
      </c>
      <c r="B250" t="e">
        <f>NA()</f>
        <v>#N/A</v>
      </c>
      <c r="C250" t="e">
        <f>NA()</f>
        <v>#N/A</v>
      </c>
      <c r="D250" t="e">
        <f>NA()</f>
        <v>#N/A</v>
      </c>
      <c r="E250" t="e">
        <f>NA()</f>
        <v>#N/A</v>
      </c>
      <c r="F250" t="e">
        <f>NA()</f>
        <v>#N/A</v>
      </c>
      <c r="G250" t="e">
        <f>NA()</f>
        <v>#N/A</v>
      </c>
      <c r="H250" t="e">
        <f>NA()</f>
        <v>#N/A</v>
      </c>
      <c r="I250" t="e">
        <f>NA()</f>
        <v>#N/A</v>
      </c>
      <c r="J250" t="e">
        <f>NA()</f>
        <v>#N/A</v>
      </c>
      <c r="K250" t="e">
        <f>NA()</f>
        <v>#N/A</v>
      </c>
      <c r="L250" t="e">
        <f>NA()</f>
        <v>#N/A</v>
      </c>
      <c r="M250" t="e">
        <f>NA()</f>
        <v>#N/A</v>
      </c>
      <c r="N250" t="e">
        <f>NA()</f>
        <v>#N/A</v>
      </c>
      <c r="O250">
        <f t="shared" si="10"/>
        <v>4.5999999999999996</v>
      </c>
    </row>
    <row r="251" spans="1:15" x14ac:dyDescent="0.25">
      <c r="A251" s="1">
        <v>45621</v>
      </c>
      <c r="B251" t="e">
        <f>NA()</f>
        <v>#N/A</v>
      </c>
      <c r="C251" t="e">
        <f>NA()</f>
        <v>#N/A</v>
      </c>
      <c r="D251" t="e">
        <f>NA()</f>
        <v>#N/A</v>
      </c>
      <c r="E251" t="e">
        <f>NA()</f>
        <v>#N/A</v>
      </c>
      <c r="F251" t="e">
        <f>NA()</f>
        <v>#N/A</v>
      </c>
      <c r="G251" t="e">
        <f>NA()</f>
        <v>#N/A</v>
      </c>
      <c r="H251" t="e">
        <f>NA()</f>
        <v>#N/A</v>
      </c>
      <c r="I251" t="e">
        <f>NA()</f>
        <v>#N/A</v>
      </c>
      <c r="J251" t="e">
        <f>NA()</f>
        <v>#N/A</v>
      </c>
      <c r="K251" t="e">
        <f>NA()</f>
        <v>#N/A</v>
      </c>
      <c r="L251" t="e">
        <f>NA()</f>
        <v>#N/A</v>
      </c>
      <c r="M251" t="e">
        <f>NA()</f>
        <v>#N/A</v>
      </c>
      <c r="N251" t="e">
        <f>NA()</f>
        <v>#N/A</v>
      </c>
      <c r="O251">
        <f t="shared" si="10"/>
        <v>4.5999999999999996</v>
      </c>
    </row>
    <row r="252" spans="1:15" x14ac:dyDescent="0.25">
      <c r="A252" s="1">
        <v>45618</v>
      </c>
      <c r="B252">
        <f>-0.6</f>
        <v>-0.6</v>
      </c>
      <c r="C252">
        <f>0</f>
        <v>0</v>
      </c>
      <c r="D252" t="e">
        <f>NA()</f>
        <v>#N/A</v>
      </c>
      <c r="E252" t="e">
        <f>NA()</f>
        <v>#N/A</v>
      </c>
      <c r="F252" t="e">
        <f>NA()</f>
        <v>#N/A</v>
      </c>
      <c r="G252" t="e">
        <f>NA()</f>
        <v>#N/A</v>
      </c>
      <c r="H252" t="e">
        <f>NA()</f>
        <v>#N/A</v>
      </c>
      <c r="I252" t="e">
        <f>NA()</f>
        <v>#N/A</v>
      </c>
      <c r="J252" t="e">
        <f>NA()</f>
        <v>#N/A</v>
      </c>
      <c r="K252" t="e">
        <f>NA()</f>
        <v>#N/A</v>
      </c>
      <c r="L252" t="e">
        <f>NA()</f>
        <v>#N/A</v>
      </c>
      <c r="M252" t="e">
        <f>NA()</f>
        <v>#N/A</v>
      </c>
      <c r="N252" t="e">
        <f>NA()</f>
        <v>#N/A</v>
      </c>
      <c r="O252">
        <f t="shared" si="10"/>
        <v>4.5999999999999996</v>
      </c>
    </row>
    <row r="253" spans="1:15" x14ac:dyDescent="0.25">
      <c r="A253" s="1">
        <v>45617</v>
      </c>
      <c r="B253" t="e">
        <f>NA()</f>
        <v>#N/A</v>
      </c>
      <c r="C253" t="e">
        <f>NA()</f>
        <v>#N/A</v>
      </c>
      <c r="D253" t="e">
        <f>NA()</f>
        <v>#N/A</v>
      </c>
      <c r="E253" t="e">
        <f>NA()</f>
        <v>#N/A</v>
      </c>
      <c r="F253" t="e">
        <f>NA()</f>
        <v>#N/A</v>
      </c>
      <c r="G253" t="e">
        <f>NA()</f>
        <v>#N/A</v>
      </c>
      <c r="H253" t="e">
        <f>NA()</f>
        <v>#N/A</v>
      </c>
      <c r="I253" t="e">
        <f>NA()</f>
        <v>#N/A</v>
      </c>
      <c r="J253" t="e">
        <f>NA()</f>
        <v>#N/A</v>
      </c>
      <c r="K253" t="e">
        <f>NA()</f>
        <v>#N/A</v>
      </c>
      <c r="L253" t="e">
        <f>NA()</f>
        <v>#N/A</v>
      </c>
      <c r="M253" t="e">
        <f>NA()</f>
        <v>#N/A</v>
      </c>
      <c r="N253" t="e">
        <f>NA()</f>
        <v>#N/A</v>
      </c>
      <c r="O253">
        <f t="shared" si="10"/>
        <v>4.5999999999999996</v>
      </c>
    </row>
    <row r="254" spans="1:15" x14ac:dyDescent="0.25">
      <c r="A254" s="1">
        <v>45616</v>
      </c>
      <c r="B254" t="e">
        <f>NA()</f>
        <v>#N/A</v>
      </c>
      <c r="C254" t="e">
        <f>NA()</f>
        <v>#N/A</v>
      </c>
      <c r="D254" t="e">
        <f>NA()</f>
        <v>#N/A</v>
      </c>
      <c r="E254" t="e">
        <f>NA()</f>
        <v>#N/A</v>
      </c>
      <c r="F254" t="e">
        <f>NA()</f>
        <v>#N/A</v>
      </c>
      <c r="G254" t="e">
        <f>NA()</f>
        <v>#N/A</v>
      </c>
      <c r="H254" t="e">
        <f>NA()</f>
        <v>#N/A</v>
      </c>
      <c r="I254" t="e">
        <f>NA()</f>
        <v>#N/A</v>
      </c>
      <c r="J254" t="e">
        <f>NA()</f>
        <v>#N/A</v>
      </c>
      <c r="K254" t="e">
        <f>NA()</f>
        <v>#N/A</v>
      </c>
      <c r="L254" t="e">
        <f>NA()</f>
        <v>#N/A</v>
      </c>
      <c r="M254" t="e">
        <f>NA()</f>
        <v>#N/A</v>
      </c>
      <c r="N254" t="e">
        <f>NA()</f>
        <v>#N/A</v>
      </c>
      <c r="O254">
        <f t="shared" si="10"/>
        <v>4.5999999999999996</v>
      </c>
    </row>
    <row r="255" spans="1:15" x14ac:dyDescent="0.25">
      <c r="A255" s="1">
        <v>45615</v>
      </c>
      <c r="B255" t="e">
        <f>NA()</f>
        <v>#N/A</v>
      </c>
      <c r="C255" t="e">
        <f>NA()</f>
        <v>#N/A</v>
      </c>
      <c r="D255" t="e">
        <f>NA()</f>
        <v>#N/A</v>
      </c>
      <c r="E255" t="e">
        <f>NA()</f>
        <v>#N/A</v>
      </c>
      <c r="F255" t="e">
        <f>NA()</f>
        <v>#N/A</v>
      </c>
      <c r="G255" t="e">
        <f>NA()</f>
        <v>#N/A</v>
      </c>
      <c r="H255" t="e">
        <f>NA()</f>
        <v>#N/A</v>
      </c>
      <c r="I255" t="e">
        <f>NA()</f>
        <v>#N/A</v>
      </c>
      <c r="J255" t="e">
        <f>NA()</f>
        <v>#N/A</v>
      </c>
      <c r="K255" t="e">
        <f>NA()</f>
        <v>#N/A</v>
      </c>
      <c r="L255" t="e">
        <f>NA()</f>
        <v>#N/A</v>
      </c>
      <c r="M255" t="e">
        <f>NA()</f>
        <v>#N/A</v>
      </c>
      <c r="N255" t="e">
        <f>NA()</f>
        <v>#N/A</v>
      </c>
      <c r="O255">
        <f t="shared" si="10"/>
        <v>4.5999999999999996</v>
      </c>
    </row>
    <row r="256" spans="1:15" x14ac:dyDescent="0.25">
      <c r="A256" s="1">
        <v>45614</v>
      </c>
      <c r="B256" t="e">
        <f>NA()</f>
        <v>#N/A</v>
      </c>
      <c r="C256" t="e">
        <f>NA()</f>
        <v>#N/A</v>
      </c>
      <c r="D256" t="e">
        <f>NA()</f>
        <v>#N/A</v>
      </c>
      <c r="E256" t="e">
        <f>NA()</f>
        <v>#N/A</v>
      </c>
      <c r="F256" t="e">
        <f>NA()</f>
        <v>#N/A</v>
      </c>
      <c r="G256" t="e">
        <f>NA()</f>
        <v>#N/A</v>
      </c>
      <c r="H256" t="e">
        <f>NA()</f>
        <v>#N/A</v>
      </c>
      <c r="I256" t="e">
        <f>NA()</f>
        <v>#N/A</v>
      </c>
      <c r="J256" t="e">
        <f>NA()</f>
        <v>#N/A</v>
      </c>
      <c r="K256" t="e">
        <f>NA()</f>
        <v>#N/A</v>
      </c>
      <c r="L256" t="e">
        <f>NA()</f>
        <v>#N/A</v>
      </c>
      <c r="M256" t="e">
        <f>NA()</f>
        <v>#N/A</v>
      </c>
      <c r="N256" t="e">
        <f>NA()</f>
        <v>#N/A</v>
      </c>
      <c r="O256">
        <f t="shared" si="10"/>
        <v>4.5999999999999996</v>
      </c>
    </row>
    <row r="257" spans="1:15" x14ac:dyDescent="0.25">
      <c r="A257" s="1">
        <v>45611</v>
      </c>
      <c r="B257">
        <f>-0.8</f>
        <v>-0.8</v>
      </c>
      <c r="C257">
        <f>0</f>
        <v>0</v>
      </c>
      <c r="D257" t="e">
        <f>NA()</f>
        <v>#N/A</v>
      </c>
      <c r="E257" t="e">
        <f>NA()</f>
        <v>#N/A</v>
      </c>
      <c r="F257" t="e">
        <f>NA()</f>
        <v>#N/A</v>
      </c>
      <c r="G257" t="e">
        <f>NA()</f>
        <v>#N/A</v>
      </c>
      <c r="H257" t="e">
        <f>NA()</f>
        <v>#N/A</v>
      </c>
      <c r="I257" t="e">
        <f>NA()</f>
        <v>#N/A</v>
      </c>
      <c r="J257" t="e">
        <f>NA()</f>
        <v>#N/A</v>
      </c>
      <c r="K257" t="e">
        <f>NA()</f>
        <v>#N/A</v>
      </c>
      <c r="L257" t="e">
        <f>NA()</f>
        <v>#N/A</v>
      </c>
      <c r="M257" t="e">
        <f>NA()</f>
        <v>#N/A</v>
      </c>
      <c r="N257" t="e">
        <f>NA()</f>
        <v>#N/A</v>
      </c>
      <c r="O257">
        <f t="shared" si="10"/>
        <v>4.5999999999999996</v>
      </c>
    </row>
    <row r="258" spans="1:15" x14ac:dyDescent="0.25">
      <c r="A258" s="1">
        <v>45610</v>
      </c>
      <c r="B258" t="e">
        <f>NA()</f>
        <v>#N/A</v>
      </c>
      <c r="C258" t="e">
        <f>NA()</f>
        <v>#N/A</v>
      </c>
      <c r="D258" t="e">
        <f>NA()</f>
        <v>#N/A</v>
      </c>
      <c r="E258" t="e">
        <f>NA()</f>
        <v>#N/A</v>
      </c>
      <c r="F258" t="e">
        <f>NA()</f>
        <v>#N/A</v>
      </c>
      <c r="G258" t="e">
        <f>NA()</f>
        <v>#N/A</v>
      </c>
      <c r="H258" t="e">
        <f>NA()</f>
        <v>#N/A</v>
      </c>
      <c r="I258" t="e">
        <f>NA()</f>
        <v>#N/A</v>
      </c>
      <c r="J258" t="e">
        <f>NA()</f>
        <v>#N/A</v>
      </c>
      <c r="K258" t="e">
        <f>NA()</f>
        <v>#N/A</v>
      </c>
      <c r="L258" t="e">
        <f>NA()</f>
        <v>#N/A</v>
      </c>
      <c r="M258" t="e">
        <f>NA()</f>
        <v>#N/A</v>
      </c>
      <c r="N258" t="e">
        <f>NA()</f>
        <v>#N/A</v>
      </c>
      <c r="O258">
        <f t="shared" si="10"/>
        <v>4.5999999999999996</v>
      </c>
    </row>
    <row r="259" spans="1:15" x14ac:dyDescent="0.25">
      <c r="A259" s="1">
        <v>45609</v>
      </c>
      <c r="B259" t="e">
        <f>NA()</f>
        <v>#N/A</v>
      </c>
      <c r="C259" t="e">
        <f>NA()</f>
        <v>#N/A</v>
      </c>
      <c r="D259" t="e">
        <f>NA()</f>
        <v>#N/A</v>
      </c>
      <c r="E259" t="e">
        <f>NA()</f>
        <v>#N/A</v>
      </c>
      <c r="F259" t="e">
        <f>NA()</f>
        <v>#N/A</v>
      </c>
      <c r="G259" t="e">
        <f>NA()</f>
        <v>#N/A</v>
      </c>
      <c r="H259" t="e">
        <f>NA()</f>
        <v>#N/A</v>
      </c>
      <c r="I259" t="e">
        <f>NA()</f>
        <v>#N/A</v>
      </c>
      <c r="J259" t="e">
        <f>NA()</f>
        <v>#N/A</v>
      </c>
      <c r="K259" t="e">
        <f>NA()</f>
        <v>#N/A</v>
      </c>
      <c r="L259" t="e">
        <f>NA()</f>
        <v>#N/A</v>
      </c>
      <c r="M259" t="e">
        <f>NA()</f>
        <v>#N/A</v>
      </c>
      <c r="N259" t="e">
        <f>NA()</f>
        <v>#N/A</v>
      </c>
      <c r="O259">
        <f t="shared" si="10"/>
        <v>4.5999999999999996</v>
      </c>
    </row>
    <row r="260" spans="1:15" x14ac:dyDescent="0.25">
      <c r="A260" s="1">
        <v>45608</v>
      </c>
      <c r="B260" t="e">
        <f>NA()</f>
        <v>#N/A</v>
      </c>
      <c r="C260" t="e">
        <f>NA()</f>
        <v>#N/A</v>
      </c>
      <c r="D260" t="e">
        <f>NA()</f>
        <v>#N/A</v>
      </c>
      <c r="E260" t="e">
        <f>NA()</f>
        <v>#N/A</v>
      </c>
      <c r="F260" t="e">
        <f>NA()</f>
        <v>#N/A</v>
      </c>
      <c r="G260" t="e">
        <f>NA()</f>
        <v>#N/A</v>
      </c>
      <c r="H260" t="e">
        <f>NA()</f>
        <v>#N/A</v>
      </c>
      <c r="I260" t="e">
        <f>NA()</f>
        <v>#N/A</v>
      </c>
      <c r="J260" t="e">
        <f>NA()</f>
        <v>#N/A</v>
      </c>
      <c r="K260" t="e">
        <f>NA()</f>
        <v>#N/A</v>
      </c>
      <c r="L260" t="e">
        <f>NA()</f>
        <v>#N/A</v>
      </c>
      <c r="M260" t="e">
        <f>NA()</f>
        <v>#N/A</v>
      </c>
      <c r="N260" t="e">
        <f>NA()</f>
        <v>#N/A</v>
      </c>
      <c r="O260">
        <f t="shared" si="10"/>
        <v>4.5999999999999996</v>
      </c>
    </row>
    <row r="261" spans="1:15" x14ac:dyDescent="0.25">
      <c r="A261" s="1">
        <v>45604</v>
      </c>
      <c r="B261">
        <f>-0.6</f>
        <v>-0.6</v>
      </c>
      <c r="C261">
        <f>0</f>
        <v>0</v>
      </c>
      <c r="D261" t="e">
        <f>NA()</f>
        <v>#N/A</v>
      </c>
      <c r="E261" t="e">
        <f>NA()</f>
        <v>#N/A</v>
      </c>
      <c r="F261" t="e">
        <f>NA()</f>
        <v>#N/A</v>
      </c>
      <c r="G261" t="e">
        <f>NA()</f>
        <v>#N/A</v>
      </c>
      <c r="H261" t="e">
        <f>NA()</f>
        <v>#N/A</v>
      </c>
      <c r="I261" t="e">
        <f>NA()</f>
        <v>#N/A</v>
      </c>
      <c r="J261" t="e">
        <f>NA()</f>
        <v>#N/A</v>
      </c>
      <c r="K261" t="e">
        <f>NA()</f>
        <v>#N/A</v>
      </c>
      <c r="L261" t="e">
        <f>NA()</f>
        <v>#N/A</v>
      </c>
      <c r="M261" t="e">
        <f>NA()</f>
        <v>#N/A</v>
      </c>
      <c r="N261" t="e">
        <f>NA()</f>
        <v>#N/A</v>
      </c>
      <c r="O261">
        <f t="shared" si="10"/>
        <v>4.5999999999999996</v>
      </c>
    </row>
    <row r="262" spans="1:15" x14ac:dyDescent="0.25">
      <c r="A262" s="1">
        <v>45603</v>
      </c>
      <c r="B262" t="e">
        <f>NA()</f>
        <v>#N/A</v>
      </c>
      <c r="C262" t="e">
        <f>NA()</f>
        <v>#N/A</v>
      </c>
      <c r="D262" t="e">
        <f>NA()</f>
        <v>#N/A</v>
      </c>
      <c r="E262" t="e">
        <f>NA()</f>
        <v>#N/A</v>
      </c>
      <c r="F262" t="e">
        <f>NA()</f>
        <v>#N/A</v>
      </c>
      <c r="G262" t="e">
        <f>NA()</f>
        <v>#N/A</v>
      </c>
      <c r="H262" t="e">
        <f>NA()</f>
        <v>#N/A</v>
      </c>
      <c r="I262" t="e">
        <f>NA()</f>
        <v>#N/A</v>
      </c>
      <c r="J262" t="e">
        <f>NA()</f>
        <v>#N/A</v>
      </c>
      <c r="K262" t="e">
        <f>NA()</f>
        <v>#N/A</v>
      </c>
      <c r="L262" t="e">
        <f>NA()</f>
        <v>#N/A</v>
      </c>
      <c r="M262" t="e">
        <f>NA()</f>
        <v>#N/A</v>
      </c>
      <c r="N262" t="e">
        <f>NA()</f>
        <v>#N/A</v>
      </c>
      <c r="O262">
        <f t="shared" ref="O262:O296" si="11">4.8</f>
        <v>4.8</v>
      </c>
    </row>
    <row r="263" spans="1:15" x14ac:dyDescent="0.25">
      <c r="A263" s="1">
        <v>45602</v>
      </c>
      <c r="B263" t="e">
        <f>NA()</f>
        <v>#N/A</v>
      </c>
      <c r="C263" t="e">
        <f>NA()</f>
        <v>#N/A</v>
      </c>
      <c r="D263" t="e">
        <f>NA()</f>
        <v>#N/A</v>
      </c>
      <c r="E263" t="e">
        <f>NA()</f>
        <v>#N/A</v>
      </c>
      <c r="F263" t="e">
        <f>NA()</f>
        <v>#N/A</v>
      </c>
      <c r="G263" t="e">
        <f>NA()</f>
        <v>#N/A</v>
      </c>
      <c r="H263" t="e">
        <f>NA()</f>
        <v>#N/A</v>
      </c>
      <c r="I263" t="e">
        <f>NA()</f>
        <v>#N/A</v>
      </c>
      <c r="J263" t="e">
        <f>NA()</f>
        <v>#N/A</v>
      </c>
      <c r="K263" t="e">
        <f>NA()</f>
        <v>#N/A</v>
      </c>
      <c r="L263" t="e">
        <f>NA()</f>
        <v>#N/A</v>
      </c>
      <c r="M263" t="e">
        <f>NA()</f>
        <v>#N/A</v>
      </c>
      <c r="N263" t="e">
        <f>NA()</f>
        <v>#N/A</v>
      </c>
      <c r="O263">
        <f t="shared" si="11"/>
        <v>4.8</v>
      </c>
    </row>
    <row r="264" spans="1:15" x14ac:dyDescent="0.25">
      <c r="A264" s="1">
        <v>45601</v>
      </c>
      <c r="B264" t="e">
        <f>NA()</f>
        <v>#N/A</v>
      </c>
      <c r="C264" t="e">
        <f>NA()</f>
        <v>#N/A</v>
      </c>
      <c r="D264" t="e">
        <f>NA()</f>
        <v>#N/A</v>
      </c>
      <c r="E264" t="e">
        <f>NA()</f>
        <v>#N/A</v>
      </c>
      <c r="F264" t="e">
        <f>NA()</f>
        <v>#N/A</v>
      </c>
      <c r="G264" t="e">
        <f>NA()</f>
        <v>#N/A</v>
      </c>
      <c r="H264" t="e">
        <f>NA()</f>
        <v>#N/A</v>
      </c>
      <c r="I264" t="e">
        <f>NA()</f>
        <v>#N/A</v>
      </c>
      <c r="J264" t="e">
        <f>NA()</f>
        <v>#N/A</v>
      </c>
      <c r="K264" t="e">
        <f>NA()</f>
        <v>#N/A</v>
      </c>
      <c r="L264" t="e">
        <f>NA()</f>
        <v>#N/A</v>
      </c>
      <c r="M264" t="e">
        <f>NA()</f>
        <v>#N/A</v>
      </c>
      <c r="N264" t="e">
        <f>NA()</f>
        <v>#N/A</v>
      </c>
      <c r="O264">
        <f t="shared" si="11"/>
        <v>4.8</v>
      </c>
    </row>
    <row r="265" spans="1:15" x14ac:dyDescent="0.25">
      <c r="A265" s="1">
        <v>45600</v>
      </c>
      <c r="B265" t="e">
        <f>NA()</f>
        <v>#N/A</v>
      </c>
      <c r="C265" t="e">
        <f>NA()</f>
        <v>#N/A</v>
      </c>
      <c r="D265" t="e">
        <f>NA()</f>
        <v>#N/A</v>
      </c>
      <c r="E265" t="e">
        <f>NA()</f>
        <v>#N/A</v>
      </c>
      <c r="F265" t="e">
        <f>NA()</f>
        <v>#N/A</v>
      </c>
      <c r="G265" t="e">
        <f>NA()</f>
        <v>#N/A</v>
      </c>
      <c r="H265" t="e">
        <f>NA()</f>
        <v>#N/A</v>
      </c>
      <c r="I265" t="e">
        <f>NA()</f>
        <v>#N/A</v>
      </c>
      <c r="J265" t="e">
        <f>NA()</f>
        <v>#N/A</v>
      </c>
      <c r="K265" t="e">
        <f>NA()</f>
        <v>#N/A</v>
      </c>
      <c r="L265" t="e">
        <f>NA()</f>
        <v>#N/A</v>
      </c>
      <c r="M265" t="e">
        <f>NA()</f>
        <v>#N/A</v>
      </c>
      <c r="N265" t="e">
        <f>NA()</f>
        <v>#N/A</v>
      </c>
      <c r="O265">
        <f t="shared" si="11"/>
        <v>4.8</v>
      </c>
    </row>
    <row r="266" spans="1:15" x14ac:dyDescent="0.25">
      <c r="A266" s="1">
        <v>45597</v>
      </c>
      <c r="B266">
        <f>-0.3</f>
        <v>-0.3</v>
      </c>
      <c r="C266">
        <f>0</f>
        <v>0</v>
      </c>
      <c r="D266" t="e">
        <f>NA()</f>
        <v>#N/A</v>
      </c>
      <c r="E266" t="e">
        <f>NA()</f>
        <v>#N/A</v>
      </c>
      <c r="F266" t="e">
        <f>NA()</f>
        <v>#N/A</v>
      </c>
      <c r="G266" t="e">
        <f>NA()</f>
        <v>#N/A</v>
      </c>
      <c r="H266" t="e">
        <f>NA()</f>
        <v>#N/A</v>
      </c>
      <c r="I266" t="e">
        <f>NA()</f>
        <v>#N/A</v>
      </c>
      <c r="J266" t="e">
        <f>NA()</f>
        <v>#N/A</v>
      </c>
      <c r="K266" t="e">
        <f>NA()</f>
        <v>#N/A</v>
      </c>
      <c r="L266" t="e">
        <f>NA()</f>
        <v>#N/A</v>
      </c>
      <c r="M266" t="e">
        <f>NA()</f>
        <v>#N/A</v>
      </c>
      <c r="N266" t="e">
        <f>NA()</f>
        <v>#N/A</v>
      </c>
      <c r="O266">
        <f t="shared" si="11"/>
        <v>4.8</v>
      </c>
    </row>
    <row r="267" spans="1:15" x14ac:dyDescent="0.25">
      <c r="A267" s="1">
        <v>45596</v>
      </c>
      <c r="B267" t="e">
        <f>NA()</f>
        <v>#N/A</v>
      </c>
      <c r="C267" t="e">
        <f>NA()</f>
        <v>#N/A</v>
      </c>
      <c r="D267">
        <f>0.4</f>
        <v>0.4</v>
      </c>
      <c r="E267">
        <f>1.5</f>
        <v>1.5</v>
      </c>
      <c r="F267">
        <f>7615</f>
        <v>7615</v>
      </c>
      <c r="G267">
        <f>62.5</f>
        <v>62.5</v>
      </c>
      <c r="H267">
        <f>5.8</f>
        <v>5.8</v>
      </c>
      <c r="I267">
        <f>315.7</f>
        <v>315.7</v>
      </c>
      <c r="J267">
        <f>2.6</f>
        <v>2.6</v>
      </c>
      <c r="K267">
        <f>46.9</f>
        <v>46.9</v>
      </c>
      <c r="L267">
        <f>-0.4</f>
        <v>-0.4</v>
      </c>
      <c r="M267" t="e">
        <f>NA()</f>
        <v>#N/A</v>
      </c>
      <c r="N267">
        <f>4.1</f>
        <v>4.0999999999999996</v>
      </c>
      <c r="O267">
        <f t="shared" si="11"/>
        <v>4.8</v>
      </c>
    </row>
    <row r="268" spans="1:15" x14ac:dyDescent="0.25">
      <c r="A268" s="1">
        <v>45595</v>
      </c>
      <c r="B268" t="e">
        <f>NA()</f>
        <v>#N/A</v>
      </c>
      <c r="C268" t="e">
        <f>NA()</f>
        <v>#N/A</v>
      </c>
      <c r="D268" t="e">
        <f>NA()</f>
        <v>#N/A</v>
      </c>
      <c r="E268" t="e">
        <f>NA()</f>
        <v>#N/A</v>
      </c>
      <c r="F268" t="e">
        <f>NA()</f>
        <v>#N/A</v>
      </c>
      <c r="G268" t="e">
        <f>NA()</f>
        <v>#N/A</v>
      </c>
      <c r="H268" t="e">
        <f>NA()</f>
        <v>#N/A</v>
      </c>
      <c r="I268" t="e">
        <f>NA()</f>
        <v>#N/A</v>
      </c>
      <c r="J268" t="e">
        <f>NA()</f>
        <v>#N/A</v>
      </c>
      <c r="K268" t="e">
        <f>NA()</f>
        <v>#N/A</v>
      </c>
      <c r="L268" t="e">
        <f>NA()</f>
        <v>#N/A</v>
      </c>
      <c r="M268" t="e">
        <f>NA()</f>
        <v>#N/A</v>
      </c>
      <c r="N268" t="e">
        <f>NA()</f>
        <v>#N/A</v>
      </c>
      <c r="O268">
        <f t="shared" si="11"/>
        <v>4.8</v>
      </c>
    </row>
    <row r="269" spans="1:15" x14ac:dyDescent="0.25">
      <c r="A269" s="1">
        <v>45594</v>
      </c>
      <c r="B269" t="e">
        <f>NA()</f>
        <v>#N/A</v>
      </c>
      <c r="C269" t="e">
        <f>NA()</f>
        <v>#N/A</v>
      </c>
      <c r="D269" t="e">
        <f>NA()</f>
        <v>#N/A</v>
      </c>
      <c r="E269" t="e">
        <f>NA()</f>
        <v>#N/A</v>
      </c>
      <c r="F269" t="e">
        <f>NA()</f>
        <v>#N/A</v>
      </c>
      <c r="G269" t="e">
        <f>NA()</f>
        <v>#N/A</v>
      </c>
      <c r="H269" t="e">
        <f>NA()</f>
        <v>#N/A</v>
      </c>
      <c r="I269" t="e">
        <f>NA()</f>
        <v>#N/A</v>
      </c>
      <c r="J269" t="e">
        <f>NA()</f>
        <v>#N/A</v>
      </c>
      <c r="K269" t="e">
        <f>NA()</f>
        <v>#N/A</v>
      </c>
      <c r="L269" t="e">
        <f>NA()</f>
        <v>#N/A</v>
      </c>
      <c r="M269" t="e">
        <f>NA()</f>
        <v>#N/A</v>
      </c>
      <c r="N269" t="e">
        <f>NA()</f>
        <v>#N/A</v>
      </c>
      <c r="O269">
        <f t="shared" si="11"/>
        <v>4.8</v>
      </c>
    </row>
    <row r="270" spans="1:15" x14ac:dyDescent="0.25">
      <c r="A270" s="1">
        <v>45593</v>
      </c>
      <c r="B270" t="e">
        <f>NA()</f>
        <v>#N/A</v>
      </c>
      <c r="C270" t="e">
        <f>NA()</f>
        <v>#N/A</v>
      </c>
      <c r="D270" t="e">
        <f>NA()</f>
        <v>#N/A</v>
      </c>
      <c r="E270" t="e">
        <f>NA()</f>
        <v>#N/A</v>
      </c>
      <c r="F270" t="e">
        <f>NA()</f>
        <v>#N/A</v>
      </c>
      <c r="G270" t="e">
        <f>NA()</f>
        <v>#N/A</v>
      </c>
      <c r="H270" t="e">
        <f>NA()</f>
        <v>#N/A</v>
      </c>
      <c r="I270" t="e">
        <f>NA()</f>
        <v>#N/A</v>
      </c>
      <c r="J270" t="e">
        <f>NA()</f>
        <v>#N/A</v>
      </c>
      <c r="K270" t="e">
        <f>NA()</f>
        <v>#N/A</v>
      </c>
      <c r="L270" t="e">
        <f>NA()</f>
        <v>#N/A</v>
      </c>
      <c r="M270" t="e">
        <f>NA()</f>
        <v>#N/A</v>
      </c>
      <c r="N270" t="e">
        <f>NA()</f>
        <v>#N/A</v>
      </c>
      <c r="O270">
        <f t="shared" si="11"/>
        <v>4.8</v>
      </c>
    </row>
    <row r="271" spans="1:15" x14ac:dyDescent="0.25">
      <c r="A271" s="1">
        <v>45590</v>
      </c>
      <c r="B271">
        <f>-0.4</f>
        <v>-0.4</v>
      </c>
      <c r="C271">
        <f>0</f>
        <v>0</v>
      </c>
      <c r="D271" t="e">
        <f>NA()</f>
        <v>#N/A</v>
      </c>
      <c r="E271" t="e">
        <f>NA()</f>
        <v>#N/A</v>
      </c>
      <c r="F271" t="e">
        <f>NA()</f>
        <v>#N/A</v>
      </c>
      <c r="G271" t="e">
        <f>NA()</f>
        <v>#N/A</v>
      </c>
      <c r="H271" t="e">
        <f>NA()</f>
        <v>#N/A</v>
      </c>
      <c r="I271" t="e">
        <f>NA()</f>
        <v>#N/A</v>
      </c>
      <c r="J271" t="e">
        <f>NA()</f>
        <v>#N/A</v>
      </c>
      <c r="K271" t="e">
        <f>NA()</f>
        <v>#N/A</v>
      </c>
      <c r="L271" t="e">
        <f>NA()</f>
        <v>#N/A</v>
      </c>
      <c r="M271" t="e">
        <f>NA()</f>
        <v>#N/A</v>
      </c>
      <c r="N271" t="e">
        <f>NA()</f>
        <v>#N/A</v>
      </c>
      <c r="O271">
        <f t="shared" si="11"/>
        <v>4.8</v>
      </c>
    </row>
    <row r="272" spans="1:15" x14ac:dyDescent="0.25">
      <c r="A272" s="1">
        <v>45589</v>
      </c>
      <c r="B272" t="e">
        <f>NA()</f>
        <v>#N/A</v>
      </c>
      <c r="C272" t="e">
        <f>NA()</f>
        <v>#N/A</v>
      </c>
      <c r="D272" t="e">
        <f>NA()</f>
        <v>#N/A</v>
      </c>
      <c r="E272" t="e">
        <f>NA()</f>
        <v>#N/A</v>
      </c>
      <c r="F272" t="e">
        <f>NA()</f>
        <v>#N/A</v>
      </c>
      <c r="G272" t="e">
        <f>NA()</f>
        <v>#N/A</v>
      </c>
      <c r="H272" t="e">
        <f>NA()</f>
        <v>#N/A</v>
      </c>
      <c r="I272" t="e">
        <f>NA()</f>
        <v>#N/A</v>
      </c>
      <c r="J272" t="e">
        <f>NA()</f>
        <v>#N/A</v>
      </c>
      <c r="K272" t="e">
        <f>NA()</f>
        <v>#N/A</v>
      </c>
      <c r="L272" t="e">
        <f>NA()</f>
        <v>#N/A</v>
      </c>
      <c r="M272" t="e">
        <f>NA()</f>
        <v>#N/A</v>
      </c>
      <c r="N272" t="e">
        <f>NA()</f>
        <v>#N/A</v>
      </c>
      <c r="O272">
        <f t="shared" si="11"/>
        <v>4.8</v>
      </c>
    </row>
    <row r="273" spans="1:15" x14ac:dyDescent="0.25">
      <c r="A273" s="1">
        <v>45588</v>
      </c>
      <c r="B273" t="e">
        <f>NA()</f>
        <v>#N/A</v>
      </c>
      <c r="C273" t="e">
        <f>NA()</f>
        <v>#N/A</v>
      </c>
      <c r="D273" t="e">
        <f>NA()</f>
        <v>#N/A</v>
      </c>
      <c r="E273" t="e">
        <f>NA()</f>
        <v>#N/A</v>
      </c>
      <c r="F273" t="e">
        <f>NA()</f>
        <v>#N/A</v>
      </c>
      <c r="G273" t="e">
        <f>NA()</f>
        <v>#N/A</v>
      </c>
      <c r="H273" t="e">
        <f>NA()</f>
        <v>#N/A</v>
      </c>
      <c r="I273" t="e">
        <f>NA()</f>
        <v>#N/A</v>
      </c>
      <c r="J273" t="e">
        <f>NA()</f>
        <v>#N/A</v>
      </c>
      <c r="K273" t="e">
        <f>NA()</f>
        <v>#N/A</v>
      </c>
      <c r="L273" t="e">
        <f>NA()</f>
        <v>#N/A</v>
      </c>
      <c r="M273" t="e">
        <f>NA()</f>
        <v>#N/A</v>
      </c>
      <c r="N273" t="e">
        <f>NA()</f>
        <v>#N/A</v>
      </c>
      <c r="O273">
        <f t="shared" si="11"/>
        <v>4.8</v>
      </c>
    </row>
    <row r="274" spans="1:15" x14ac:dyDescent="0.25">
      <c r="A274" s="1">
        <v>45587</v>
      </c>
      <c r="B274" t="e">
        <f>NA()</f>
        <v>#N/A</v>
      </c>
      <c r="C274" t="e">
        <f>NA()</f>
        <v>#N/A</v>
      </c>
      <c r="D274" t="e">
        <f>NA()</f>
        <v>#N/A</v>
      </c>
      <c r="E274" t="e">
        <f>NA()</f>
        <v>#N/A</v>
      </c>
      <c r="F274" t="e">
        <f>NA()</f>
        <v>#N/A</v>
      </c>
      <c r="G274" t="e">
        <f>NA()</f>
        <v>#N/A</v>
      </c>
      <c r="H274" t="e">
        <f>NA()</f>
        <v>#N/A</v>
      </c>
      <c r="I274" t="e">
        <f>NA()</f>
        <v>#N/A</v>
      </c>
      <c r="J274" t="e">
        <f>NA()</f>
        <v>#N/A</v>
      </c>
      <c r="K274" t="e">
        <f>NA()</f>
        <v>#N/A</v>
      </c>
      <c r="L274" t="e">
        <f>NA()</f>
        <v>#N/A</v>
      </c>
      <c r="M274" t="e">
        <f>NA()</f>
        <v>#N/A</v>
      </c>
      <c r="N274" t="e">
        <f>NA()</f>
        <v>#N/A</v>
      </c>
      <c r="O274">
        <f t="shared" si="11"/>
        <v>4.8</v>
      </c>
    </row>
    <row r="275" spans="1:15" x14ac:dyDescent="0.25">
      <c r="A275" s="1">
        <v>45586</v>
      </c>
      <c r="B275" t="e">
        <f>NA()</f>
        <v>#N/A</v>
      </c>
      <c r="C275" t="e">
        <f>NA()</f>
        <v>#N/A</v>
      </c>
      <c r="D275" t="e">
        <f>NA()</f>
        <v>#N/A</v>
      </c>
      <c r="E275" t="e">
        <f>NA()</f>
        <v>#N/A</v>
      </c>
      <c r="F275" t="e">
        <f>NA()</f>
        <v>#N/A</v>
      </c>
      <c r="G275" t="e">
        <f>NA()</f>
        <v>#N/A</v>
      </c>
      <c r="H275" t="e">
        <f>NA()</f>
        <v>#N/A</v>
      </c>
      <c r="I275" t="e">
        <f>NA()</f>
        <v>#N/A</v>
      </c>
      <c r="J275" t="e">
        <f>NA()</f>
        <v>#N/A</v>
      </c>
      <c r="K275" t="e">
        <f>NA()</f>
        <v>#N/A</v>
      </c>
      <c r="L275" t="e">
        <f>NA()</f>
        <v>#N/A</v>
      </c>
      <c r="M275" t="e">
        <f>NA()</f>
        <v>#N/A</v>
      </c>
      <c r="N275" t="e">
        <f>NA()</f>
        <v>#N/A</v>
      </c>
      <c r="O275">
        <f t="shared" si="11"/>
        <v>4.8</v>
      </c>
    </row>
    <row r="276" spans="1:15" x14ac:dyDescent="0.25">
      <c r="A276" s="1">
        <v>45583</v>
      </c>
      <c r="B276">
        <f>-0.5</f>
        <v>-0.5</v>
      </c>
      <c r="C276">
        <f>0</f>
        <v>0</v>
      </c>
      <c r="D276" t="e">
        <f>NA()</f>
        <v>#N/A</v>
      </c>
      <c r="E276" t="e">
        <f>NA()</f>
        <v>#N/A</v>
      </c>
      <c r="F276" t="e">
        <f>NA()</f>
        <v>#N/A</v>
      </c>
      <c r="G276" t="e">
        <f>NA()</f>
        <v>#N/A</v>
      </c>
      <c r="H276" t="e">
        <f>NA()</f>
        <v>#N/A</v>
      </c>
      <c r="I276" t="e">
        <f>NA()</f>
        <v>#N/A</v>
      </c>
      <c r="J276" t="e">
        <f>NA()</f>
        <v>#N/A</v>
      </c>
      <c r="K276" t="e">
        <f>NA()</f>
        <v>#N/A</v>
      </c>
      <c r="L276" t="e">
        <f>NA()</f>
        <v>#N/A</v>
      </c>
      <c r="M276" t="e">
        <f>NA()</f>
        <v>#N/A</v>
      </c>
      <c r="N276" t="e">
        <f>NA()</f>
        <v>#N/A</v>
      </c>
      <c r="O276">
        <f t="shared" si="11"/>
        <v>4.8</v>
      </c>
    </row>
    <row r="277" spans="1:15" x14ac:dyDescent="0.25">
      <c r="A277" s="1">
        <v>45582</v>
      </c>
      <c r="B277" t="e">
        <f>NA()</f>
        <v>#N/A</v>
      </c>
      <c r="C277" t="e">
        <f>NA()</f>
        <v>#N/A</v>
      </c>
      <c r="D277" t="e">
        <f>NA()</f>
        <v>#N/A</v>
      </c>
      <c r="E277" t="e">
        <f>NA()</f>
        <v>#N/A</v>
      </c>
      <c r="F277" t="e">
        <f>NA()</f>
        <v>#N/A</v>
      </c>
      <c r="G277" t="e">
        <f>NA()</f>
        <v>#N/A</v>
      </c>
      <c r="H277" t="e">
        <f>NA()</f>
        <v>#N/A</v>
      </c>
      <c r="I277" t="e">
        <f>NA()</f>
        <v>#N/A</v>
      </c>
      <c r="J277" t="e">
        <f>NA()</f>
        <v>#N/A</v>
      </c>
      <c r="K277" t="e">
        <f>NA()</f>
        <v>#N/A</v>
      </c>
      <c r="L277" t="e">
        <f>NA()</f>
        <v>#N/A</v>
      </c>
      <c r="M277" t="e">
        <f>NA()</f>
        <v>#N/A</v>
      </c>
      <c r="N277" t="e">
        <f>NA()</f>
        <v>#N/A</v>
      </c>
      <c r="O277">
        <f t="shared" si="11"/>
        <v>4.8</v>
      </c>
    </row>
    <row r="278" spans="1:15" x14ac:dyDescent="0.25">
      <c r="A278" s="1">
        <v>45581</v>
      </c>
      <c r="B278" t="e">
        <f>NA()</f>
        <v>#N/A</v>
      </c>
      <c r="C278" t="e">
        <f>NA()</f>
        <v>#N/A</v>
      </c>
      <c r="D278" t="e">
        <f>NA()</f>
        <v>#N/A</v>
      </c>
      <c r="E278" t="e">
        <f>NA()</f>
        <v>#N/A</v>
      </c>
      <c r="F278" t="e">
        <f>NA()</f>
        <v>#N/A</v>
      </c>
      <c r="G278" t="e">
        <f>NA()</f>
        <v>#N/A</v>
      </c>
      <c r="H278" t="e">
        <f>NA()</f>
        <v>#N/A</v>
      </c>
      <c r="I278" t="e">
        <f>NA()</f>
        <v>#N/A</v>
      </c>
      <c r="J278" t="e">
        <f>NA()</f>
        <v>#N/A</v>
      </c>
      <c r="K278" t="e">
        <f>NA()</f>
        <v>#N/A</v>
      </c>
      <c r="L278" t="e">
        <f>NA()</f>
        <v>#N/A</v>
      </c>
      <c r="M278" t="e">
        <f>NA()</f>
        <v>#N/A</v>
      </c>
      <c r="N278" t="e">
        <f>NA()</f>
        <v>#N/A</v>
      </c>
      <c r="O278">
        <f t="shared" si="11"/>
        <v>4.8</v>
      </c>
    </row>
    <row r="279" spans="1:15" x14ac:dyDescent="0.25">
      <c r="A279" s="1">
        <v>45580</v>
      </c>
      <c r="B279" t="e">
        <f>NA()</f>
        <v>#N/A</v>
      </c>
      <c r="C279" t="e">
        <f>NA()</f>
        <v>#N/A</v>
      </c>
      <c r="D279" t="e">
        <f>NA()</f>
        <v>#N/A</v>
      </c>
      <c r="E279" t="e">
        <f>NA()</f>
        <v>#N/A</v>
      </c>
      <c r="F279" t="e">
        <f>NA()</f>
        <v>#N/A</v>
      </c>
      <c r="G279" t="e">
        <f>NA()</f>
        <v>#N/A</v>
      </c>
      <c r="H279" t="e">
        <f>NA()</f>
        <v>#N/A</v>
      </c>
      <c r="I279" t="e">
        <f>NA()</f>
        <v>#N/A</v>
      </c>
      <c r="J279" t="e">
        <f>NA()</f>
        <v>#N/A</v>
      </c>
      <c r="K279" t="e">
        <f>NA()</f>
        <v>#N/A</v>
      </c>
      <c r="L279" t="e">
        <f>NA()</f>
        <v>#N/A</v>
      </c>
      <c r="M279" t="e">
        <f>NA()</f>
        <v>#N/A</v>
      </c>
      <c r="N279" t="e">
        <f>NA()</f>
        <v>#N/A</v>
      </c>
      <c r="O279">
        <f t="shared" si="11"/>
        <v>4.8</v>
      </c>
    </row>
    <row r="280" spans="1:15" x14ac:dyDescent="0.25">
      <c r="A280" s="1">
        <v>45576</v>
      </c>
      <c r="B280">
        <f>-0.6</f>
        <v>-0.6</v>
      </c>
      <c r="C280">
        <f>0</f>
        <v>0</v>
      </c>
      <c r="D280" t="e">
        <f>NA()</f>
        <v>#N/A</v>
      </c>
      <c r="E280" t="e">
        <f>NA()</f>
        <v>#N/A</v>
      </c>
      <c r="F280" t="e">
        <f>NA()</f>
        <v>#N/A</v>
      </c>
      <c r="G280" t="e">
        <f>NA()</f>
        <v>#N/A</v>
      </c>
      <c r="H280" t="e">
        <f>NA()</f>
        <v>#N/A</v>
      </c>
      <c r="I280" t="e">
        <f>NA()</f>
        <v>#N/A</v>
      </c>
      <c r="J280" t="e">
        <f>NA()</f>
        <v>#N/A</v>
      </c>
      <c r="K280" t="e">
        <f>NA()</f>
        <v>#N/A</v>
      </c>
      <c r="L280" t="e">
        <f>NA()</f>
        <v>#N/A</v>
      </c>
      <c r="M280" t="e">
        <f>NA()</f>
        <v>#N/A</v>
      </c>
      <c r="N280" t="e">
        <f>NA()</f>
        <v>#N/A</v>
      </c>
      <c r="O280">
        <f t="shared" si="11"/>
        <v>4.8</v>
      </c>
    </row>
    <row r="281" spans="1:15" x14ac:dyDescent="0.25">
      <c r="A281" s="1">
        <v>45575</v>
      </c>
      <c r="B281" t="e">
        <f>NA()</f>
        <v>#N/A</v>
      </c>
      <c r="C281" t="e">
        <f>NA()</f>
        <v>#N/A</v>
      </c>
      <c r="D281" t="e">
        <f>NA()</f>
        <v>#N/A</v>
      </c>
      <c r="E281" t="e">
        <f>NA()</f>
        <v>#N/A</v>
      </c>
      <c r="F281" t="e">
        <f>NA()</f>
        <v>#N/A</v>
      </c>
      <c r="G281" t="e">
        <f>NA()</f>
        <v>#N/A</v>
      </c>
      <c r="H281" t="e">
        <f>NA()</f>
        <v>#N/A</v>
      </c>
      <c r="I281" t="e">
        <f>NA()</f>
        <v>#N/A</v>
      </c>
      <c r="J281" t="e">
        <f>NA()</f>
        <v>#N/A</v>
      </c>
      <c r="K281" t="e">
        <f>NA()</f>
        <v>#N/A</v>
      </c>
      <c r="L281" t="e">
        <f>NA()</f>
        <v>#N/A</v>
      </c>
      <c r="M281" t="e">
        <f>NA()</f>
        <v>#N/A</v>
      </c>
      <c r="N281" t="e">
        <f>NA()</f>
        <v>#N/A</v>
      </c>
      <c r="O281">
        <f t="shared" si="11"/>
        <v>4.8</v>
      </c>
    </row>
    <row r="282" spans="1:15" x14ac:dyDescent="0.25">
      <c r="A282" s="1">
        <v>45574</v>
      </c>
      <c r="B282" t="e">
        <f>NA()</f>
        <v>#N/A</v>
      </c>
      <c r="C282" t="e">
        <f>NA()</f>
        <v>#N/A</v>
      </c>
      <c r="D282" t="e">
        <f>NA()</f>
        <v>#N/A</v>
      </c>
      <c r="E282" t="e">
        <f>NA()</f>
        <v>#N/A</v>
      </c>
      <c r="F282" t="e">
        <f>NA()</f>
        <v>#N/A</v>
      </c>
      <c r="G282" t="e">
        <f>NA()</f>
        <v>#N/A</v>
      </c>
      <c r="H282" t="e">
        <f>NA()</f>
        <v>#N/A</v>
      </c>
      <c r="I282" t="e">
        <f>NA()</f>
        <v>#N/A</v>
      </c>
      <c r="J282" t="e">
        <f>NA()</f>
        <v>#N/A</v>
      </c>
      <c r="K282" t="e">
        <f>NA()</f>
        <v>#N/A</v>
      </c>
      <c r="L282" t="e">
        <f>NA()</f>
        <v>#N/A</v>
      </c>
      <c r="M282" t="e">
        <f>NA()</f>
        <v>#N/A</v>
      </c>
      <c r="N282" t="e">
        <f>NA()</f>
        <v>#N/A</v>
      </c>
      <c r="O282">
        <f t="shared" si="11"/>
        <v>4.8</v>
      </c>
    </row>
    <row r="283" spans="1:15" x14ac:dyDescent="0.25">
      <c r="A283" s="1">
        <v>45573</v>
      </c>
      <c r="B283" t="e">
        <f>NA()</f>
        <v>#N/A</v>
      </c>
      <c r="C283" t="e">
        <f>NA()</f>
        <v>#N/A</v>
      </c>
      <c r="D283" t="e">
        <f>NA()</f>
        <v>#N/A</v>
      </c>
      <c r="E283" t="e">
        <f>NA()</f>
        <v>#N/A</v>
      </c>
      <c r="F283" t="e">
        <f>NA()</f>
        <v>#N/A</v>
      </c>
      <c r="G283" t="e">
        <f>NA()</f>
        <v>#N/A</v>
      </c>
      <c r="H283" t="e">
        <f>NA()</f>
        <v>#N/A</v>
      </c>
      <c r="I283" t="e">
        <f>NA()</f>
        <v>#N/A</v>
      </c>
      <c r="J283" t="e">
        <f>NA()</f>
        <v>#N/A</v>
      </c>
      <c r="K283" t="e">
        <f>NA()</f>
        <v>#N/A</v>
      </c>
      <c r="L283" t="e">
        <f>NA()</f>
        <v>#N/A</v>
      </c>
      <c r="M283" t="e">
        <f>NA()</f>
        <v>#N/A</v>
      </c>
      <c r="N283" t="e">
        <f>NA()</f>
        <v>#N/A</v>
      </c>
      <c r="O283">
        <f t="shared" si="11"/>
        <v>4.8</v>
      </c>
    </row>
    <row r="284" spans="1:15" x14ac:dyDescent="0.25">
      <c r="A284" s="1">
        <v>45572</v>
      </c>
      <c r="B284" t="e">
        <f>NA()</f>
        <v>#N/A</v>
      </c>
      <c r="C284" t="e">
        <f>NA()</f>
        <v>#N/A</v>
      </c>
      <c r="D284" t="e">
        <f>NA()</f>
        <v>#N/A</v>
      </c>
      <c r="E284" t="e">
        <f>NA()</f>
        <v>#N/A</v>
      </c>
      <c r="F284" t="e">
        <f>NA()</f>
        <v>#N/A</v>
      </c>
      <c r="G284" t="e">
        <f>NA()</f>
        <v>#N/A</v>
      </c>
      <c r="H284" t="e">
        <f>NA()</f>
        <v>#N/A</v>
      </c>
      <c r="I284" t="e">
        <f>NA()</f>
        <v>#N/A</v>
      </c>
      <c r="J284" t="e">
        <f>NA()</f>
        <v>#N/A</v>
      </c>
      <c r="K284" t="e">
        <f>NA()</f>
        <v>#N/A</v>
      </c>
      <c r="L284" t="e">
        <f>NA()</f>
        <v>#N/A</v>
      </c>
      <c r="M284" t="e">
        <f>NA()</f>
        <v>#N/A</v>
      </c>
      <c r="N284" t="e">
        <f>NA()</f>
        <v>#N/A</v>
      </c>
      <c r="O284">
        <f t="shared" si="11"/>
        <v>4.8</v>
      </c>
    </row>
    <row r="285" spans="1:15" x14ac:dyDescent="0.25">
      <c r="A285" s="1">
        <v>45569</v>
      </c>
      <c r="B285">
        <f>-0.6</f>
        <v>-0.6</v>
      </c>
      <c r="C285">
        <f>0</f>
        <v>0</v>
      </c>
      <c r="D285" t="e">
        <f>NA()</f>
        <v>#N/A</v>
      </c>
      <c r="E285" t="e">
        <f>NA()</f>
        <v>#N/A</v>
      </c>
      <c r="F285" t="e">
        <f>NA()</f>
        <v>#N/A</v>
      </c>
      <c r="G285" t="e">
        <f>NA()</f>
        <v>#N/A</v>
      </c>
      <c r="H285" t="e">
        <f>NA()</f>
        <v>#N/A</v>
      </c>
      <c r="I285" t="e">
        <f>NA()</f>
        <v>#N/A</v>
      </c>
      <c r="J285" t="e">
        <f>NA()</f>
        <v>#N/A</v>
      </c>
      <c r="K285" t="e">
        <f>NA()</f>
        <v>#N/A</v>
      </c>
      <c r="L285" t="e">
        <f>NA()</f>
        <v>#N/A</v>
      </c>
      <c r="M285" t="e">
        <f>NA()</f>
        <v>#N/A</v>
      </c>
      <c r="N285" t="e">
        <f>NA()</f>
        <v>#N/A</v>
      </c>
      <c r="O285">
        <f t="shared" si="11"/>
        <v>4.8</v>
      </c>
    </row>
    <row r="286" spans="1:15" x14ac:dyDescent="0.25">
      <c r="A286" s="1">
        <v>45568</v>
      </c>
      <c r="B286" t="e">
        <f>NA()</f>
        <v>#N/A</v>
      </c>
      <c r="C286" t="e">
        <f>NA()</f>
        <v>#N/A</v>
      </c>
      <c r="D286" t="e">
        <f>NA()</f>
        <v>#N/A</v>
      </c>
      <c r="E286" t="e">
        <f>NA()</f>
        <v>#N/A</v>
      </c>
      <c r="F286" t="e">
        <f>NA()</f>
        <v>#N/A</v>
      </c>
      <c r="G286" t="e">
        <f>NA()</f>
        <v>#N/A</v>
      </c>
      <c r="H286" t="e">
        <f>NA()</f>
        <v>#N/A</v>
      </c>
      <c r="I286" t="e">
        <f>NA()</f>
        <v>#N/A</v>
      </c>
      <c r="J286" t="e">
        <f>NA()</f>
        <v>#N/A</v>
      </c>
      <c r="K286" t="e">
        <f>NA()</f>
        <v>#N/A</v>
      </c>
      <c r="L286" t="e">
        <f>NA()</f>
        <v>#N/A</v>
      </c>
      <c r="M286" t="e">
        <f>NA()</f>
        <v>#N/A</v>
      </c>
      <c r="N286" t="e">
        <f>NA()</f>
        <v>#N/A</v>
      </c>
      <c r="O286">
        <f t="shared" si="11"/>
        <v>4.8</v>
      </c>
    </row>
    <row r="287" spans="1:15" x14ac:dyDescent="0.25">
      <c r="A287" s="1">
        <v>45567</v>
      </c>
      <c r="B287" t="e">
        <f>NA()</f>
        <v>#N/A</v>
      </c>
      <c r="C287" t="e">
        <f>NA()</f>
        <v>#N/A</v>
      </c>
      <c r="D287" t="e">
        <f>NA()</f>
        <v>#N/A</v>
      </c>
      <c r="E287" t="e">
        <f>NA()</f>
        <v>#N/A</v>
      </c>
      <c r="F287" t="e">
        <f>NA()</f>
        <v>#N/A</v>
      </c>
      <c r="G287" t="e">
        <f>NA()</f>
        <v>#N/A</v>
      </c>
      <c r="H287" t="e">
        <f>NA()</f>
        <v>#N/A</v>
      </c>
      <c r="I287" t="e">
        <f>NA()</f>
        <v>#N/A</v>
      </c>
      <c r="J287" t="e">
        <f>NA()</f>
        <v>#N/A</v>
      </c>
      <c r="K287" t="e">
        <f>NA()</f>
        <v>#N/A</v>
      </c>
      <c r="L287" t="e">
        <f>NA()</f>
        <v>#N/A</v>
      </c>
      <c r="M287" t="e">
        <f>NA()</f>
        <v>#N/A</v>
      </c>
      <c r="N287" t="e">
        <f>NA()</f>
        <v>#N/A</v>
      </c>
      <c r="O287">
        <f t="shared" si="11"/>
        <v>4.8</v>
      </c>
    </row>
    <row r="288" spans="1:15" x14ac:dyDescent="0.25">
      <c r="A288" s="1">
        <v>45566</v>
      </c>
      <c r="B288" t="e">
        <f>NA()</f>
        <v>#N/A</v>
      </c>
      <c r="C288" t="e">
        <f>NA()</f>
        <v>#N/A</v>
      </c>
      <c r="D288" t="e">
        <f>NA()</f>
        <v>#N/A</v>
      </c>
      <c r="E288" t="e">
        <f>NA()</f>
        <v>#N/A</v>
      </c>
      <c r="F288" t="e">
        <f>NA()</f>
        <v>#N/A</v>
      </c>
      <c r="G288" t="e">
        <f>NA()</f>
        <v>#N/A</v>
      </c>
      <c r="H288" t="e">
        <f>NA()</f>
        <v>#N/A</v>
      </c>
      <c r="I288" t="e">
        <f>NA()</f>
        <v>#N/A</v>
      </c>
      <c r="J288" t="e">
        <f>NA()</f>
        <v>#N/A</v>
      </c>
      <c r="K288" t="e">
        <f>NA()</f>
        <v>#N/A</v>
      </c>
      <c r="L288" t="e">
        <f>NA()</f>
        <v>#N/A</v>
      </c>
      <c r="M288" t="e">
        <f>NA()</f>
        <v>#N/A</v>
      </c>
      <c r="N288" t="e">
        <f>NA()</f>
        <v>#N/A</v>
      </c>
      <c r="O288">
        <f t="shared" si="11"/>
        <v>4.8</v>
      </c>
    </row>
    <row r="289" spans="1:15" x14ac:dyDescent="0.25">
      <c r="A289" s="1">
        <v>45565</v>
      </c>
      <c r="B289" t="e">
        <f>NA()</f>
        <v>#N/A</v>
      </c>
      <c r="C289" t="e">
        <f>NA()</f>
        <v>#N/A</v>
      </c>
      <c r="D289">
        <f>0.3</f>
        <v>0.3</v>
      </c>
      <c r="E289">
        <f>1.4</f>
        <v>1.4</v>
      </c>
      <c r="F289">
        <f>7103</f>
        <v>7103</v>
      </c>
      <c r="G289">
        <f>62.7</f>
        <v>62.7</v>
      </c>
      <c r="H289">
        <f>5.8</f>
        <v>5.8</v>
      </c>
      <c r="I289">
        <f>315.3</f>
        <v>315.3</v>
      </c>
      <c r="J289">
        <f>2.4</f>
        <v>2.4</v>
      </c>
      <c r="K289">
        <f>47.5</f>
        <v>47.5</v>
      </c>
      <c r="L289">
        <f>-0.4</f>
        <v>-0.4</v>
      </c>
      <c r="M289">
        <f>3.3</f>
        <v>3.3</v>
      </c>
      <c r="N289">
        <f>4.1</f>
        <v>4.0999999999999996</v>
      </c>
      <c r="O289">
        <f t="shared" si="11"/>
        <v>4.8</v>
      </c>
    </row>
    <row r="290" spans="1:15" x14ac:dyDescent="0.25">
      <c r="A290" s="1">
        <v>45562</v>
      </c>
      <c r="B290">
        <f>-0.3</f>
        <v>-0.3</v>
      </c>
      <c r="C290">
        <f>0</f>
        <v>0</v>
      </c>
      <c r="D290" t="e">
        <f>NA()</f>
        <v>#N/A</v>
      </c>
      <c r="E290" t="e">
        <f>NA()</f>
        <v>#N/A</v>
      </c>
      <c r="F290" t="e">
        <f>NA()</f>
        <v>#N/A</v>
      </c>
      <c r="G290" t="e">
        <f>NA()</f>
        <v>#N/A</v>
      </c>
      <c r="H290" t="e">
        <f>NA()</f>
        <v>#N/A</v>
      </c>
      <c r="I290" t="e">
        <f>NA()</f>
        <v>#N/A</v>
      </c>
      <c r="J290" t="e">
        <f>NA()</f>
        <v>#N/A</v>
      </c>
      <c r="K290" t="e">
        <f>NA()</f>
        <v>#N/A</v>
      </c>
      <c r="L290" t="e">
        <f>NA()</f>
        <v>#N/A</v>
      </c>
      <c r="M290" t="e">
        <f>NA()</f>
        <v>#N/A</v>
      </c>
      <c r="N290" t="e">
        <f>NA()</f>
        <v>#N/A</v>
      </c>
      <c r="O290">
        <f t="shared" si="11"/>
        <v>4.8</v>
      </c>
    </row>
    <row r="291" spans="1:15" x14ac:dyDescent="0.25">
      <c r="A291" s="1">
        <v>45561</v>
      </c>
      <c r="B291" t="e">
        <f>NA()</f>
        <v>#N/A</v>
      </c>
      <c r="C291" t="e">
        <f>NA()</f>
        <v>#N/A</v>
      </c>
      <c r="D291" t="e">
        <f>NA()</f>
        <v>#N/A</v>
      </c>
      <c r="E291" t="e">
        <f>NA()</f>
        <v>#N/A</v>
      </c>
      <c r="F291" t="e">
        <f>NA()</f>
        <v>#N/A</v>
      </c>
      <c r="G291" t="e">
        <f>NA()</f>
        <v>#N/A</v>
      </c>
      <c r="H291" t="e">
        <f>NA()</f>
        <v>#N/A</v>
      </c>
      <c r="I291" t="e">
        <f>NA()</f>
        <v>#N/A</v>
      </c>
      <c r="J291" t="e">
        <f>NA()</f>
        <v>#N/A</v>
      </c>
      <c r="K291" t="e">
        <f>NA()</f>
        <v>#N/A</v>
      </c>
      <c r="L291" t="e">
        <f>NA()</f>
        <v>#N/A</v>
      </c>
      <c r="M291" t="e">
        <f>NA()</f>
        <v>#N/A</v>
      </c>
      <c r="N291" t="e">
        <f>NA()</f>
        <v>#N/A</v>
      </c>
      <c r="O291">
        <f t="shared" si="11"/>
        <v>4.8</v>
      </c>
    </row>
    <row r="292" spans="1:15" x14ac:dyDescent="0.25">
      <c r="A292" s="1">
        <v>45560</v>
      </c>
      <c r="B292" t="e">
        <f>NA()</f>
        <v>#N/A</v>
      </c>
      <c r="C292" t="e">
        <f>NA()</f>
        <v>#N/A</v>
      </c>
      <c r="D292" t="e">
        <f>NA()</f>
        <v>#N/A</v>
      </c>
      <c r="E292" t="e">
        <f>NA()</f>
        <v>#N/A</v>
      </c>
      <c r="F292" t="e">
        <f>NA()</f>
        <v>#N/A</v>
      </c>
      <c r="G292" t="e">
        <f>NA()</f>
        <v>#N/A</v>
      </c>
      <c r="H292" t="e">
        <f>NA()</f>
        <v>#N/A</v>
      </c>
      <c r="I292" t="e">
        <f>NA()</f>
        <v>#N/A</v>
      </c>
      <c r="J292" t="e">
        <f>NA()</f>
        <v>#N/A</v>
      </c>
      <c r="K292" t="e">
        <f>NA()</f>
        <v>#N/A</v>
      </c>
      <c r="L292" t="e">
        <f>NA()</f>
        <v>#N/A</v>
      </c>
      <c r="M292" t="e">
        <f>NA()</f>
        <v>#N/A</v>
      </c>
      <c r="N292" t="e">
        <f>NA()</f>
        <v>#N/A</v>
      </c>
      <c r="O292">
        <f t="shared" si="11"/>
        <v>4.8</v>
      </c>
    </row>
    <row r="293" spans="1:15" x14ac:dyDescent="0.25">
      <c r="A293" s="1">
        <v>45559</v>
      </c>
      <c r="B293" t="e">
        <f>NA()</f>
        <v>#N/A</v>
      </c>
      <c r="C293" t="e">
        <f>NA()</f>
        <v>#N/A</v>
      </c>
      <c r="D293" t="e">
        <f>NA()</f>
        <v>#N/A</v>
      </c>
      <c r="E293" t="e">
        <f>NA()</f>
        <v>#N/A</v>
      </c>
      <c r="F293" t="e">
        <f>NA()</f>
        <v>#N/A</v>
      </c>
      <c r="G293" t="e">
        <f>NA()</f>
        <v>#N/A</v>
      </c>
      <c r="H293" t="e">
        <f>NA()</f>
        <v>#N/A</v>
      </c>
      <c r="I293" t="e">
        <f>NA()</f>
        <v>#N/A</v>
      </c>
      <c r="J293" t="e">
        <f>NA()</f>
        <v>#N/A</v>
      </c>
      <c r="K293" t="e">
        <f>NA()</f>
        <v>#N/A</v>
      </c>
      <c r="L293" t="e">
        <f>NA()</f>
        <v>#N/A</v>
      </c>
      <c r="M293" t="e">
        <f>NA()</f>
        <v>#N/A</v>
      </c>
      <c r="N293" t="e">
        <f>NA()</f>
        <v>#N/A</v>
      </c>
      <c r="O293">
        <f t="shared" si="11"/>
        <v>4.8</v>
      </c>
    </row>
    <row r="294" spans="1:15" x14ac:dyDescent="0.25">
      <c r="A294" s="1">
        <v>45558</v>
      </c>
      <c r="B294" t="e">
        <f>NA()</f>
        <v>#N/A</v>
      </c>
      <c r="C294" t="e">
        <f>NA()</f>
        <v>#N/A</v>
      </c>
      <c r="D294" t="e">
        <f>NA()</f>
        <v>#N/A</v>
      </c>
      <c r="E294" t="e">
        <f>NA()</f>
        <v>#N/A</v>
      </c>
      <c r="F294" t="e">
        <f>NA()</f>
        <v>#N/A</v>
      </c>
      <c r="G294" t="e">
        <f>NA()</f>
        <v>#N/A</v>
      </c>
      <c r="H294" t="e">
        <f>NA()</f>
        <v>#N/A</v>
      </c>
      <c r="I294" t="e">
        <f>NA()</f>
        <v>#N/A</v>
      </c>
      <c r="J294" t="e">
        <f>NA()</f>
        <v>#N/A</v>
      </c>
      <c r="K294" t="e">
        <f>NA()</f>
        <v>#N/A</v>
      </c>
      <c r="L294" t="e">
        <f>NA()</f>
        <v>#N/A</v>
      </c>
      <c r="M294" t="e">
        <f>NA()</f>
        <v>#N/A</v>
      </c>
      <c r="N294" t="e">
        <f>NA()</f>
        <v>#N/A</v>
      </c>
      <c r="O294">
        <f t="shared" si="11"/>
        <v>4.8</v>
      </c>
    </row>
    <row r="295" spans="1:15" x14ac:dyDescent="0.25">
      <c r="A295" s="1">
        <v>45555</v>
      </c>
      <c r="B295">
        <f>-0.4</f>
        <v>-0.4</v>
      </c>
      <c r="C295">
        <f>0</f>
        <v>0</v>
      </c>
      <c r="D295" t="e">
        <f>NA()</f>
        <v>#N/A</v>
      </c>
      <c r="E295" t="e">
        <f>NA()</f>
        <v>#N/A</v>
      </c>
      <c r="F295" t="e">
        <f>NA()</f>
        <v>#N/A</v>
      </c>
      <c r="G295" t="e">
        <f>NA()</f>
        <v>#N/A</v>
      </c>
      <c r="H295" t="e">
        <f>NA()</f>
        <v>#N/A</v>
      </c>
      <c r="I295" t="e">
        <f>NA()</f>
        <v>#N/A</v>
      </c>
      <c r="J295" t="e">
        <f>NA()</f>
        <v>#N/A</v>
      </c>
      <c r="K295" t="e">
        <f>NA()</f>
        <v>#N/A</v>
      </c>
      <c r="L295" t="e">
        <f>NA()</f>
        <v>#N/A</v>
      </c>
      <c r="M295" t="e">
        <f>NA()</f>
        <v>#N/A</v>
      </c>
      <c r="N295" t="e">
        <f>NA()</f>
        <v>#N/A</v>
      </c>
      <c r="O295">
        <f t="shared" si="11"/>
        <v>4.8</v>
      </c>
    </row>
    <row r="296" spans="1:15" x14ac:dyDescent="0.25">
      <c r="A296" s="1">
        <v>45554</v>
      </c>
      <c r="B296" t="e">
        <f>NA()</f>
        <v>#N/A</v>
      </c>
      <c r="C296" t="e">
        <f>NA()</f>
        <v>#N/A</v>
      </c>
      <c r="D296" t="e">
        <f>NA()</f>
        <v>#N/A</v>
      </c>
      <c r="E296" t="e">
        <f>NA()</f>
        <v>#N/A</v>
      </c>
      <c r="F296" t="e">
        <f>NA()</f>
        <v>#N/A</v>
      </c>
      <c r="G296" t="e">
        <f>NA()</f>
        <v>#N/A</v>
      </c>
      <c r="H296" t="e">
        <f>NA()</f>
        <v>#N/A</v>
      </c>
      <c r="I296" t="e">
        <f>NA()</f>
        <v>#N/A</v>
      </c>
      <c r="J296" t="e">
        <f>NA()</f>
        <v>#N/A</v>
      </c>
      <c r="K296" t="e">
        <f>NA()</f>
        <v>#N/A</v>
      </c>
      <c r="L296" t="e">
        <f>NA()</f>
        <v>#N/A</v>
      </c>
      <c r="M296" t="e">
        <f>NA()</f>
        <v>#N/A</v>
      </c>
      <c r="N296" t="e">
        <f>NA()</f>
        <v>#N/A</v>
      </c>
      <c r="O296">
        <f t="shared" si="11"/>
        <v>4.8</v>
      </c>
    </row>
    <row r="297" spans="1:15" x14ac:dyDescent="0.25">
      <c r="A297" s="1">
        <v>45553</v>
      </c>
      <c r="B297" t="e">
        <f>NA()</f>
        <v>#N/A</v>
      </c>
      <c r="C297" t="e">
        <f>NA()</f>
        <v>#N/A</v>
      </c>
      <c r="D297" t="e">
        <f>NA()</f>
        <v>#N/A</v>
      </c>
      <c r="E297" t="e">
        <f>NA()</f>
        <v>#N/A</v>
      </c>
      <c r="F297" t="e">
        <f>NA()</f>
        <v>#N/A</v>
      </c>
      <c r="G297" t="e">
        <f>NA()</f>
        <v>#N/A</v>
      </c>
      <c r="H297" t="e">
        <f>NA()</f>
        <v>#N/A</v>
      </c>
      <c r="I297" t="e">
        <f>NA()</f>
        <v>#N/A</v>
      </c>
      <c r="J297" t="e">
        <f>NA()</f>
        <v>#N/A</v>
      </c>
      <c r="K297" t="e">
        <f>NA()</f>
        <v>#N/A</v>
      </c>
      <c r="L297" t="e">
        <f>NA()</f>
        <v>#N/A</v>
      </c>
      <c r="M297" t="e">
        <f>NA()</f>
        <v>#N/A</v>
      </c>
      <c r="N297" t="e">
        <f>NA()</f>
        <v>#N/A</v>
      </c>
      <c r="O297">
        <f t="shared" ref="O297:O308" si="12">5.3</f>
        <v>5.3</v>
      </c>
    </row>
    <row r="298" spans="1:15" x14ac:dyDescent="0.25">
      <c r="A298" s="1">
        <v>45552</v>
      </c>
      <c r="B298" t="e">
        <f>NA()</f>
        <v>#N/A</v>
      </c>
      <c r="C298" t="e">
        <f>NA()</f>
        <v>#N/A</v>
      </c>
      <c r="D298" t="e">
        <f>NA()</f>
        <v>#N/A</v>
      </c>
      <c r="E298" t="e">
        <f>NA()</f>
        <v>#N/A</v>
      </c>
      <c r="F298" t="e">
        <f>NA()</f>
        <v>#N/A</v>
      </c>
      <c r="G298" t="e">
        <f>NA()</f>
        <v>#N/A</v>
      </c>
      <c r="H298" t="e">
        <f>NA()</f>
        <v>#N/A</v>
      </c>
      <c r="I298" t="e">
        <f>NA()</f>
        <v>#N/A</v>
      </c>
      <c r="J298" t="e">
        <f>NA()</f>
        <v>#N/A</v>
      </c>
      <c r="K298" t="e">
        <f>NA()</f>
        <v>#N/A</v>
      </c>
      <c r="L298" t="e">
        <f>NA()</f>
        <v>#N/A</v>
      </c>
      <c r="M298" t="e">
        <f>NA()</f>
        <v>#N/A</v>
      </c>
      <c r="N298" t="e">
        <f>NA()</f>
        <v>#N/A</v>
      </c>
      <c r="O298">
        <f t="shared" si="12"/>
        <v>5.3</v>
      </c>
    </row>
    <row r="299" spans="1:15" x14ac:dyDescent="0.25">
      <c r="A299" s="1">
        <v>45551</v>
      </c>
      <c r="B299" t="e">
        <f>NA()</f>
        <v>#N/A</v>
      </c>
      <c r="C299" t="e">
        <f>NA()</f>
        <v>#N/A</v>
      </c>
      <c r="D299" t="e">
        <f>NA()</f>
        <v>#N/A</v>
      </c>
      <c r="E299" t="e">
        <f>NA()</f>
        <v>#N/A</v>
      </c>
      <c r="F299" t="e">
        <f>NA()</f>
        <v>#N/A</v>
      </c>
      <c r="G299" t="e">
        <f>NA()</f>
        <v>#N/A</v>
      </c>
      <c r="H299" t="e">
        <f>NA()</f>
        <v>#N/A</v>
      </c>
      <c r="I299" t="e">
        <f>NA()</f>
        <v>#N/A</v>
      </c>
      <c r="J299" t="e">
        <f>NA()</f>
        <v>#N/A</v>
      </c>
      <c r="K299" t="e">
        <f>NA()</f>
        <v>#N/A</v>
      </c>
      <c r="L299" t="e">
        <f>NA()</f>
        <v>#N/A</v>
      </c>
      <c r="M299" t="e">
        <f>NA()</f>
        <v>#N/A</v>
      </c>
      <c r="N299" t="e">
        <f>NA()</f>
        <v>#N/A</v>
      </c>
      <c r="O299">
        <f t="shared" si="12"/>
        <v>5.3</v>
      </c>
    </row>
    <row r="300" spans="1:15" x14ac:dyDescent="0.25">
      <c r="A300" s="1">
        <v>45548</v>
      </c>
      <c r="B300">
        <f>-0.3</f>
        <v>-0.3</v>
      </c>
      <c r="C300">
        <f>0</f>
        <v>0</v>
      </c>
      <c r="D300" t="e">
        <f>NA()</f>
        <v>#N/A</v>
      </c>
      <c r="E300" t="e">
        <f>NA()</f>
        <v>#N/A</v>
      </c>
      <c r="F300" t="e">
        <f>NA()</f>
        <v>#N/A</v>
      </c>
      <c r="G300" t="e">
        <f>NA()</f>
        <v>#N/A</v>
      </c>
      <c r="H300" t="e">
        <f>NA()</f>
        <v>#N/A</v>
      </c>
      <c r="I300" t="e">
        <f>NA()</f>
        <v>#N/A</v>
      </c>
      <c r="J300" t="e">
        <f>NA()</f>
        <v>#N/A</v>
      </c>
      <c r="K300" t="e">
        <f>NA()</f>
        <v>#N/A</v>
      </c>
      <c r="L300" t="e">
        <f>NA()</f>
        <v>#N/A</v>
      </c>
      <c r="M300" t="e">
        <f>NA()</f>
        <v>#N/A</v>
      </c>
      <c r="N300" t="e">
        <f>NA()</f>
        <v>#N/A</v>
      </c>
      <c r="O300">
        <f t="shared" si="12"/>
        <v>5.3</v>
      </c>
    </row>
    <row r="301" spans="1:15" x14ac:dyDescent="0.25">
      <c r="A301" s="1">
        <v>45547</v>
      </c>
      <c r="B301" t="e">
        <f>NA()</f>
        <v>#N/A</v>
      </c>
      <c r="C301" t="e">
        <f>NA()</f>
        <v>#N/A</v>
      </c>
      <c r="D301" t="e">
        <f>NA()</f>
        <v>#N/A</v>
      </c>
      <c r="E301" t="e">
        <f>NA()</f>
        <v>#N/A</v>
      </c>
      <c r="F301" t="e">
        <f>NA()</f>
        <v>#N/A</v>
      </c>
      <c r="G301" t="e">
        <f>NA()</f>
        <v>#N/A</v>
      </c>
      <c r="H301" t="e">
        <f>NA()</f>
        <v>#N/A</v>
      </c>
      <c r="I301" t="e">
        <f>NA()</f>
        <v>#N/A</v>
      </c>
      <c r="J301" t="e">
        <f>NA()</f>
        <v>#N/A</v>
      </c>
      <c r="K301" t="e">
        <f>NA()</f>
        <v>#N/A</v>
      </c>
      <c r="L301" t="e">
        <f>NA()</f>
        <v>#N/A</v>
      </c>
      <c r="M301" t="e">
        <f>NA()</f>
        <v>#N/A</v>
      </c>
      <c r="N301" t="e">
        <f>NA()</f>
        <v>#N/A</v>
      </c>
      <c r="O301">
        <f t="shared" si="12"/>
        <v>5.3</v>
      </c>
    </row>
    <row r="302" spans="1:15" x14ac:dyDescent="0.25">
      <c r="A302" s="1">
        <v>45546</v>
      </c>
      <c r="B302" t="e">
        <f>NA()</f>
        <v>#N/A</v>
      </c>
      <c r="C302" t="e">
        <f>NA()</f>
        <v>#N/A</v>
      </c>
      <c r="D302" t="e">
        <f>NA()</f>
        <v>#N/A</v>
      </c>
      <c r="E302" t="e">
        <f>NA()</f>
        <v>#N/A</v>
      </c>
      <c r="F302" t="e">
        <f>NA()</f>
        <v>#N/A</v>
      </c>
      <c r="G302" t="e">
        <f>NA()</f>
        <v>#N/A</v>
      </c>
      <c r="H302" t="e">
        <f>NA()</f>
        <v>#N/A</v>
      </c>
      <c r="I302" t="e">
        <f>NA()</f>
        <v>#N/A</v>
      </c>
      <c r="J302" t="e">
        <f>NA()</f>
        <v>#N/A</v>
      </c>
      <c r="K302" t="e">
        <f>NA()</f>
        <v>#N/A</v>
      </c>
      <c r="L302" t="e">
        <f>NA()</f>
        <v>#N/A</v>
      </c>
      <c r="M302" t="e">
        <f>NA()</f>
        <v>#N/A</v>
      </c>
      <c r="N302" t="e">
        <f>NA()</f>
        <v>#N/A</v>
      </c>
      <c r="O302">
        <f t="shared" si="12"/>
        <v>5.3</v>
      </c>
    </row>
    <row r="303" spans="1:15" x14ac:dyDescent="0.25">
      <c r="A303" s="1">
        <v>45545</v>
      </c>
      <c r="B303" t="e">
        <f>NA()</f>
        <v>#N/A</v>
      </c>
      <c r="C303" t="e">
        <f>NA()</f>
        <v>#N/A</v>
      </c>
      <c r="D303" t="e">
        <f>NA()</f>
        <v>#N/A</v>
      </c>
      <c r="E303" t="e">
        <f>NA()</f>
        <v>#N/A</v>
      </c>
      <c r="F303" t="e">
        <f>NA()</f>
        <v>#N/A</v>
      </c>
      <c r="G303" t="e">
        <f>NA()</f>
        <v>#N/A</v>
      </c>
      <c r="H303" t="e">
        <f>NA()</f>
        <v>#N/A</v>
      </c>
      <c r="I303" t="e">
        <f>NA()</f>
        <v>#N/A</v>
      </c>
      <c r="J303" t="e">
        <f>NA()</f>
        <v>#N/A</v>
      </c>
      <c r="K303" t="e">
        <f>NA()</f>
        <v>#N/A</v>
      </c>
      <c r="L303" t="e">
        <f>NA()</f>
        <v>#N/A</v>
      </c>
      <c r="M303" t="e">
        <f>NA()</f>
        <v>#N/A</v>
      </c>
      <c r="N303" t="e">
        <f>NA()</f>
        <v>#N/A</v>
      </c>
      <c r="O303">
        <f t="shared" si="12"/>
        <v>5.3</v>
      </c>
    </row>
    <row r="304" spans="1:15" x14ac:dyDescent="0.25">
      <c r="A304" s="1">
        <v>45544</v>
      </c>
      <c r="B304" t="e">
        <f>NA()</f>
        <v>#N/A</v>
      </c>
      <c r="C304" t="e">
        <f>NA()</f>
        <v>#N/A</v>
      </c>
      <c r="D304" t="e">
        <f>NA()</f>
        <v>#N/A</v>
      </c>
      <c r="E304" t="e">
        <f>NA()</f>
        <v>#N/A</v>
      </c>
      <c r="F304" t="e">
        <f>NA()</f>
        <v>#N/A</v>
      </c>
      <c r="G304" t="e">
        <f>NA()</f>
        <v>#N/A</v>
      </c>
      <c r="H304" t="e">
        <f>NA()</f>
        <v>#N/A</v>
      </c>
      <c r="I304" t="e">
        <f>NA()</f>
        <v>#N/A</v>
      </c>
      <c r="J304" t="e">
        <f>NA()</f>
        <v>#N/A</v>
      </c>
      <c r="K304" t="e">
        <f>NA()</f>
        <v>#N/A</v>
      </c>
      <c r="L304" t="e">
        <f>NA()</f>
        <v>#N/A</v>
      </c>
      <c r="M304" t="e">
        <f>NA()</f>
        <v>#N/A</v>
      </c>
      <c r="N304" t="e">
        <f>NA()</f>
        <v>#N/A</v>
      </c>
      <c r="O304">
        <f t="shared" si="12"/>
        <v>5.3</v>
      </c>
    </row>
    <row r="305" spans="1:15" x14ac:dyDescent="0.25">
      <c r="A305" s="1">
        <v>45541</v>
      </c>
      <c r="B305">
        <f>-0.4</f>
        <v>-0.4</v>
      </c>
      <c r="C305">
        <f>0</f>
        <v>0</v>
      </c>
      <c r="D305" t="e">
        <f>NA()</f>
        <v>#N/A</v>
      </c>
      <c r="E305" t="e">
        <f>NA()</f>
        <v>#N/A</v>
      </c>
      <c r="F305" t="e">
        <f>NA()</f>
        <v>#N/A</v>
      </c>
      <c r="G305" t="e">
        <f>NA()</f>
        <v>#N/A</v>
      </c>
      <c r="H305" t="e">
        <f>NA()</f>
        <v>#N/A</v>
      </c>
      <c r="I305" t="e">
        <f>NA()</f>
        <v>#N/A</v>
      </c>
      <c r="J305" t="e">
        <f>NA()</f>
        <v>#N/A</v>
      </c>
      <c r="K305" t="e">
        <f>NA()</f>
        <v>#N/A</v>
      </c>
      <c r="L305" t="e">
        <f>NA()</f>
        <v>#N/A</v>
      </c>
      <c r="M305" t="e">
        <f>NA()</f>
        <v>#N/A</v>
      </c>
      <c r="N305" t="e">
        <f>NA()</f>
        <v>#N/A</v>
      </c>
      <c r="O305">
        <f t="shared" si="12"/>
        <v>5.3</v>
      </c>
    </row>
    <row r="306" spans="1:15" x14ac:dyDescent="0.25">
      <c r="A306" s="1">
        <v>45540</v>
      </c>
      <c r="B306" t="e">
        <f>NA()</f>
        <v>#N/A</v>
      </c>
      <c r="C306" t="e">
        <f>NA()</f>
        <v>#N/A</v>
      </c>
      <c r="D306" t="e">
        <f>NA()</f>
        <v>#N/A</v>
      </c>
      <c r="E306" t="e">
        <f>NA()</f>
        <v>#N/A</v>
      </c>
      <c r="F306" t="e">
        <f>NA()</f>
        <v>#N/A</v>
      </c>
      <c r="G306" t="e">
        <f>NA()</f>
        <v>#N/A</v>
      </c>
      <c r="H306" t="e">
        <f>NA()</f>
        <v>#N/A</v>
      </c>
      <c r="I306" t="e">
        <f>NA()</f>
        <v>#N/A</v>
      </c>
      <c r="J306" t="e">
        <f>NA()</f>
        <v>#N/A</v>
      </c>
      <c r="K306" t="e">
        <f>NA()</f>
        <v>#N/A</v>
      </c>
      <c r="L306" t="e">
        <f>NA()</f>
        <v>#N/A</v>
      </c>
      <c r="M306" t="e">
        <f>NA()</f>
        <v>#N/A</v>
      </c>
      <c r="N306" t="e">
        <f>NA()</f>
        <v>#N/A</v>
      </c>
      <c r="O306">
        <f t="shared" si="12"/>
        <v>5.3</v>
      </c>
    </row>
    <row r="307" spans="1:15" x14ac:dyDescent="0.25">
      <c r="A307" s="1">
        <v>45539</v>
      </c>
      <c r="B307" t="e">
        <f>NA()</f>
        <v>#N/A</v>
      </c>
      <c r="C307" t="e">
        <f>NA()</f>
        <v>#N/A</v>
      </c>
      <c r="D307" t="e">
        <f>NA()</f>
        <v>#N/A</v>
      </c>
      <c r="E307" t="e">
        <f>NA()</f>
        <v>#N/A</v>
      </c>
      <c r="F307" t="e">
        <f>NA()</f>
        <v>#N/A</v>
      </c>
      <c r="G307" t="e">
        <f>NA()</f>
        <v>#N/A</v>
      </c>
      <c r="H307" t="e">
        <f>NA()</f>
        <v>#N/A</v>
      </c>
      <c r="I307" t="e">
        <f>NA()</f>
        <v>#N/A</v>
      </c>
      <c r="J307" t="e">
        <f>NA()</f>
        <v>#N/A</v>
      </c>
      <c r="K307" t="e">
        <f>NA()</f>
        <v>#N/A</v>
      </c>
      <c r="L307" t="e">
        <f>NA()</f>
        <v>#N/A</v>
      </c>
      <c r="M307" t="e">
        <f>NA()</f>
        <v>#N/A</v>
      </c>
      <c r="N307" t="e">
        <f>NA()</f>
        <v>#N/A</v>
      </c>
      <c r="O307">
        <f t="shared" si="12"/>
        <v>5.3</v>
      </c>
    </row>
    <row r="308" spans="1:15" x14ac:dyDescent="0.25">
      <c r="A308" s="1">
        <v>45538</v>
      </c>
      <c r="B308" t="e">
        <f>NA()</f>
        <v>#N/A</v>
      </c>
      <c r="C308" t="e">
        <f>NA()</f>
        <v>#N/A</v>
      </c>
      <c r="D308" t="e">
        <f>NA()</f>
        <v>#N/A</v>
      </c>
      <c r="E308" t="e">
        <f>NA()</f>
        <v>#N/A</v>
      </c>
      <c r="F308" t="e">
        <f>NA()</f>
        <v>#N/A</v>
      </c>
      <c r="G308" t="e">
        <f>NA()</f>
        <v>#N/A</v>
      </c>
      <c r="H308" t="e">
        <f>NA()</f>
        <v>#N/A</v>
      </c>
      <c r="I308" t="e">
        <f>NA()</f>
        <v>#N/A</v>
      </c>
      <c r="J308" t="e">
        <f>NA()</f>
        <v>#N/A</v>
      </c>
      <c r="K308" t="e">
        <f>NA()</f>
        <v>#N/A</v>
      </c>
      <c r="L308" t="e">
        <f>NA()</f>
        <v>#N/A</v>
      </c>
      <c r="M308" t="e">
        <f>NA()</f>
        <v>#N/A</v>
      </c>
      <c r="N308" t="e">
        <f>NA()</f>
        <v>#N/A</v>
      </c>
      <c r="O308">
        <f t="shared" si="12"/>
        <v>5.3</v>
      </c>
    </row>
    <row r="309" spans="1:15" x14ac:dyDescent="0.25">
      <c r="A309" s="1">
        <v>45535</v>
      </c>
      <c r="B309" t="e">
        <f>NA()</f>
        <v>#N/A</v>
      </c>
      <c r="C309" t="e">
        <f>NA()</f>
        <v>#N/A</v>
      </c>
      <c r="D309">
        <f>0.5</f>
        <v>0.5</v>
      </c>
      <c r="E309">
        <f>1.4</f>
        <v>1.4</v>
      </c>
      <c r="F309">
        <f>7649</f>
        <v>7649</v>
      </c>
      <c r="G309">
        <f>62.7</f>
        <v>62.7</v>
      </c>
      <c r="H309">
        <f>5.5</f>
        <v>5.5</v>
      </c>
      <c r="I309">
        <f>314.8</f>
        <v>314.8</v>
      </c>
      <c r="J309">
        <f>2.5</f>
        <v>2.5</v>
      </c>
      <c r="K309">
        <f>47.5</f>
        <v>47.5</v>
      </c>
      <c r="L309">
        <f>0.5</f>
        <v>0.5</v>
      </c>
      <c r="M309" t="e">
        <f>NA()</f>
        <v>#N/A</v>
      </c>
      <c r="N309">
        <f>4.2</f>
        <v>4.2</v>
      </c>
      <c r="O309" t="e">
        <f>NA()</f>
        <v>#N/A</v>
      </c>
    </row>
    <row r="310" spans="1:15" x14ac:dyDescent="0.25">
      <c r="A310" s="1">
        <v>45534</v>
      </c>
      <c r="B310">
        <f>-0.6</f>
        <v>-0.6</v>
      </c>
      <c r="C310">
        <f>0</f>
        <v>0</v>
      </c>
      <c r="D310" t="e">
        <f>NA()</f>
        <v>#N/A</v>
      </c>
      <c r="E310" t="e">
        <f>NA()</f>
        <v>#N/A</v>
      </c>
      <c r="F310" t="e">
        <f>NA()</f>
        <v>#N/A</v>
      </c>
      <c r="G310" t="e">
        <f>NA()</f>
        <v>#N/A</v>
      </c>
      <c r="H310" t="e">
        <f>NA()</f>
        <v>#N/A</v>
      </c>
      <c r="I310" t="e">
        <f>NA()</f>
        <v>#N/A</v>
      </c>
      <c r="J310" t="e">
        <f>NA()</f>
        <v>#N/A</v>
      </c>
      <c r="K310" t="e">
        <f>NA()</f>
        <v>#N/A</v>
      </c>
      <c r="L310" t="e">
        <f>NA()</f>
        <v>#N/A</v>
      </c>
      <c r="M310" t="e">
        <f>NA()</f>
        <v>#N/A</v>
      </c>
      <c r="N310" t="e">
        <f>NA()</f>
        <v>#N/A</v>
      </c>
      <c r="O310">
        <f t="shared" ref="O310:O353" si="13">5.3</f>
        <v>5.3</v>
      </c>
    </row>
    <row r="311" spans="1:15" x14ac:dyDescent="0.25">
      <c r="A311" s="1">
        <v>45533</v>
      </c>
      <c r="B311" t="e">
        <f>NA()</f>
        <v>#N/A</v>
      </c>
      <c r="C311" t="e">
        <f>NA()</f>
        <v>#N/A</v>
      </c>
      <c r="D311" t="e">
        <f>NA()</f>
        <v>#N/A</v>
      </c>
      <c r="E311" t="e">
        <f>NA()</f>
        <v>#N/A</v>
      </c>
      <c r="F311" t="e">
        <f>NA()</f>
        <v>#N/A</v>
      </c>
      <c r="G311" t="e">
        <f>NA()</f>
        <v>#N/A</v>
      </c>
      <c r="H311" t="e">
        <f>NA()</f>
        <v>#N/A</v>
      </c>
      <c r="I311" t="e">
        <f>NA()</f>
        <v>#N/A</v>
      </c>
      <c r="J311" t="e">
        <f>NA()</f>
        <v>#N/A</v>
      </c>
      <c r="K311" t="e">
        <f>NA()</f>
        <v>#N/A</v>
      </c>
      <c r="L311" t="e">
        <f>NA()</f>
        <v>#N/A</v>
      </c>
      <c r="M311" t="e">
        <f>NA()</f>
        <v>#N/A</v>
      </c>
      <c r="N311" t="e">
        <f>NA()</f>
        <v>#N/A</v>
      </c>
      <c r="O311">
        <f t="shared" si="13"/>
        <v>5.3</v>
      </c>
    </row>
    <row r="312" spans="1:15" x14ac:dyDescent="0.25">
      <c r="A312" s="1">
        <v>45532</v>
      </c>
      <c r="B312" t="e">
        <f>NA()</f>
        <v>#N/A</v>
      </c>
      <c r="C312" t="e">
        <f>NA()</f>
        <v>#N/A</v>
      </c>
      <c r="D312" t="e">
        <f>NA()</f>
        <v>#N/A</v>
      </c>
      <c r="E312" t="e">
        <f>NA()</f>
        <v>#N/A</v>
      </c>
      <c r="F312" t="e">
        <f>NA()</f>
        <v>#N/A</v>
      </c>
      <c r="G312" t="e">
        <f>NA()</f>
        <v>#N/A</v>
      </c>
      <c r="H312" t="e">
        <f>NA()</f>
        <v>#N/A</v>
      </c>
      <c r="I312" t="e">
        <f>NA()</f>
        <v>#N/A</v>
      </c>
      <c r="J312" t="e">
        <f>NA()</f>
        <v>#N/A</v>
      </c>
      <c r="K312" t="e">
        <f>NA()</f>
        <v>#N/A</v>
      </c>
      <c r="L312" t="e">
        <f>NA()</f>
        <v>#N/A</v>
      </c>
      <c r="M312" t="e">
        <f>NA()</f>
        <v>#N/A</v>
      </c>
      <c r="N312" t="e">
        <f>NA()</f>
        <v>#N/A</v>
      </c>
      <c r="O312">
        <f t="shared" si="13"/>
        <v>5.3</v>
      </c>
    </row>
    <row r="313" spans="1:15" x14ac:dyDescent="0.25">
      <c r="A313" s="1">
        <v>45531</v>
      </c>
      <c r="B313" t="e">
        <f>NA()</f>
        <v>#N/A</v>
      </c>
      <c r="C313" t="e">
        <f>NA()</f>
        <v>#N/A</v>
      </c>
      <c r="D313" t="e">
        <f>NA()</f>
        <v>#N/A</v>
      </c>
      <c r="E313" t="e">
        <f>NA()</f>
        <v>#N/A</v>
      </c>
      <c r="F313" t="e">
        <f>NA()</f>
        <v>#N/A</v>
      </c>
      <c r="G313" t="e">
        <f>NA()</f>
        <v>#N/A</v>
      </c>
      <c r="H313" t="e">
        <f>NA()</f>
        <v>#N/A</v>
      </c>
      <c r="I313" t="e">
        <f>NA()</f>
        <v>#N/A</v>
      </c>
      <c r="J313" t="e">
        <f>NA()</f>
        <v>#N/A</v>
      </c>
      <c r="K313" t="e">
        <f>NA()</f>
        <v>#N/A</v>
      </c>
      <c r="L313" t="e">
        <f>NA()</f>
        <v>#N/A</v>
      </c>
      <c r="M313" t="e">
        <f>NA()</f>
        <v>#N/A</v>
      </c>
      <c r="N313" t="e">
        <f>NA()</f>
        <v>#N/A</v>
      </c>
      <c r="O313">
        <f t="shared" si="13"/>
        <v>5.3</v>
      </c>
    </row>
    <row r="314" spans="1:15" x14ac:dyDescent="0.25">
      <c r="A314" s="1">
        <v>45530</v>
      </c>
      <c r="B314" t="e">
        <f>NA()</f>
        <v>#N/A</v>
      </c>
      <c r="C314" t="e">
        <f>NA()</f>
        <v>#N/A</v>
      </c>
      <c r="D314" t="e">
        <f>NA()</f>
        <v>#N/A</v>
      </c>
      <c r="E314" t="e">
        <f>NA()</f>
        <v>#N/A</v>
      </c>
      <c r="F314" t="e">
        <f>NA()</f>
        <v>#N/A</v>
      </c>
      <c r="G314" t="e">
        <f>NA()</f>
        <v>#N/A</v>
      </c>
      <c r="H314" t="e">
        <f>NA()</f>
        <v>#N/A</v>
      </c>
      <c r="I314" t="e">
        <f>NA()</f>
        <v>#N/A</v>
      </c>
      <c r="J314" t="e">
        <f>NA()</f>
        <v>#N/A</v>
      </c>
      <c r="K314" t="e">
        <f>NA()</f>
        <v>#N/A</v>
      </c>
      <c r="L314" t="e">
        <f>NA()</f>
        <v>#N/A</v>
      </c>
      <c r="M314" t="e">
        <f>NA()</f>
        <v>#N/A</v>
      </c>
      <c r="N314" t="e">
        <f>NA()</f>
        <v>#N/A</v>
      </c>
      <c r="O314">
        <f t="shared" si="13"/>
        <v>5.3</v>
      </c>
    </row>
    <row r="315" spans="1:15" x14ac:dyDescent="0.25">
      <c r="A315" s="1">
        <v>45527</v>
      </c>
      <c r="B315">
        <f>-0.6</f>
        <v>-0.6</v>
      </c>
      <c r="C315">
        <f>0</f>
        <v>0</v>
      </c>
      <c r="D315" t="e">
        <f>NA()</f>
        <v>#N/A</v>
      </c>
      <c r="E315" t="e">
        <f>NA()</f>
        <v>#N/A</v>
      </c>
      <c r="F315" t="e">
        <f>NA()</f>
        <v>#N/A</v>
      </c>
      <c r="G315" t="e">
        <f>NA()</f>
        <v>#N/A</v>
      </c>
      <c r="H315" t="e">
        <f>NA()</f>
        <v>#N/A</v>
      </c>
      <c r="I315" t="e">
        <f>NA()</f>
        <v>#N/A</v>
      </c>
      <c r="J315" t="e">
        <f>NA()</f>
        <v>#N/A</v>
      </c>
      <c r="K315" t="e">
        <f>NA()</f>
        <v>#N/A</v>
      </c>
      <c r="L315" t="e">
        <f>NA()</f>
        <v>#N/A</v>
      </c>
      <c r="M315" t="e">
        <f>NA()</f>
        <v>#N/A</v>
      </c>
      <c r="N315" t="e">
        <f>NA()</f>
        <v>#N/A</v>
      </c>
      <c r="O315">
        <f t="shared" si="13"/>
        <v>5.3</v>
      </c>
    </row>
    <row r="316" spans="1:15" x14ac:dyDescent="0.25">
      <c r="A316" s="1">
        <v>45526</v>
      </c>
      <c r="B316" t="e">
        <f>NA()</f>
        <v>#N/A</v>
      </c>
      <c r="C316" t="e">
        <f>NA()</f>
        <v>#N/A</v>
      </c>
      <c r="D316" t="e">
        <f>NA()</f>
        <v>#N/A</v>
      </c>
      <c r="E316" t="e">
        <f>NA()</f>
        <v>#N/A</v>
      </c>
      <c r="F316" t="e">
        <f>NA()</f>
        <v>#N/A</v>
      </c>
      <c r="G316" t="e">
        <f>NA()</f>
        <v>#N/A</v>
      </c>
      <c r="H316" t="e">
        <f>NA()</f>
        <v>#N/A</v>
      </c>
      <c r="I316" t="e">
        <f>NA()</f>
        <v>#N/A</v>
      </c>
      <c r="J316" t="e">
        <f>NA()</f>
        <v>#N/A</v>
      </c>
      <c r="K316" t="e">
        <f>NA()</f>
        <v>#N/A</v>
      </c>
      <c r="L316" t="e">
        <f>NA()</f>
        <v>#N/A</v>
      </c>
      <c r="M316" t="e">
        <f>NA()</f>
        <v>#N/A</v>
      </c>
      <c r="N316" t="e">
        <f>NA()</f>
        <v>#N/A</v>
      </c>
      <c r="O316">
        <f t="shared" si="13"/>
        <v>5.3</v>
      </c>
    </row>
    <row r="317" spans="1:15" x14ac:dyDescent="0.25">
      <c r="A317" s="1">
        <v>45525</v>
      </c>
      <c r="B317" t="e">
        <f>NA()</f>
        <v>#N/A</v>
      </c>
      <c r="C317" t="e">
        <f>NA()</f>
        <v>#N/A</v>
      </c>
      <c r="D317" t="e">
        <f>NA()</f>
        <v>#N/A</v>
      </c>
      <c r="E317" t="e">
        <f>NA()</f>
        <v>#N/A</v>
      </c>
      <c r="F317" t="e">
        <f>NA()</f>
        <v>#N/A</v>
      </c>
      <c r="G317" t="e">
        <f>NA()</f>
        <v>#N/A</v>
      </c>
      <c r="H317" t="e">
        <f>NA()</f>
        <v>#N/A</v>
      </c>
      <c r="I317" t="e">
        <f>NA()</f>
        <v>#N/A</v>
      </c>
      <c r="J317" t="e">
        <f>NA()</f>
        <v>#N/A</v>
      </c>
      <c r="K317" t="e">
        <f>NA()</f>
        <v>#N/A</v>
      </c>
      <c r="L317" t="e">
        <f>NA()</f>
        <v>#N/A</v>
      </c>
      <c r="M317" t="e">
        <f>NA()</f>
        <v>#N/A</v>
      </c>
      <c r="N317" t="e">
        <f>NA()</f>
        <v>#N/A</v>
      </c>
      <c r="O317">
        <f t="shared" si="13"/>
        <v>5.3</v>
      </c>
    </row>
    <row r="318" spans="1:15" x14ac:dyDescent="0.25">
      <c r="A318" s="1">
        <v>45524</v>
      </c>
      <c r="B318" t="e">
        <f>NA()</f>
        <v>#N/A</v>
      </c>
      <c r="C318" t="e">
        <f>NA()</f>
        <v>#N/A</v>
      </c>
      <c r="D318" t="e">
        <f>NA()</f>
        <v>#N/A</v>
      </c>
      <c r="E318" t="e">
        <f>NA()</f>
        <v>#N/A</v>
      </c>
      <c r="F318" t="e">
        <f>NA()</f>
        <v>#N/A</v>
      </c>
      <c r="G318" t="e">
        <f>NA()</f>
        <v>#N/A</v>
      </c>
      <c r="H318" t="e">
        <f>NA()</f>
        <v>#N/A</v>
      </c>
      <c r="I318" t="e">
        <f>NA()</f>
        <v>#N/A</v>
      </c>
      <c r="J318" t="e">
        <f>NA()</f>
        <v>#N/A</v>
      </c>
      <c r="K318" t="e">
        <f>NA()</f>
        <v>#N/A</v>
      </c>
      <c r="L318" t="e">
        <f>NA()</f>
        <v>#N/A</v>
      </c>
      <c r="M318" t="e">
        <f>NA()</f>
        <v>#N/A</v>
      </c>
      <c r="N318" t="e">
        <f>NA()</f>
        <v>#N/A</v>
      </c>
      <c r="O318">
        <f t="shared" si="13"/>
        <v>5.3</v>
      </c>
    </row>
    <row r="319" spans="1:15" x14ac:dyDescent="0.25">
      <c r="A319" s="1">
        <v>45523</v>
      </c>
      <c r="B319" t="e">
        <f>NA()</f>
        <v>#N/A</v>
      </c>
      <c r="C319" t="e">
        <f>NA()</f>
        <v>#N/A</v>
      </c>
      <c r="D319" t="e">
        <f>NA()</f>
        <v>#N/A</v>
      </c>
      <c r="E319" t="e">
        <f>NA()</f>
        <v>#N/A</v>
      </c>
      <c r="F319" t="e">
        <f>NA()</f>
        <v>#N/A</v>
      </c>
      <c r="G319" t="e">
        <f>NA()</f>
        <v>#N/A</v>
      </c>
      <c r="H319" t="e">
        <f>NA()</f>
        <v>#N/A</v>
      </c>
      <c r="I319" t="e">
        <f>NA()</f>
        <v>#N/A</v>
      </c>
      <c r="J319" t="e">
        <f>NA()</f>
        <v>#N/A</v>
      </c>
      <c r="K319" t="e">
        <f>NA()</f>
        <v>#N/A</v>
      </c>
      <c r="L319" t="e">
        <f>NA()</f>
        <v>#N/A</v>
      </c>
      <c r="M319" t="e">
        <f>NA()</f>
        <v>#N/A</v>
      </c>
      <c r="N319" t="e">
        <f>NA()</f>
        <v>#N/A</v>
      </c>
      <c r="O319">
        <f t="shared" si="13"/>
        <v>5.3</v>
      </c>
    </row>
    <row r="320" spans="1:15" x14ac:dyDescent="0.25">
      <c r="A320" s="1">
        <v>45520</v>
      </c>
      <c r="B320">
        <f>-0.7</f>
        <v>-0.7</v>
      </c>
      <c r="C320">
        <f>0</f>
        <v>0</v>
      </c>
      <c r="D320" t="e">
        <f>NA()</f>
        <v>#N/A</v>
      </c>
      <c r="E320" t="e">
        <f>NA()</f>
        <v>#N/A</v>
      </c>
      <c r="F320" t="e">
        <f>NA()</f>
        <v>#N/A</v>
      </c>
      <c r="G320" t="e">
        <f>NA()</f>
        <v>#N/A</v>
      </c>
      <c r="H320" t="e">
        <f>NA()</f>
        <v>#N/A</v>
      </c>
      <c r="I320" t="e">
        <f>NA()</f>
        <v>#N/A</v>
      </c>
      <c r="J320" t="e">
        <f>NA()</f>
        <v>#N/A</v>
      </c>
      <c r="K320" t="e">
        <f>NA()</f>
        <v>#N/A</v>
      </c>
      <c r="L320" t="e">
        <f>NA()</f>
        <v>#N/A</v>
      </c>
      <c r="M320" t="e">
        <f>NA()</f>
        <v>#N/A</v>
      </c>
      <c r="N320" t="e">
        <f>NA()</f>
        <v>#N/A</v>
      </c>
      <c r="O320">
        <f t="shared" si="13"/>
        <v>5.3</v>
      </c>
    </row>
    <row r="321" spans="1:15" x14ac:dyDescent="0.25">
      <c r="A321" s="1">
        <v>45519</v>
      </c>
      <c r="B321" t="e">
        <f>NA()</f>
        <v>#N/A</v>
      </c>
      <c r="C321" t="e">
        <f>NA()</f>
        <v>#N/A</v>
      </c>
      <c r="D321" t="e">
        <f>NA()</f>
        <v>#N/A</v>
      </c>
      <c r="E321" t="e">
        <f>NA()</f>
        <v>#N/A</v>
      </c>
      <c r="F321" t="e">
        <f>NA()</f>
        <v>#N/A</v>
      </c>
      <c r="G321" t="e">
        <f>NA()</f>
        <v>#N/A</v>
      </c>
      <c r="H321" t="e">
        <f>NA()</f>
        <v>#N/A</v>
      </c>
      <c r="I321" t="e">
        <f>NA()</f>
        <v>#N/A</v>
      </c>
      <c r="J321" t="e">
        <f>NA()</f>
        <v>#N/A</v>
      </c>
      <c r="K321" t="e">
        <f>NA()</f>
        <v>#N/A</v>
      </c>
      <c r="L321" t="e">
        <f>NA()</f>
        <v>#N/A</v>
      </c>
      <c r="M321" t="e">
        <f>NA()</f>
        <v>#N/A</v>
      </c>
      <c r="N321" t="e">
        <f>NA()</f>
        <v>#N/A</v>
      </c>
      <c r="O321">
        <f t="shared" si="13"/>
        <v>5.3</v>
      </c>
    </row>
    <row r="322" spans="1:15" x14ac:dyDescent="0.25">
      <c r="A322" s="1">
        <v>45518</v>
      </c>
      <c r="B322" t="e">
        <f>NA()</f>
        <v>#N/A</v>
      </c>
      <c r="C322" t="e">
        <f>NA()</f>
        <v>#N/A</v>
      </c>
      <c r="D322" t="e">
        <f>NA()</f>
        <v>#N/A</v>
      </c>
      <c r="E322" t="e">
        <f>NA()</f>
        <v>#N/A</v>
      </c>
      <c r="F322" t="e">
        <f>NA()</f>
        <v>#N/A</v>
      </c>
      <c r="G322" t="e">
        <f>NA()</f>
        <v>#N/A</v>
      </c>
      <c r="H322" t="e">
        <f>NA()</f>
        <v>#N/A</v>
      </c>
      <c r="I322" t="e">
        <f>NA()</f>
        <v>#N/A</v>
      </c>
      <c r="J322" t="e">
        <f>NA()</f>
        <v>#N/A</v>
      </c>
      <c r="K322" t="e">
        <f>NA()</f>
        <v>#N/A</v>
      </c>
      <c r="L322" t="e">
        <f>NA()</f>
        <v>#N/A</v>
      </c>
      <c r="M322" t="e">
        <f>NA()</f>
        <v>#N/A</v>
      </c>
      <c r="N322" t="e">
        <f>NA()</f>
        <v>#N/A</v>
      </c>
      <c r="O322">
        <f t="shared" si="13"/>
        <v>5.3</v>
      </c>
    </row>
    <row r="323" spans="1:15" x14ac:dyDescent="0.25">
      <c r="A323" s="1">
        <v>45517</v>
      </c>
      <c r="B323" t="e">
        <f>NA()</f>
        <v>#N/A</v>
      </c>
      <c r="C323" t="e">
        <f>NA()</f>
        <v>#N/A</v>
      </c>
      <c r="D323" t="e">
        <f>NA()</f>
        <v>#N/A</v>
      </c>
      <c r="E323" t="e">
        <f>NA()</f>
        <v>#N/A</v>
      </c>
      <c r="F323" t="e">
        <f>NA()</f>
        <v>#N/A</v>
      </c>
      <c r="G323" t="e">
        <f>NA()</f>
        <v>#N/A</v>
      </c>
      <c r="H323" t="e">
        <f>NA()</f>
        <v>#N/A</v>
      </c>
      <c r="I323" t="e">
        <f>NA()</f>
        <v>#N/A</v>
      </c>
      <c r="J323" t="e">
        <f>NA()</f>
        <v>#N/A</v>
      </c>
      <c r="K323" t="e">
        <f>NA()</f>
        <v>#N/A</v>
      </c>
      <c r="L323" t="e">
        <f>NA()</f>
        <v>#N/A</v>
      </c>
      <c r="M323" t="e">
        <f>NA()</f>
        <v>#N/A</v>
      </c>
      <c r="N323" t="e">
        <f>NA()</f>
        <v>#N/A</v>
      </c>
      <c r="O323">
        <f t="shared" si="13"/>
        <v>5.3</v>
      </c>
    </row>
    <row r="324" spans="1:15" x14ac:dyDescent="0.25">
      <c r="A324" s="1">
        <v>45516</v>
      </c>
      <c r="B324" t="e">
        <f>NA()</f>
        <v>#N/A</v>
      </c>
      <c r="C324" t="e">
        <f>NA()</f>
        <v>#N/A</v>
      </c>
      <c r="D324" t="e">
        <f>NA()</f>
        <v>#N/A</v>
      </c>
      <c r="E324" t="e">
        <f>NA()</f>
        <v>#N/A</v>
      </c>
      <c r="F324" t="e">
        <f>NA()</f>
        <v>#N/A</v>
      </c>
      <c r="G324" t="e">
        <f>NA()</f>
        <v>#N/A</v>
      </c>
      <c r="H324" t="e">
        <f>NA()</f>
        <v>#N/A</v>
      </c>
      <c r="I324" t="e">
        <f>NA()</f>
        <v>#N/A</v>
      </c>
      <c r="J324" t="e">
        <f>NA()</f>
        <v>#N/A</v>
      </c>
      <c r="K324" t="e">
        <f>NA()</f>
        <v>#N/A</v>
      </c>
      <c r="L324" t="e">
        <f>NA()</f>
        <v>#N/A</v>
      </c>
      <c r="M324" t="e">
        <f>NA()</f>
        <v>#N/A</v>
      </c>
      <c r="N324" t="e">
        <f>NA()</f>
        <v>#N/A</v>
      </c>
      <c r="O324">
        <f t="shared" si="13"/>
        <v>5.3</v>
      </c>
    </row>
    <row r="325" spans="1:15" x14ac:dyDescent="0.25">
      <c r="A325" s="1">
        <v>45513</v>
      </c>
      <c r="B325">
        <f>-0.2</f>
        <v>-0.2</v>
      </c>
      <c r="C325">
        <f>0</f>
        <v>0</v>
      </c>
      <c r="D325" t="e">
        <f>NA()</f>
        <v>#N/A</v>
      </c>
      <c r="E325" t="e">
        <f>NA()</f>
        <v>#N/A</v>
      </c>
      <c r="F325" t="e">
        <f>NA()</f>
        <v>#N/A</v>
      </c>
      <c r="G325" t="e">
        <f>NA()</f>
        <v>#N/A</v>
      </c>
      <c r="H325" t="e">
        <f>NA()</f>
        <v>#N/A</v>
      </c>
      <c r="I325" t="e">
        <f>NA()</f>
        <v>#N/A</v>
      </c>
      <c r="J325" t="e">
        <f>NA()</f>
        <v>#N/A</v>
      </c>
      <c r="K325" t="e">
        <f>NA()</f>
        <v>#N/A</v>
      </c>
      <c r="L325" t="e">
        <f>NA()</f>
        <v>#N/A</v>
      </c>
      <c r="M325" t="e">
        <f>NA()</f>
        <v>#N/A</v>
      </c>
      <c r="N325" t="e">
        <f>NA()</f>
        <v>#N/A</v>
      </c>
      <c r="O325">
        <f t="shared" si="13"/>
        <v>5.3</v>
      </c>
    </row>
    <row r="326" spans="1:15" x14ac:dyDescent="0.25">
      <c r="A326" s="1">
        <v>45512</v>
      </c>
      <c r="B326" t="e">
        <f>NA()</f>
        <v>#N/A</v>
      </c>
      <c r="C326" t="e">
        <f>NA()</f>
        <v>#N/A</v>
      </c>
      <c r="D326" t="e">
        <f>NA()</f>
        <v>#N/A</v>
      </c>
      <c r="E326" t="e">
        <f>NA()</f>
        <v>#N/A</v>
      </c>
      <c r="F326" t="e">
        <f>NA()</f>
        <v>#N/A</v>
      </c>
      <c r="G326" t="e">
        <f>NA()</f>
        <v>#N/A</v>
      </c>
      <c r="H326" t="e">
        <f>NA()</f>
        <v>#N/A</v>
      </c>
      <c r="I326" t="e">
        <f>NA()</f>
        <v>#N/A</v>
      </c>
      <c r="J326" t="e">
        <f>NA()</f>
        <v>#N/A</v>
      </c>
      <c r="K326" t="e">
        <f>NA()</f>
        <v>#N/A</v>
      </c>
      <c r="L326" t="e">
        <f>NA()</f>
        <v>#N/A</v>
      </c>
      <c r="M326" t="e">
        <f>NA()</f>
        <v>#N/A</v>
      </c>
      <c r="N326" t="e">
        <f>NA()</f>
        <v>#N/A</v>
      </c>
      <c r="O326">
        <f t="shared" si="13"/>
        <v>5.3</v>
      </c>
    </row>
    <row r="327" spans="1:15" x14ac:dyDescent="0.25">
      <c r="A327" s="1">
        <v>45511</v>
      </c>
      <c r="B327" t="e">
        <f>NA()</f>
        <v>#N/A</v>
      </c>
      <c r="C327" t="e">
        <f>NA()</f>
        <v>#N/A</v>
      </c>
      <c r="D327" t="e">
        <f>NA()</f>
        <v>#N/A</v>
      </c>
      <c r="E327" t="e">
        <f>NA()</f>
        <v>#N/A</v>
      </c>
      <c r="F327" t="e">
        <f>NA()</f>
        <v>#N/A</v>
      </c>
      <c r="G327" t="e">
        <f>NA()</f>
        <v>#N/A</v>
      </c>
      <c r="H327" t="e">
        <f>NA()</f>
        <v>#N/A</v>
      </c>
      <c r="I327" t="e">
        <f>NA()</f>
        <v>#N/A</v>
      </c>
      <c r="J327" t="e">
        <f>NA()</f>
        <v>#N/A</v>
      </c>
      <c r="K327" t="e">
        <f>NA()</f>
        <v>#N/A</v>
      </c>
      <c r="L327" t="e">
        <f>NA()</f>
        <v>#N/A</v>
      </c>
      <c r="M327" t="e">
        <f>NA()</f>
        <v>#N/A</v>
      </c>
      <c r="N327" t="e">
        <f>NA()</f>
        <v>#N/A</v>
      </c>
      <c r="O327">
        <f t="shared" si="13"/>
        <v>5.3</v>
      </c>
    </row>
    <row r="328" spans="1:15" x14ac:dyDescent="0.25">
      <c r="A328" s="1">
        <v>45510</v>
      </c>
      <c r="B328" t="e">
        <f>NA()</f>
        <v>#N/A</v>
      </c>
      <c r="C328" t="e">
        <f>NA()</f>
        <v>#N/A</v>
      </c>
      <c r="D328" t="e">
        <f>NA()</f>
        <v>#N/A</v>
      </c>
      <c r="E328" t="e">
        <f>NA()</f>
        <v>#N/A</v>
      </c>
      <c r="F328" t="e">
        <f>NA()</f>
        <v>#N/A</v>
      </c>
      <c r="G328" t="e">
        <f>NA()</f>
        <v>#N/A</v>
      </c>
      <c r="H328" t="e">
        <f>NA()</f>
        <v>#N/A</v>
      </c>
      <c r="I328" t="e">
        <f>NA()</f>
        <v>#N/A</v>
      </c>
      <c r="J328" t="e">
        <f>NA()</f>
        <v>#N/A</v>
      </c>
      <c r="K328" t="e">
        <f>NA()</f>
        <v>#N/A</v>
      </c>
      <c r="L328" t="e">
        <f>NA()</f>
        <v>#N/A</v>
      </c>
      <c r="M328" t="e">
        <f>NA()</f>
        <v>#N/A</v>
      </c>
      <c r="N328" t="e">
        <f>NA()</f>
        <v>#N/A</v>
      </c>
      <c r="O328">
        <f t="shared" si="13"/>
        <v>5.3</v>
      </c>
    </row>
    <row r="329" spans="1:15" x14ac:dyDescent="0.25">
      <c r="A329" s="1">
        <v>45509</v>
      </c>
      <c r="B329" t="e">
        <f>NA()</f>
        <v>#N/A</v>
      </c>
      <c r="C329" t="e">
        <f>NA()</f>
        <v>#N/A</v>
      </c>
      <c r="D329" t="e">
        <f>NA()</f>
        <v>#N/A</v>
      </c>
      <c r="E329" t="e">
        <f>NA()</f>
        <v>#N/A</v>
      </c>
      <c r="F329" t="e">
        <f>NA()</f>
        <v>#N/A</v>
      </c>
      <c r="G329" t="e">
        <f>NA()</f>
        <v>#N/A</v>
      </c>
      <c r="H329" t="e">
        <f>NA()</f>
        <v>#N/A</v>
      </c>
      <c r="I329" t="e">
        <f>NA()</f>
        <v>#N/A</v>
      </c>
      <c r="J329" t="e">
        <f>NA()</f>
        <v>#N/A</v>
      </c>
      <c r="K329" t="e">
        <f>NA()</f>
        <v>#N/A</v>
      </c>
      <c r="L329" t="e">
        <f>NA()</f>
        <v>#N/A</v>
      </c>
      <c r="M329" t="e">
        <f>NA()</f>
        <v>#N/A</v>
      </c>
      <c r="N329" t="e">
        <f>NA()</f>
        <v>#N/A</v>
      </c>
      <c r="O329">
        <f t="shared" si="13"/>
        <v>5.3</v>
      </c>
    </row>
    <row r="330" spans="1:15" x14ac:dyDescent="0.25">
      <c r="A330" s="1">
        <v>45506</v>
      </c>
      <c r="B330">
        <f>-0.3</f>
        <v>-0.3</v>
      </c>
      <c r="C330">
        <f>0</f>
        <v>0</v>
      </c>
      <c r="D330" t="e">
        <f>NA()</f>
        <v>#N/A</v>
      </c>
      <c r="E330" t="e">
        <f>NA()</f>
        <v>#N/A</v>
      </c>
      <c r="F330" t="e">
        <f>NA()</f>
        <v>#N/A</v>
      </c>
      <c r="G330" t="e">
        <f>NA()</f>
        <v>#N/A</v>
      </c>
      <c r="H330" t="e">
        <f>NA()</f>
        <v>#N/A</v>
      </c>
      <c r="I330" t="e">
        <f>NA()</f>
        <v>#N/A</v>
      </c>
      <c r="J330" t="e">
        <f>NA()</f>
        <v>#N/A</v>
      </c>
      <c r="K330" t="e">
        <f>NA()</f>
        <v>#N/A</v>
      </c>
      <c r="L330" t="e">
        <f>NA()</f>
        <v>#N/A</v>
      </c>
      <c r="M330" t="e">
        <f>NA()</f>
        <v>#N/A</v>
      </c>
      <c r="N330" t="e">
        <f>NA()</f>
        <v>#N/A</v>
      </c>
      <c r="O330">
        <f t="shared" si="13"/>
        <v>5.3</v>
      </c>
    </row>
    <row r="331" spans="1:15" x14ac:dyDescent="0.25">
      <c r="A331" s="1">
        <v>45505</v>
      </c>
      <c r="B331" t="e">
        <f>NA()</f>
        <v>#N/A</v>
      </c>
      <c r="C331" t="e">
        <f>NA()</f>
        <v>#N/A</v>
      </c>
      <c r="D331" t="e">
        <f>NA()</f>
        <v>#N/A</v>
      </c>
      <c r="E331" t="e">
        <f>NA()</f>
        <v>#N/A</v>
      </c>
      <c r="F331" t="e">
        <f>NA()</f>
        <v>#N/A</v>
      </c>
      <c r="G331" t="e">
        <f>NA()</f>
        <v>#N/A</v>
      </c>
      <c r="H331" t="e">
        <f>NA()</f>
        <v>#N/A</v>
      </c>
      <c r="I331" t="e">
        <f>NA()</f>
        <v>#N/A</v>
      </c>
      <c r="J331" t="e">
        <f>NA()</f>
        <v>#N/A</v>
      </c>
      <c r="K331" t="e">
        <f>NA()</f>
        <v>#N/A</v>
      </c>
      <c r="L331" t="e">
        <f>NA()</f>
        <v>#N/A</v>
      </c>
      <c r="M331" t="e">
        <f>NA()</f>
        <v>#N/A</v>
      </c>
      <c r="N331" t="e">
        <f>NA()</f>
        <v>#N/A</v>
      </c>
      <c r="O331">
        <f t="shared" si="13"/>
        <v>5.3</v>
      </c>
    </row>
    <row r="332" spans="1:15" x14ac:dyDescent="0.25">
      <c r="A332" s="1">
        <v>45504</v>
      </c>
      <c r="B332" t="e">
        <f>NA()</f>
        <v>#N/A</v>
      </c>
      <c r="C332" t="e">
        <f>NA()</f>
        <v>#N/A</v>
      </c>
      <c r="D332">
        <f>0.2</f>
        <v>0.2</v>
      </c>
      <c r="E332">
        <f>0.6</f>
        <v>0.6</v>
      </c>
      <c r="F332">
        <f>7504</f>
        <v>7504</v>
      </c>
      <c r="G332">
        <f>62.7</f>
        <v>62.7</v>
      </c>
      <c r="H332">
        <f>5.6</f>
        <v>5.6</v>
      </c>
      <c r="I332">
        <f>314.5</f>
        <v>314.5</v>
      </c>
      <c r="J332">
        <f>2.9</f>
        <v>2.9</v>
      </c>
      <c r="K332">
        <f>47</f>
        <v>47</v>
      </c>
      <c r="L332">
        <f>-0.7</f>
        <v>-0.7</v>
      </c>
      <c r="M332" t="e">
        <f>NA()</f>
        <v>#N/A</v>
      </c>
      <c r="N332">
        <f>4.2</f>
        <v>4.2</v>
      </c>
      <c r="O332">
        <f t="shared" si="13"/>
        <v>5.3</v>
      </c>
    </row>
    <row r="333" spans="1:15" x14ac:dyDescent="0.25">
      <c r="A333" s="1">
        <v>45503</v>
      </c>
      <c r="B333" t="e">
        <f>NA()</f>
        <v>#N/A</v>
      </c>
      <c r="C333" t="e">
        <f>NA()</f>
        <v>#N/A</v>
      </c>
      <c r="D333" t="e">
        <f>NA()</f>
        <v>#N/A</v>
      </c>
      <c r="E333" t="e">
        <f>NA()</f>
        <v>#N/A</v>
      </c>
      <c r="F333" t="e">
        <f>NA()</f>
        <v>#N/A</v>
      </c>
      <c r="G333" t="e">
        <f>NA()</f>
        <v>#N/A</v>
      </c>
      <c r="H333" t="e">
        <f>NA()</f>
        <v>#N/A</v>
      </c>
      <c r="I333" t="e">
        <f>NA()</f>
        <v>#N/A</v>
      </c>
      <c r="J333" t="e">
        <f>NA()</f>
        <v>#N/A</v>
      </c>
      <c r="K333" t="e">
        <f>NA()</f>
        <v>#N/A</v>
      </c>
      <c r="L333" t="e">
        <f>NA()</f>
        <v>#N/A</v>
      </c>
      <c r="M333" t="e">
        <f>NA()</f>
        <v>#N/A</v>
      </c>
      <c r="N333" t="e">
        <f>NA()</f>
        <v>#N/A</v>
      </c>
      <c r="O333">
        <f t="shared" si="13"/>
        <v>5.3</v>
      </c>
    </row>
    <row r="334" spans="1:15" x14ac:dyDescent="0.25">
      <c r="A334" s="1">
        <v>45502</v>
      </c>
      <c r="B334" t="e">
        <f>NA()</f>
        <v>#N/A</v>
      </c>
      <c r="C334" t="e">
        <f>NA()</f>
        <v>#N/A</v>
      </c>
      <c r="D334" t="e">
        <f>NA()</f>
        <v>#N/A</v>
      </c>
      <c r="E334" t="e">
        <f>NA()</f>
        <v>#N/A</v>
      </c>
      <c r="F334" t="e">
        <f>NA()</f>
        <v>#N/A</v>
      </c>
      <c r="G334" t="e">
        <f>NA()</f>
        <v>#N/A</v>
      </c>
      <c r="H334" t="e">
        <f>NA()</f>
        <v>#N/A</v>
      </c>
      <c r="I334" t="e">
        <f>NA()</f>
        <v>#N/A</v>
      </c>
      <c r="J334" t="e">
        <f>NA()</f>
        <v>#N/A</v>
      </c>
      <c r="K334" t="e">
        <f>NA()</f>
        <v>#N/A</v>
      </c>
      <c r="L334" t="e">
        <f>NA()</f>
        <v>#N/A</v>
      </c>
      <c r="M334" t="e">
        <f>NA()</f>
        <v>#N/A</v>
      </c>
      <c r="N334" t="e">
        <f>NA()</f>
        <v>#N/A</v>
      </c>
      <c r="O334">
        <f t="shared" si="13"/>
        <v>5.3</v>
      </c>
    </row>
    <row r="335" spans="1:15" x14ac:dyDescent="0.25">
      <c r="A335" s="1">
        <v>45499</v>
      </c>
      <c r="B335">
        <f>-0.6</f>
        <v>-0.6</v>
      </c>
      <c r="C335">
        <f>0</f>
        <v>0</v>
      </c>
      <c r="D335" t="e">
        <f>NA()</f>
        <v>#N/A</v>
      </c>
      <c r="E335" t="e">
        <f>NA()</f>
        <v>#N/A</v>
      </c>
      <c r="F335" t="e">
        <f>NA()</f>
        <v>#N/A</v>
      </c>
      <c r="G335" t="e">
        <f>NA()</f>
        <v>#N/A</v>
      </c>
      <c r="H335" t="e">
        <f>NA()</f>
        <v>#N/A</v>
      </c>
      <c r="I335" t="e">
        <f>NA()</f>
        <v>#N/A</v>
      </c>
      <c r="J335" t="e">
        <f>NA()</f>
        <v>#N/A</v>
      </c>
      <c r="K335" t="e">
        <f>NA()</f>
        <v>#N/A</v>
      </c>
      <c r="L335" t="e">
        <f>NA()</f>
        <v>#N/A</v>
      </c>
      <c r="M335" t="e">
        <f>NA()</f>
        <v>#N/A</v>
      </c>
      <c r="N335" t="e">
        <f>NA()</f>
        <v>#N/A</v>
      </c>
      <c r="O335">
        <f t="shared" si="13"/>
        <v>5.3</v>
      </c>
    </row>
    <row r="336" spans="1:15" x14ac:dyDescent="0.25">
      <c r="A336" s="1">
        <v>45498</v>
      </c>
      <c r="B336" t="e">
        <f>NA()</f>
        <v>#N/A</v>
      </c>
      <c r="C336" t="e">
        <f>NA()</f>
        <v>#N/A</v>
      </c>
      <c r="D336" t="e">
        <f>NA()</f>
        <v>#N/A</v>
      </c>
      <c r="E336" t="e">
        <f>NA()</f>
        <v>#N/A</v>
      </c>
      <c r="F336" t="e">
        <f>NA()</f>
        <v>#N/A</v>
      </c>
      <c r="G336" t="e">
        <f>NA()</f>
        <v>#N/A</v>
      </c>
      <c r="H336" t="e">
        <f>NA()</f>
        <v>#N/A</v>
      </c>
      <c r="I336" t="e">
        <f>NA()</f>
        <v>#N/A</v>
      </c>
      <c r="J336" t="e">
        <f>NA()</f>
        <v>#N/A</v>
      </c>
      <c r="K336" t="e">
        <f>NA()</f>
        <v>#N/A</v>
      </c>
      <c r="L336" t="e">
        <f>NA()</f>
        <v>#N/A</v>
      </c>
      <c r="M336" t="e">
        <f>NA()</f>
        <v>#N/A</v>
      </c>
      <c r="N336" t="e">
        <f>NA()</f>
        <v>#N/A</v>
      </c>
      <c r="O336">
        <f t="shared" si="13"/>
        <v>5.3</v>
      </c>
    </row>
    <row r="337" spans="1:15" x14ac:dyDescent="0.25">
      <c r="A337" s="1">
        <v>45497</v>
      </c>
      <c r="B337" t="e">
        <f>NA()</f>
        <v>#N/A</v>
      </c>
      <c r="C337" t="e">
        <f>NA()</f>
        <v>#N/A</v>
      </c>
      <c r="D337" t="e">
        <f>NA()</f>
        <v>#N/A</v>
      </c>
      <c r="E337" t="e">
        <f>NA()</f>
        <v>#N/A</v>
      </c>
      <c r="F337" t="e">
        <f>NA()</f>
        <v>#N/A</v>
      </c>
      <c r="G337" t="e">
        <f>NA()</f>
        <v>#N/A</v>
      </c>
      <c r="H337" t="e">
        <f>NA()</f>
        <v>#N/A</v>
      </c>
      <c r="I337" t="e">
        <f>NA()</f>
        <v>#N/A</v>
      </c>
      <c r="J337" t="e">
        <f>NA()</f>
        <v>#N/A</v>
      </c>
      <c r="K337" t="e">
        <f>NA()</f>
        <v>#N/A</v>
      </c>
      <c r="L337" t="e">
        <f>NA()</f>
        <v>#N/A</v>
      </c>
      <c r="M337" t="e">
        <f>NA()</f>
        <v>#N/A</v>
      </c>
      <c r="N337" t="e">
        <f>NA()</f>
        <v>#N/A</v>
      </c>
      <c r="O337">
        <f t="shared" si="13"/>
        <v>5.3</v>
      </c>
    </row>
    <row r="338" spans="1:15" x14ac:dyDescent="0.25">
      <c r="A338" s="1">
        <v>45496</v>
      </c>
      <c r="B338" t="e">
        <f>NA()</f>
        <v>#N/A</v>
      </c>
      <c r="C338" t="e">
        <f>NA()</f>
        <v>#N/A</v>
      </c>
      <c r="D338" t="e">
        <f>NA()</f>
        <v>#N/A</v>
      </c>
      <c r="E338" t="e">
        <f>NA()</f>
        <v>#N/A</v>
      </c>
      <c r="F338" t="e">
        <f>NA()</f>
        <v>#N/A</v>
      </c>
      <c r="G338" t="e">
        <f>NA()</f>
        <v>#N/A</v>
      </c>
      <c r="H338" t="e">
        <f>NA()</f>
        <v>#N/A</v>
      </c>
      <c r="I338" t="e">
        <f>NA()</f>
        <v>#N/A</v>
      </c>
      <c r="J338" t="e">
        <f>NA()</f>
        <v>#N/A</v>
      </c>
      <c r="K338" t="e">
        <f>NA()</f>
        <v>#N/A</v>
      </c>
      <c r="L338" t="e">
        <f>NA()</f>
        <v>#N/A</v>
      </c>
      <c r="M338" t="e">
        <f>NA()</f>
        <v>#N/A</v>
      </c>
      <c r="N338" t="e">
        <f>NA()</f>
        <v>#N/A</v>
      </c>
      <c r="O338">
        <f t="shared" si="13"/>
        <v>5.3</v>
      </c>
    </row>
    <row r="339" spans="1:15" x14ac:dyDescent="0.25">
      <c r="A339" s="1">
        <v>45495</v>
      </c>
      <c r="B339" t="e">
        <f>NA()</f>
        <v>#N/A</v>
      </c>
      <c r="C339" t="e">
        <f>NA()</f>
        <v>#N/A</v>
      </c>
      <c r="D339" t="e">
        <f>NA()</f>
        <v>#N/A</v>
      </c>
      <c r="E339" t="e">
        <f>NA()</f>
        <v>#N/A</v>
      </c>
      <c r="F339" t="e">
        <f>NA()</f>
        <v>#N/A</v>
      </c>
      <c r="G339" t="e">
        <f>NA()</f>
        <v>#N/A</v>
      </c>
      <c r="H339" t="e">
        <f>NA()</f>
        <v>#N/A</v>
      </c>
      <c r="I339" t="e">
        <f>NA()</f>
        <v>#N/A</v>
      </c>
      <c r="J339" t="e">
        <f>NA()</f>
        <v>#N/A</v>
      </c>
      <c r="K339" t="e">
        <f>NA()</f>
        <v>#N/A</v>
      </c>
      <c r="L339" t="e">
        <f>NA()</f>
        <v>#N/A</v>
      </c>
      <c r="M339" t="e">
        <f>NA()</f>
        <v>#N/A</v>
      </c>
      <c r="N339" t="e">
        <f>NA()</f>
        <v>#N/A</v>
      </c>
      <c r="O339">
        <f t="shared" si="13"/>
        <v>5.3</v>
      </c>
    </row>
    <row r="340" spans="1:15" x14ac:dyDescent="0.25">
      <c r="A340" s="1">
        <v>45492</v>
      </c>
      <c r="B340">
        <f>-0.7</f>
        <v>-0.7</v>
      </c>
      <c r="C340">
        <f>0</f>
        <v>0</v>
      </c>
      <c r="D340" t="e">
        <f>NA()</f>
        <v>#N/A</v>
      </c>
      <c r="E340" t="e">
        <f>NA()</f>
        <v>#N/A</v>
      </c>
      <c r="F340" t="e">
        <f>NA()</f>
        <v>#N/A</v>
      </c>
      <c r="G340" t="e">
        <f>NA()</f>
        <v>#N/A</v>
      </c>
      <c r="H340" t="e">
        <f>NA()</f>
        <v>#N/A</v>
      </c>
      <c r="I340" t="e">
        <f>NA()</f>
        <v>#N/A</v>
      </c>
      <c r="J340" t="e">
        <f>NA()</f>
        <v>#N/A</v>
      </c>
      <c r="K340" t="e">
        <f>NA()</f>
        <v>#N/A</v>
      </c>
      <c r="L340" t="e">
        <f>NA()</f>
        <v>#N/A</v>
      </c>
      <c r="M340" t="e">
        <f>NA()</f>
        <v>#N/A</v>
      </c>
      <c r="N340" t="e">
        <f>NA()</f>
        <v>#N/A</v>
      </c>
      <c r="O340">
        <f t="shared" si="13"/>
        <v>5.3</v>
      </c>
    </row>
    <row r="341" spans="1:15" x14ac:dyDescent="0.25">
      <c r="A341" s="1">
        <v>45491</v>
      </c>
      <c r="B341" t="e">
        <f>NA()</f>
        <v>#N/A</v>
      </c>
      <c r="C341" t="e">
        <f>NA()</f>
        <v>#N/A</v>
      </c>
      <c r="D341" t="e">
        <f>NA()</f>
        <v>#N/A</v>
      </c>
      <c r="E341" t="e">
        <f>NA()</f>
        <v>#N/A</v>
      </c>
      <c r="F341" t="e">
        <f>NA()</f>
        <v>#N/A</v>
      </c>
      <c r="G341" t="e">
        <f>NA()</f>
        <v>#N/A</v>
      </c>
      <c r="H341" t="e">
        <f>NA()</f>
        <v>#N/A</v>
      </c>
      <c r="I341" t="e">
        <f>NA()</f>
        <v>#N/A</v>
      </c>
      <c r="J341" t="e">
        <f>NA()</f>
        <v>#N/A</v>
      </c>
      <c r="K341" t="e">
        <f>NA()</f>
        <v>#N/A</v>
      </c>
      <c r="L341" t="e">
        <f>NA()</f>
        <v>#N/A</v>
      </c>
      <c r="M341" t="e">
        <f>NA()</f>
        <v>#N/A</v>
      </c>
      <c r="N341" t="e">
        <f>NA()</f>
        <v>#N/A</v>
      </c>
      <c r="O341">
        <f t="shared" si="13"/>
        <v>5.3</v>
      </c>
    </row>
    <row r="342" spans="1:15" x14ac:dyDescent="0.25">
      <c r="A342" s="1">
        <v>45490</v>
      </c>
      <c r="B342" t="e">
        <f>NA()</f>
        <v>#N/A</v>
      </c>
      <c r="C342" t="e">
        <f>NA()</f>
        <v>#N/A</v>
      </c>
      <c r="D342" t="e">
        <f>NA()</f>
        <v>#N/A</v>
      </c>
      <c r="E342" t="e">
        <f>NA()</f>
        <v>#N/A</v>
      </c>
      <c r="F342" t="e">
        <f>NA()</f>
        <v>#N/A</v>
      </c>
      <c r="G342" t="e">
        <f>NA()</f>
        <v>#N/A</v>
      </c>
      <c r="H342" t="e">
        <f>NA()</f>
        <v>#N/A</v>
      </c>
      <c r="I342" t="e">
        <f>NA()</f>
        <v>#N/A</v>
      </c>
      <c r="J342" t="e">
        <f>NA()</f>
        <v>#N/A</v>
      </c>
      <c r="K342" t="e">
        <f>NA()</f>
        <v>#N/A</v>
      </c>
      <c r="L342" t="e">
        <f>NA()</f>
        <v>#N/A</v>
      </c>
      <c r="M342" t="e">
        <f>NA()</f>
        <v>#N/A</v>
      </c>
      <c r="N342" t="e">
        <f>NA()</f>
        <v>#N/A</v>
      </c>
      <c r="O342">
        <f t="shared" si="13"/>
        <v>5.3</v>
      </c>
    </row>
    <row r="343" spans="1:15" x14ac:dyDescent="0.25">
      <c r="A343" s="1">
        <v>45489</v>
      </c>
      <c r="B343" t="e">
        <f>NA()</f>
        <v>#N/A</v>
      </c>
      <c r="C343" t="e">
        <f>NA()</f>
        <v>#N/A</v>
      </c>
      <c r="D343" t="e">
        <f>NA()</f>
        <v>#N/A</v>
      </c>
      <c r="E343" t="e">
        <f>NA()</f>
        <v>#N/A</v>
      </c>
      <c r="F343" t="e">
        <f>NA()</f>
        <v>#N/A</v>
      </c>
      <c r="G343" t="e">
        <f>NA()</f>
        <v>#N/A</v>
      </c>
      <c r="H343" t="e">
        <f>NA()</f>
        <v>#N/A</v>
      </c>
      <c r="I343" t="e">
        <f>NA()</f>
        <v>#N/A</v>
      </c>
      <c r="J343" t="e">
        <f>NA()</f>
        <v>#N/A</v>
      </c>
      <c r="K343" t="e">
        <f>NA()</f>
        <v>#N/A</v>
      </c>
      <c r="L343" t="e">
        <f>NA()</f>
        <v>#N/A</v>
      </c>
      <c r="M343" t="e">
        <f>NA()</f>
        <v>#N/A</v>
      </c>
      <c r="N343" t="e">
        <f>NA()</f>
        <v>#N/A</v>
      </c>
      <c r="O343">
        <f t="shared" si="13"/>
        <v>5.3</v>
      </c>
    </row>
    <row r="344" spans="1:15" x14ac:dyDescent="0.25">
      <c r="A344" s="1">
        <v>45488</v>
      </c>
      <c r="B344" t="e">
        <f>NA()</f>
        <v>#N/A</v>
      </c>
      <c r="C344" t="e">
        <f>NA()</f>
        <v>#N/A</v>
      </c>
      <c r="D344" t="e">
        <f>NA()</f>
        <v>#N/A</v>
      </c>
      <c r="E344" t="e">
        <f>NA()</f>
        <v>#N/A</v>
      </c>
      <c r="F344" t="e">
        <f>NA()</f>
        <v>#N/A</v>
      </c>
      <c r="G344" t="e">
        <f>NA()</f>
        <v>#N/A</v>
      </c>
      <c r="H344" t="e">
        <f>NA()</f>
        <v>#N/A</v>
      </c>
      <c r="I344" t="e">
        <f>NA()</f>
        <v>#N/A</v>
      </c>
      <c r="J344" t="e">
        <f>NA()</f>
        <v>#N/A</v>
      </c>
      <c r="K344" t="e">
        <f>NA()</f>
        <v>#N/A</v>
      </c>
      <c r="L344" t="e">
        <f>NA()</f>
        <v>#N/A</v>
      </c>
      <c r="M344" t="e">
        <f>NA()</f>
        <v>#N/A</v>
      </c>
      <c r="N344" t="e">
        <f>NA()</f>
        <v>#N/A</v>
      </c>
      <c r="O344">
        <f t="shared" si="13"/>
        <v>5.3</v>
      </c>
    </row>
    <row r="345" spans="1:15" x14ac:dyDescent="0.25">
      <c r="A345" s="1">
        <v>45485</v>
      </c>
      <c r="B345">
        <f>-0.8</f>
        <v>-0.8</v>
      </c>
      <c r="C345">
        <f>0</f>
        <v>0</v>
      </c>
      <c r="D345" t="e">
        <f>NA()</f>
        <v>#N/A</v>
      </c>
      <c r="E345" t="e">
        <f>NA()</f>
        <v>#N/A</v>
      </c>
      <c r="F345" t="e">
        <f>NA()</f>
        <v>#N/A</v>
      </c>
      <c r="G345" t="e">
        <f>NA()</f>
        <v>#N/A</v>
      </c>
      <c r="H345" t="e">
        <f>NA()</f>
        <v>#N/A</v>
      </c>
      <c r="I345" t="e">
        <f>NA()</f>
        <v>#N/A</v>
      </c>
      <c r="J345" t="e">
        <f>NA()</f>
        <v>#N/A</v>
      </c>
      <c r="K345" t="e">
        <f>NA()</f>
        <v>#N/A</v>
      </c>
      <c r="L345" t="e">
        <f>NA()</f>
        <v>#N/A</v>
      </c>
      <c r="M345" t="e">
        <f>NA()</f>
        <v>#N/A</v>
      </c>
      <c r="N345" t="e">
        <f>NA()</f>
        <v>#N/A</v>
      </c>
      <c r="O345">
        <f t="shared" si="13"/>
        <v>5.3</v>
      </c>
    </row>
    <row r="346" spans="1:15" x14ac:dyDescent="0.25">
      <c r="A346" s="1">
        <v>45484</v>
      </c>
      <c r="B346" t="e">
        <f>NA()</f>
        <v>#N/A</v>
      </c>
      <c r="C346" t="e">
        <f>NA()</f>
        <v>#N/A</v>
      </c>
      <c r="D346" t="e">
        <f>NA()</f>
        <v>#N/A</v>
      </c>
      <c r="E346" t="e">
        <f>NA()</f>
        <v>#N/A</v>
      </c>
      <c r="F346" t="e">
        <f>NA()</f>
        <v>#N/A</v>
      </c>
      <c r="G346" t="e">
        <f>NA()</f>
        <v>#N/A</v>
      </c>
      <c r="H346" t="e">
        <f>NA()</f>
        <v>#N/A</v>
      </c>
      <c r="I346" t="e">
        <f>NA()</f>
        <v>#N/A</v>
      </c>
      <c r="J346" t="e">
        <f>NA()</f>
        <v>#N/A</v>
      </c>
      <c r="K346" t="e">
        <f>NA()</f>
        <v>#N/A</v>
      </c>
      <c r="L346" t="e">
        <f>NA()</f>
        <v>#N/A</v>
      </c>
      <c r="M346" t="e">
        <f>NA()</f>
        <v>#N/A</v>
      </c>
      <c r="N346" t="e">
        <f>NA()</f>
        <v>#N/A</v>
      </c>
      <c r="O346">
        <f t="shared" si="13"/>
        <v>5.3</v>
      </c>
    </row>
    <row r="347" spans="1:15" x14ac:dyDescent="0.25">
      <c r="A347" s="1">
        <v>45483</v>
      </c>
      <c r="B347" t="e">
        <f>NA()</f>
        <v>#N/A</v>
      </c>
      <c r="C347" t="e">
        <f>NA()</f>
        <v>#N/A</v>
      </c>
      <c r="D347" t="e">
        <f>NA()</f>
        <v>#N/A</v>
      </c>
      <c r="E347" t="e">
        <f>NA()</f>
        <v>#N/A</v>
      </c>
      <c r="F347" t="e">
        <f>NA()</f>
        <v>#N/A</v>
      </c>
      <c r="G347" t="e">
        <f>NA()</f>
        <v>#N/A</v>
      </c>
      <c r="H347" t="e">
        <f>NA()</f>
        <v>#N/A</v>
      </c>
      <c r="I347" t="e">
        <f>NA()</f>
        <v>#N/A</v>
      </c>
      <c r="J347" t="e">
        <f>NA()</f>
        <v>#N/A</v>
      </c>
      <c r="K347" t="e">
        <f>NA()</f>
        <v>#N/A</v>
      </c>
      <c r="L347" t="e">
        <f>NA()</f>
        <v>#N/A</v>
      </c>
      <c r="M347" t="e">
        <f>NA()</f>
        <v>#N/A</v>
      </c>
      <c r="N347" t="e">
        <f>NA()</f>
        <v>#N/A</v>
      </c>
      <c r="O347">
        <f t="shared" si="13"/>
        <v>5.3</v>
      </c>
    </row>
    <row r="348" spans="1:15" x14ac:dyDescent="0.25">
      <c r="A348" s="1">
        <v>45482</v>
      </c>
      <c r="B348" t="e">
        <f>NA()</f>
        <v>#N/A</v>
      </c>
      <c r="C348" t="e">
        <f>NA()</f>
        <v>#N/A</v>
      </c>
      <c r="D348" t="e">
        <f>NA()</f>
        <v>#N/A</v>
      </c>
      <c r="E348" t="e">
        <f>NA()</f>
        <v>#N/A</v>
      </c>
      <c r="F348" t="e">
        <f>NA()</f>
        <v>#N/A</v>
      </c>
      <c r="G348" t="e">
        <f>NA()</f>
        <v>#N/A</v>
      </c>
      <c r="H348" t="e">
        <f>NA()</f>
        <v>#N/A</v>
      </c>
      <c r="I348" t="e">
        <f>NA()</f>
        <v>#N/A</v>
      </c>
      <c r="J348" t="e">
        <f>NA()</f>
        <v>#N/A</v>
      </c>
      <c r="K348" t="e">
        <f>NA()</f>
        <v>#N/A</v>
      </c>
      <c r="L348" t="e">
        <f>NA()</f>
        <v>#N/A</v>
      </c>
      <c r="M348" t="e">
        <f>NA()</f>
        <v>#N/A</v>
      </c>
      <c r="N348" t="e">
        <f>NA()</f>
        <v>#N/A</v>
      </c>
      <c r="O348">
        <f t="shared" si="13"/>
        <v>5.3</v>
      </c>
    </row>
    <row r="349" spans="1:15" x14ac:dyDescent="0.25">
      <c r="A349" s="1">
        <v>45481</v>
      </c>
      <c r="B349" t="e">
        <f>NA()</f>
        <v>#N/A</v>
      </c>
      <c r="C349" t="e">
        <f>NA()</f>
        <v>#N/A</v>
      </c>
      <c r="D349" t="e">
        <f>NA()</f>
        <v>#N/A</v>
      </c>
      <c r="E349" t="e">
        <f>NA()</f>
        <v>#N/A</v>
      </c>
      <c r="F349" t="e">
        <f>NA()</f>
        <v>#N/A</v>
      </c>
      <c r="G349" t="e">
        <f>NA()</f>
        <v>#N/A</v>
      </c>
      <c r="H349" t="e">
        <f>NA()</f>
        <v>#N/A</v>
      </c>
      <c r="I349" t="e">
        <f>NA()</f>
        <v>#N/A</v>
      </c>
      <c r="J349" t="e">
        <f>NA()</f>
        <v>#N/A</v>
      </c>
      <c r="K349" t="e">
        <f>NA()</f>
        <v>#N/A</v>
      </c>
      <c r="L349" t="e">
        <f>NA()</f>
        <v>#N/A</v>
      </c>
      <c r="M349" t="e">
        <f>NA()</f>
        <v>#N/A</v>
      </c>
      <c r="N349" t="e">
        <f>NA()</f>
        <v>#N/A</v>
      </c>
      <c r="O349">
        <f t="shared" si="13"/>
        <v>5.3</v>
      </c>
    </row>
    <row r="350" spans="1:15" x14ac:dyDescent="0.25">
      <c r="A350" s="1">
        <v>45478</v>
      </c>
      <c r="B350">
        <f>-0.8</f>
        <v>-0.8</v>
      </c>
      <c r="C350">
        <f>0</f>
        <v>0</v>
      </c>
      <c r="D350" t="e">
        <f>NA()</f>
        <v>#N/A</v>
      </c>
      <c r="E350" t="e">
        <f>NA()</f>
        <v>#N/A</v>
      </c>
      <c r="F350" t="e">
        <f>NA()</f>
        <v>#N/A</v>
      </c>
      <c r="G350" t="e">
        <f>NA()</f>
        <v>#N/A</v>
      </c>
      <c r="H350" t="e">
        <f>NA()</f>
        <v>#N/A</v>
      </c>
      <c r="I350" t="e">
        <f>NA()</f>
        <v>#N/A</v>
      </c>
      <c r="J350" t="e">
        <f>NA()</f>
        <v>#N/A</v>
      </c>
      <c r="K350" t="e">
        <f>NA()</f>
        <v>#N/A</v>
      </c>
      <c r="L350" t="e">
        <f>NA()</f>
        <v>#N/A</v>
      </c>
      <c r="M350" t="e">
        <f>NA()</f>
        <v>#N/A</v>
      </c>
      <c r="N350" t="e">
        <f>NA()</f>
        <v>#N/A</v>
      </c>
      <c r="O350">
        <f t="shared" si="13"/>
        <v>5.3</v>
      </c>
    </row>
    <row r="351" spans="1:15" x14ac:dyDescent="0.25">
      <c r="A351" s="1">
        <v>45476</v>
      </c>
      <c r="B351" t="e">
        <f>NA()</f>
        <v>#N/A</v>
      </c>
      <c r="C351" t="e">
        <f>NA()</f>
        <v>#N/A</v>
      </c>
      <c r="D351" t="e">
        <f>NA()</f>
        <v>#N/A</v>
      </c>
      <c r="E351" t="e">
        <f>NA()</f>
        <v>#N/A</v>
      </c>
      <c r="F351" t="e">
        <f>NA()</f>
        <v>#N/A</v>
      </c>
      <c r="G351" t="e">
        <f>NA()</f>
        <v>#N/A</v>
      </c>
      <c r="H351" t="e">
        <f>NA()</f>
        <v>#N/A</v>
      </c>
      <c r="I351" t="e">
        <f>NA()</f>
        <v>#N/A</v>
      </c>
      <c r="J351" t="e">
        <f>NA()</f>
        <v>#N/A</v>
      </c>
      <c r="K351" t="e">
        <f>NA()</f>
        <v>#N/A</v>
      </c>
      <c r="L351" t="e">
        <f>NA()</f>
        <v>#N/A</v>
      </c>
      <c r="M351" t="e">
        <f>NA()</f>
        <v>#N/A</v>
      </c>
      <c r="N351" t="e">
        <f>NA()</f>
        <v>#N/A</v>
      </c>
      <c r="O351">
        <f t="shared" si="13"/>
        <v>5.3</v>
      </c>
    </row>
    <row r="352" spans="1:15" x14ac:dyDescent="0.25">
      <c r="A352" s="1">
        <v>45475</v>
      </c>
      <c r="B352" t="e">
        <f>NA()</f>
        <v>#N/A</v>
      </c>
      <c r="C352" t="e">
        <f>NA()</f>
        <v>#N/A</v>
      </c>
      <c r="D352" t="e">
        <f>NA()</f>
        <v>#N/A</v>
      </c>
      <c r="E352" t="e">
        <f>NA()</f>
        <v>#N/A</v>
      </c>
      <c r="F352" t="e">
        <f>NA()</f>
        <v>#N/A</v>
      </c>
      <c r="G352" t="e">
        <f>NA()</f>
        <v>#N/A</v>
      </c>
      <c r="H352" t="e">
        <f>NA()</f>
        <v>#N/A</v>
      </c>
      <c r="I352" t="e">
        <f>NA()</f>
        <v>#N/A</v>
      </c>
      <c r="J352" t="e">
        <f>NA()</f>
        <v>#N/A</v>
      </c>
      <c r="K352" t="e">
        <f>NA()</f>
        <v>#N/A</v>
      </c>
      <c r="L352" t="e">
        <f>NA()</f>
        <v>#N/A</v>
      </c>
      <c r="M352" t="e">
        <f>NA()</f>
        <v>#N/A</v>
      </c>
      <c r="N352" t="e">
        <f>NA()</f>
        <v>#N/A</v>
      </c>
      <c r="O352">
        <f t="shared" si="13"/>
        <v>5.3</v>
      </c>
    </row>
    <row r="353" spans="1:15" x14ac:dyDescent="0.25">
      <c r="A353" s="1">
        <v>45474</v>
      </c>
      <c r="B353" t="e">
        <f>NA()</f>
        <v>#N/A</v>
      </c>
      <c r="C353" t="e">
        <f>NA()</f>
        <v>#N/A</v>
      </c>
      <c r="D353" t="e">
        <f>NA()</f>
        <v>#N/A</v>
      </c>
      <c r="E353" t="e">
        <f>NA()</f>
        <v>#N/A</v>
      </c>
      <c r="F353" t="e">
        <f>NA()</f>
        <v>#N/A</v>
      </c>
      <c r="G353" t="e">
        <f>NA()</f>
        <v>#N/A</v>
      </c>
      <c r="H353" t="e">
        <f>NA()</f>
        <v>#N/A</v>
      </c>
      <c r="I353" t="e">
        <f>NA()</f>
        <v>#N/A</v>
      </c>
      <c r="J353" t="e">
        <f>NA()</f>
        <v>#N/A</v>
      </c>
      <c r="K353" t="e">
        <f>NA()</f>
        <v>#N/A</v>
      </c>
      <c r="L353" t="e">
        <f>NA()</f>
        <v>#N/A</v>
      </c>
      <c r="M353" t="e">
        <f>NA()</f>
        <v>#N/A</v>
      </c>
      <c r="N353" t="e">
        <f>NA()</f>
        <v>#N/A</v>
      </c>
      <c r="O353">
        <f t="shared" si="13"/>
        <v>5.3</v>
      </c>
    </row>
    <row r="354" spans="1:15" x14ac:dyDescent="0.25">
      <c r="A354" s="1">
        <v>45473</v>
      </c>
      <c r="B354" t="e">
        <f>NA()</f>
        <v>#N/A</v>
      </c>
      <c r="C354" t="e">
        <f>NA()</f>
        <v>#N/A</v>
      </c>
      <c r="D354">
        <f>0.3</f>
        <v>0.3</v>
      </c>
      <c r="E354">
        <f>0.9</f>
        <v>0.9</v>
      </c>
      <c r="F354">
        <f>7412</f>
        <v>7412</v>
      </c>
      <c r="G354">
        <f>62.6</f>
        <v>62.6</v>
      </c>
      <c r="H354">
        <f>5.7</f>
        <v>5.7</v>
      </c>
      <c r="I354">
        <f>314.2</f>
        <v>314.2</v>
      </c>
      <c r="J354">
        <f>3</f>
        <v>3</v>
      </c>
      <c r="K354">
        <f>48.3</f>
        <v>48.3</v>
      </c>
      <c r="L354">
        <f>0.3</f>
        <v>0.3</v>
      </c>
      <c r="M354">
        <f>3.6</f>
        <v>3.6</v>
      </c>
      <c r="N354">
        <f>4.1</f>
        <v>4.0999999999999996</v>
      </c>
      <c r="O354" t="e">
        <f>NA()</f>
        <v>#N/A</v>
      </c>
    </row>
    <row r="355" spans="1:15" x14ac:dyDescent="0.25">
      <c r="A355" s="1">
        <v>45471</v>
      </c>
      <c r="B355">
        <f>-0.8</f>
        <v>-0.8</v>
      </c>
      <c r="C355">
        <f>0</f>
        <v>0</v>
      </c>
      <c r="D355" t="e">
        <f>NA()</f>
        <v>#N/A</v>
      </c>
      <c r="E355" t="e">
        <f>NA()</f>
        <v>#N/A</v>
      </c>
      <c r="F355" t="e">
        <f>NA()</f>
        <v>#N/A</v>
      </c>
      <c r="G355" t="e">
        <f>NA()</f>
        <v>#N/A</v>
      </c>
      <c r="H355" t="e">
        <f>NA()</f>
        <v>#N/A</v>
      </c>
      <c r="I355" t="e">
        <f>NA()</f>
        <v>#N/A</v>
      </c>
      <c r="J355" t="e">
        <f>NA()</f>
        <v>#N/A</v>
      </c>
      <c r="K355" t="e">
        <f>NA()</f>
        <v>#N/A</v>
      </c>
      <c r="L355" t="e">
        <f>NA()</f>
        <v>#N/A</v>
      </c>
      <c r="M355" t="e">
        <f>NA()</f>
        <v>#N/A</v>
      </c>
      <c r="N355" t="e">
        <f>NA()</f>
        <v>#N/A</v>
      </c>
      <c r="O355">
        <f t="shared" ref="O355:O386" si="14">5.3</f>
        <v>5.3</v>
      </c>
    </row>
    <row r="356" spans="1:15" x14ac:dyDescent="0.25">
      <c r="A356" s="1">
        <v>45470</v>
      </c>
      <c r="B356" t="e">
        <f>NA()</f>
        <v>#N/A</v>
      </c>
      <c r="C356" t="e">
        <f>NA()</f>
        <v>#N/A</v>
      </c>
      <c r="D356" t="e">
        <f>NA()</f>
        <v>#N/A</v>
      </c>
      <c r="E356" t="e">
        <f>NA()</f>
        <v>#N/A</v>
      </c>
      <c r="F356" t="e">
        <f>NA()</f>
        <v>#N/A</v>
      </c>
      <c r="G356" t="e">
        <f>NA()</f>
        <v>#N/A</v>
      </c>
      <c r="H356" t="e">
        <f>NA()</f>
        <v>#N/A</v>
      </c>
      <c r="I356" t="e">
        <f>NA()</f>
        <v>#N/A</v>
      </c>
      <c r="J356" t="e">
        <f>NA()</f>
        <v>#N/A</v>
      </c>
      <c r="K356" t="e">
        <f>NA()</f>
        <v>#N/A</v>
      </c>
      <c r="L356" t="e">
        <f>NA()</f>
        <v>#N/A</v>
      </c>
      <c r="M356" t="e">
        <f>NA()</f>
        <v>#N/A</v>
      </c>
      <c r="N356" t="e">
        <f>NA()</f>
        <v>#N/A</v>
      </c>
      <c r="O356">
        <f t="shared" si="14"/>
        <v>5.3</v>
      </c>
    </row>
    <row r="357" spans="1:15" x14ac:dyDescent="0.25">
      <c r="A357" s="1">
        <v>45469</v>
      </c>
      <c r="B357" t="e">
        <f>NA()</f>
        <v>#N/A</v>
      </c>
      <c r="C357" t="e">
        <f>NA()</f>
        <v>#N/A</v>
      </c>
      <c r="D357" t="e">
        <f>NA()</f>
        <v>#N/A</v>
      </c>
      <c r="E357" t="e">
        <f>NA()</f>
        <v>#N/A</v>
      </c>
      <c r="F357" t="e">
        <f>NA()</f>
        <v>#N/A</v>
      </c>
      <c r="G357" t="e">
        <f>NA()</f>
        <v>#N/A</v>
      </c>
      <c r="H357" t="e">
        <f>NA()</f>
        <v>#N/A</v>
      </c>
      <c r="I357" t="e">
        <f>NA()</f>
        <v>#N/A</v>
      </c>
      <c r="J357" t="e">
        <f>NA()</f>
        <v>#N/A</v>
      </c>
      <c r="K357" t="e">
        <f>NA()</f>
        <v>#N/A</v>
      </c>
      <c r="L357" t="e">
        <f>NA()</f>
        <v>#N/A</v>
      </c>
      <c r="M357" t="e">
        <f>NA()</f>
        <v>#N/A</v>
      </c>
      <c r="N357" t="e">
        <f>NA()</f>
        <v>#N/A</v>
      </c>
      <c r="O357">
        <f t="shared" si="14"/>
        <v>5.3</v>
      </c>
    </row>
    <row r="358" spans="1:15" x14ac:dyDescent="0.25">
      <c r="A358" s="1">
        <v>45468</v>
      </c>
      <c r="B358" t="e">
        <f>NA()</f>
        <v>#N/A</v>
      </c>
      <c r="C358" t="e">
        <f>NA()</f>
        <v>#N/A</v>
      </c>
      <c r="D358" t="e">
        <f>NA()</f>
        <v>#N/A</v>
      </c>
      <c r="E358" t="e">
        <f>NA()</f>
        <v>#N/A</v>
      </c>
      <c r="F358" t="e">
        <f>NA()</f>
        <v>#N/A</v>
      </c>
      <c r="G358" t="e">
        <f>NA()</f>
        <v>#N/A</v>
      </c>
      <c r="H358" t="e">
        <f>NA()</f>
        <v>#N/A</v>
      </c>
      <c r="I358" t="e">
        <f>NA()</f>
        <v>#N/A</v>
      </c>
      <c r="J358" t="e">
        <f>NA()</f>
        <v>#N/A</v>
      </c>
      <c r="K358" t="e">
        <f>NA()</f>
        <v>#N/A</v>
      </c>
      <c r="L358" t="e">
        <f>NA()</f>
        <v>#N/A</v>
      </c>
      <c r="M358" t="e">
        <f>NA()</f>
        <v>#N/A</v>
      </c>
      <c r="N358" t="e">
        <f>NA()</f>
        <v>#N/A</v>
      </c>
      <c r="O358">
        <f t="shared" si="14"/>
        <v>5.3</v>
      </c>
    </row>
    <row r="359" spans="1:15" x14ac:dyDescent="0.25">
      <c r="A359" s="1">
        <v>45467</v>
      </c>
      <c r="B359" t="e">
        <f>NA()</f>
        <v>#N/A</v>
      </c>
      <c r="C359" t="e">
        <f>NA()</f>
        <v>#N/A</v>
      </c>
      <c r="D359" t="e">
        <f>NA()</f>
        <v>#N/A</v>
      </c>
      <c r="E359" t="e">
        <f>NA()</f>
        <v>#N/A</v>
      </c>
      <c r="F359" t="e">
        <f>NA()</f>
        <v>#N/A</v>
      </c>
      <c r="G359" t="e">
        <f>NA()</f>
        <v>#N/A</v>
      </c>
      <c r="H359" t="e">
        <f>NA()</f>
        <v>#N/A</v>
      </c>
      <c r="I359" t="e">
        <f>NA()</f>
        <v>#N/A</v>
      </c>
      <c r="J359" t="e">
        <f>NA()</f>
        <v>#N/A</v>
      </c>
      <c r="K359" t="e">
        <f>NA()</f>
        <v>#N/A</v>
      </c>
      <c r="L359" t="e">
        <f>NA()</f>
        <v>#N/A</v>
      </c>
      <c r="M359" t="e">
        <f>NA()</f>
        <v>#N/A</v>
      </c>
      <c r="N359" t="e">
        <f>NA()</f>
        <v>#N/A</v>
      </c>
      <c r="O359">
        <f t="shared" si="14"/>
        <v>5.3</v>
      </c>
    </row>
    <row r="360" spans="1:15" x14ac:dyDescent="0.25">
      <c r="A360" s="1">
        <v>45464</v>
      </c>
      <c r="B360">
        <f>-0.8</f>
        <v>-0.8</v>
      </c>
      <c r="C360">
        <f>0</f>
        <v>0</v>
      </c>
      <c r="D360" t="e">
        <f>NA()</f>
        <v>#N/A</v>
      </c>
      <c r="E360" t="e">
        <f>NA()</f>
        <v>#N/A</v>
      </c>
      <c r="F360" t="e">
        <f>NA()</f>
        <v>#N/A</v>
      </c>
      <c r="G360" t="e">
        <f>NA()</f>
        <v>#N/A</v>
      </c>
      <c r="H360" t="e">
        <f>NA()</f>
        <v>#N/A</v>
      </c>
      <c r="I360" t="e">
        <f>NA()</f>
        <v>#N/A</v>
      </c>
      <c r="J360" t="e">
        <f>NA()</f>
        <v>#N/A</v>
      </c>
      <c r="K360" t="e">
        <f>NA()</f>
        <v>#N/A</v>
      </c>
      <c r="L360" t="e">
        <f>NA()</f>
        <v>#N/A</v>
      </c>
      <c r="M360" t="e">
        <f>NA()</f>
        <v>#N/A</v>
      </c>
      <c r="N360" t="e">
        <f>NA()</f>
        <v>#N/A</v>
      </c>
      <c r="O360">
        <f t="shared" si="14"/>
        <v>5.3</v>
      </c>
    </row>
    <row r="361" spans="1:15" x14ac:dyDescent="0.25">
      <c r="A361" s="1">
        <v>45463</v>
      </c>
      <c r="B361" t="e">
        <f>NA()</f>
        <v>#N/A</v>
      </c>
      <c r="C361" t="e">
        <f>NA()</f>
        <v>#N/A</v>
      </c>
      <c r="D361" t="e">
        <f>NA()</f>
        <v>#N/A</v>
      </c>
      <c r="E361" t="e">
        <f>NA()</f>
        <v>#N/A</v>
      </c>
      <c r="F361" t="e">
        <f>NA()</f>
        <v>#N/A</v>
      </c>
      <c r="G361" t="e">
        <f>NA()</f>
        <v>#N/A</v>
      </c>
      <c r="H361" t="e">
        <f>NA()</f>
        <v>#N/A</v>
      </c>
      <c r="I361" t="e">
        <f>NA()</f>
        <v>#N/A</v>
      </c>
      <c r="J361" t="e">
        <f>NA()</f>
        <v>#N/A</v>
      </c>
      <c r="K361" t="e">
        <f>NA()</f>
        <v>#N/A</v>
      </c>
      <c r="L361" t="e">
        <f>NA()</f>
        <v>#N/A</v>
      </c>
      <c r="M361" t="e">
        <f>NA()</f>
        <v>#N/A</v>
      </c>
      <c r="N361" t="e">
        <f>NA()</f>
        <v>#N/A</v>
      </c>
      <c r="O361">
        <f t="shared" si="14"/>
        <v>5.3</v>
      </c>
    </row>
    <row r="362" spans="1:15" x14ac:dyDescent="0.25">
      <c r="A362" s="1">
        <v>45461</v>
      </c>
      <c r="B362" t="e">
        <f>NA()</f>
        <v>#N/A</v>
      </c>
      <c r="C362" t="e">
        <f>NA()</f>
        <v>#N/A</v>
      </c>
      <c r="D362" t="e">
        <f>NA()</f>
        <v>#N/A</v>
      </c>
      <c r="E362" t="e">
        <f>NA()</f>
        <v>#N/A</v>
      </c>
      <c r="F362" t="e">
        <f>NA()</f>
        <v>#N/A</v>
      </c>
      <c r="G362" t="e">
        <f>NA()</f>
        <v>#N/A</v>
      </c>
      <c r="H362" t="e">
        <f>NA()</f>
        <v>#N/A</v>
      </c>
      <c r="I362" t="e">
        <f>NA()</f>
        <v>#N/A</v>
      </c>
      <c r="J362" t="e">
        <f>NA()</f>
        <v>#N/A</v>
      </c>
      <c r="K362" t="e">
        <f>NA()</f>
        <v>#N/A</v>
      </c>
      <c r="L362" t="e">
        <f>NA()</f>
        <v>#N/A</v>
      </c>
      <c r="M362" t="e">
        <f>NA()</f>
        <v>#N/A</v>
      </c>
      <c r="N362" t="e">
        <f>NA()</f>
        <v>#N/A</v>
      </c>
      <c r="O362">
        <f t="shared" si="14"/>
        <v>5.3</v>
      </c>
    </row>
    <row r="363" spans="1:15" x14ac:dyDescent="0.25">
      <c r="A363" s="1">
        <v>45460</v>
      </c>
      <c r="B363" t="e">
        <f>NA()</f>
        <v>#N/A</v>
      </c>
      <c r="C363" t="e">
        <f>NA()</f>
        <v>#N/A</v>
      </c>
      <c r="D363" t="e">
        <f>NA()</f>
        <v>#N/A</v>
      </c>
      <c r="E363" t="e">
        <f>NA()</f>
        <v>#N/A</v>
      </c>
      <c r="F363" t="e">
        <f>NA()</f>
        <v>#N/A</v>
      </c>
      <c r="G363" t="e">
        <f>NA()</f>
        <v>#N/A</v>
      </c>
      <c r="H363" t="e">
        <f>NA()</f>
        <v>#N/A</v>
      </c>
      <c r="I363" t="e">
        <f>NA()</f>
        <v>#N/A</v>
      </c>
      <c r="J363" t="e">
        <f>NA()</f>
        <v>#N/A</v>
      </c>
      <c r="K363" t="e">
        <f>NA()</f>
        <v>#N/A</v>
      </c>
      <c r="L363" t="e">
        <f>NA()</f>
        <v>#N/A</v>
      </c>
      <c r="M363" t="e">
        <f>NA()</f>
        <v>#N/A</v>
      </c>
      <c r="N363" t="e">
        <f>NA()</f>
        <v>#N/A</v>
      </c>
      <c r="O363">
        <f t="shared" si="14"/>
        <v>5.3</v>
      </c>
    </row>
    <row r="364" spans="1:15" x14ac:dyDescent="0.25">
      <c r="A364" s="1">
        <v>45457</v>
      </c>
      <c r="B364">
        <f>-0.9</f>
        <v>-0.9</v>
      </c>
      <c r="C364">
        <f>0</f>
        <v>0</v>
      </c>
      <c r="D364" t="e">
        <f>NA()</f>
        <v>#N/A</v>
      </c>
      <c r="E364" t="e">
        <f>NA()</f>
        <v>#N/A</v>
      </c>
      <c r="F364" t="e">
        <f>NA()</f>
        <v>#N/A</v>
      </c>
      <c r="G364" t="e">
        <f>NA()</f>
        <v>#N/A</v>
      </c>
      <c r="H364" t="e">
        <f>NA()</f>
        <v>#N/A</v>
      </c>
      <c r="I364" t="e">
        <f>NA()</f>
        <v>#N/A</v>
      </c>
      <c r="J364" t="e">
        <f>NA()</f>
        <v>#N/A</v>
      </c>
      <c r="K364" t="e">
        <f>NA()</f>
        <v>#N/A</v>
      </c>
      <c r="L364" t="e">
        <f>NA()</f>
        <v>#N/A</v>
      </c>
      <c r="M364" t="e">
        <f>NA()</f>
        <v>#N/A</v>
      </c>
      <c r="N364" t="e">
        <f>NA()</f>
        <v>#N/A</v>
      </c>
      <c r="O364">
        <f t="shared" si="14"/>
        <v>5.3</v>
      </c>
    </row>
    <row r="365" spans="1:15" x14ac:dyDescent="0.25">
      <c r="A365" s="1">
        <v>45456</v>
      </c>
      <c r="B365" t="e">
        <f>NA()</f>
        <v>#N/A</v>
      </c>
      <c r="C365" t="e">
        <f>NA()</f>
        <v>#N/A</v>
      </c>
      <c r="D365" t="e">
        <f>NA()</f>
        <v>#N/A</v>
      </c>
      <c r="E365" t="e">
        <f>NA()</f>
        <v>#N/A</v>
      </c>
      <c r="F365" t="e">
        <f>NA()</f>
        <v>#N/A</v>
      </c>
      <c r="G365" t="e">
        <f>NA()</f>
        <v>#N/A</v>
      </c>
      <c r="H365" t="e">
        <f>NA()</f>
        <v>#N/A</v>
      </c>
      <c r="I365" t="e">
        <f>NA()</f>
        <v>#N/A</v>
      </c>
      <c r="J365" t="e">
        <f>NA()</f>
        <v>#N/A</v>
      </c>
      <c r="K365" t="e">
        <f>NA()</f>
        <v>#N/A</v>
      </c>
      <c r="L365" t="e">
        <f>NA()</f>
        <v>#N/A</v>
      </c>
      <c r="M365" t="e">
        <f>NA()</f>
        <v>#N/A</v>
      </c>
      <c r="N365" t="e">
        <f>NA()</f>
        <v>#N/A</v>
      </c>
      <c r="O365">
        <f t="shared" si="14"/>
        <v>5.3</v>
      </c>
    </row>
    <row r="366" spans="1:15" x14ac:dyDescent="0.25">
      <c r="A366" s="1">
        <v>45455</v>
      </c>
      <c r="B366" t="e">
        <f>NA()</f>
        <v>#N/A</v>
      </c>
      <c r="C366" t="e">
        <f>NA()</f>
        <v>#N/A</v>
      </c>
      <c r="D366" t="e">
        <f>NA()</f>
        <v>#N/A</v>
      </c>
      <c r="E366" t="e">
        <f>NA()</f>
        <v>#N/A</v>
      </c>
      <c r="F366" t="e">
        <f>NA()</f>
        <v>#N/A</v>
      </c>
      <c r="G366" t="e">
        <f>NA()</f>
        <v>#N/A</v>
      </c>
      <c r="H366" t="e">
        <f>NA()</f>
        <v>#N/A</v>
      </c>
      <c r="I366" t="e">
        <f>NA()</f>
        <v>#N/A</v>
      </c>
      <c r="J366" t="e">
        <f>NA()</f>
        <v>#N/A</v>
      </c>
      <c r="K366" t="e">
        <f>NA()</f>
        <v>#N/A</v>
      </c>
      <c r="L366" t="e">
        <f>NA()</f>
        <v>#N/A</v>
      </c>
      <c r="M366" t="e">
        <f>NA()</f>
        <v>#N/A</v>
      </c>
      <c r="N366" t="e">
        <f>NA()</f>
        <v>#N/A</v>
      </c>
      <c r="O366">
        <f t="shared" si="14"/>
        <v>5.3</v>
      </c>
    </row>
    <row r="367" spans="1:15" x14ac:dyDescent="0.25">
      <c r="A367" s="1">
        <v>45454</v>
      </c>
      <c r="B367" t="e">
        <f>NA()</f>
        <v>#N/A</v>
      </c>
      <c r="C367" t="e">
        <f>NA()</f>
        <v>#N/A</v>
      </c>
      <c r="D367" t="e">
        <f>NA()</f>
        <v>#N/A</v>
      </c>
      <c r="E367" t="e">
        <f>NA()</f>
        <v>#N/A</v>
      </c>
      <c r="F367" t="e">
        <f>NA()</f>
        <v>#N/A</v>
      </c>
      <c r="G367" t="e">
        <f>NA()</f>
        <v>#N/A</v>
      </c>
      <c r="H367" t="e">
        <f>NA()</f>
        <v>#N/A</v>
      </c>
      <c r="I367" t="e">
        <f>NA()</f>
        <v>#N/A</v>
      </c>
      <c r="J367" t="e">
        <f>NA()</f>
        <v>#N/A</v>
      </c>
      <c r="K367" t="e">
        <f>NA()</f>
        <v>#N/A</v>
      </c>
      <c r="L367" t="e">
        <f>NA()</f>
        <v>#N/A</v>
      </c>
      <c r="M367" t="e">
        <f>NA()</f>
        <v>#N/A</v>
      </c>
      <c r="N367" t="e">
        <f>NA()</f>
        <v>#N/A</v>
      </c>
      <c r="O367">
        <f t="shared" si="14"/>
        <v>5.3</v>
      </c>
    </row>
    <row r="368" spans="1:15" x14ac:dyDescent="0.25">
      <c r="A368" s="1">
        <v>45453</v>
      </c>
      <c r="B368" t="e">
        <f>NA()</f>
        <v>#N/A</v>
      </c>
      <c r="C368" t="e">
        <f>NA()</f>
        <v>#N/A</v>
      </c>
      <c r="D368" t="e">
        <f>NA()</f>
        <v>#N/A</v>
      </c>
      <c r="E368" t="e">
        <f>NA()</f>
        <v>#N/A</v>
      </c>
      <c r="F368" t="e">
        <f>NA()</f>
        <v>#N/A</v>
      </c>
      <c r="G368" t="e">
        <f>NA()</f>
        <v>#N/A</v>
      </c>
      <c r="H368" t="e">
        <f>NA()</f>
        <v>#N/A</v>
      </c>
      <c r="I368" t="e">
        <f>NA()</f>
        <v>#N/A</v>
      </c>
      <c r="J368" t="e">
        <f>NA()</f>
        <v>#N/A</v>
      </c>
      <c r="K368" t="e">
        <f>NA()</f>
        <v>#N/A</v>
      </c>
      <c r="L368" t="e">
        <f>NA()</f>
        <v>#N/A</v>
      </c>
      <c r="M368" t="e">
        <f>NA()</f>
        <v>#N/A</v>
      </c>
      <c r="N368" t="e">
        <f>NA()</f>
        <v>#N/A</v>
      </c>
      <c r="O368">
        <f t="shared" si="14"/>
        <v>5.3</v>
      </c>
    </row>
    <row r="369" spans="1:15" x14ac:dyDescent="0.25">
      <c r="A369" s="1">
        <v>45450</v>
      </c>
      <c r="B369">
        <f>-0.8</f>
        <v>-0.8</v>
      </c>
      <c r="C369">
        <f>0</f>
        <v>0</v>
      </c>
      <c r="D369" t="e">
        <f>NA()</f>
        <v>#N/A</v>
      </c>
      <c r="E369" t="e">
        <f>NA()</f>
        <v>#N/A</v>
      </c>
      <c r="F369" t="e">
        <f>NA()</f>
        <v>#N/A</v>
      </c>
      <c r="G369" t="e">
        <f>NA()</f>
        <v>#N/A</v>
      </c>
      <c r="H369" t="e">
        <f>NA()</f>
        <v>#N/A</v>
      </c>
      <c r="I369" t="e">
        <f>NA()</f>
        <v>#N/A</v>
      </c>
      <c r="J369" t="e">
        <f>NA()</f>
        <v>#N/A</v>
      </c>
      <c r="K369" t="e">
        <f>NA()</f>
        <v>#N/A</v>
      </c>
      <c r="L369" t="e">
        <f>NA()</f>
        <v>#N/A</v>
      </c>
      <c r="M369" t="e">
        <f>NA()</f>
        <v>#N/A</v>
      </c>
      <c r="N369" t="e">
        <f>NA()</f>
        <v>#N/A</v>
      </c>
      <c r="O369">
        <f t="shared" si="14"/>
        <v>5.3</v>
      </c>
    </row>
    <row r="370" spans="1:15" x14ac:dyDescent="0.25">
      <c r="A370" s="1">
        <v>45449</v>
      </c>
      <c r="B370" t="e">
        <f>NA()</f>
        <v>#N/A</v>
      </c>
      <c r="C370" t="e">
        <f>NA()</f>
        <v>#N/A</v>
      </c>
      <c r="D370" t="e">
        <f>NA()</f>
        <v>#N/A</v>
      </c>
      <c r="E370" t="e">
        <f>NA()</f>
        <v>#N/A</v>
      </c>
      <c r="F370" t="e">
        <f>NA()</f>
        <v>#N/A</v>
      </c>
      <c r="G370" t="e">
        <f>NA()</f>
        <v>#N/A</v>
      </c>
      <c r="H370" t="e">
        <f>NA()</f>
        <v>#N/A</v>
      </c>
      <c r="I370" t="e">
        <f>NA()</f>
        <v>#N/A</v>
      </c>
      <c r="J370" t="e">
        <f>NA()</f>
        <v>#N/A</v>
      </c>
      <c r="K370" t="e">
        <f>NA()</f>
        <v>#N/A</v>
      </c>
      <c r="L370" t="e">
        <f>NA()</f>
        <v>#N/A</v>
      </c>
      <c r="M370" t="e">
        <f>NA()</f>
        <v>#N/A</v>
      </c>
      <c r="N370" t="e">
        <f>NA()</f>
        <v>#N/A</v>
      </c>
      <c r="O370">
        <f t="shared" si="14"/>
        <v>5.3</v>
      </c>
    </row>
    <row r="371" spans="1:15" x14ac:dyDescent="0.25">
      <c r="A371" s="1">
        <v>45448</v>
      </c>
      <c r="B371" t="e">
        <f>NA()</f>
        <v>#N/A</v>
      </c>
      <c r="C371" t="e">
        <f>NA()</f>
        <v>#N/A</v>
      </c>
      <c r="D371" t="e">
        <f>NA()</f>
        <v>#N/A</v>
      </c>
      <c r="E371" t="e">
        <f>NA()</f>
        <v>#N/A</v>
      </c>
      <c r="F371" t="e">
        <f>NA()</f>
        <v>#N/A</v>
      </c>
      <c r="G371" t="e">
        <f>NA()</f>
        <v>#N/A</v>
      </c>
      <c r="H371" t="e">
        <f>NA()</f>
        <v>#N/A</v>
      </c>
      <c r="I371" t="e">
        <f>NA()</f>
        <v>#N/A</v>
      </c>
      <c r="J371" t="e">
        <f>NA()</f>
        <v>#N/A</v>
      </c>
      <c r="K371" t="e">
        <f>NA()</f>
        <v>#N/A</v>
      </c>
      <c r="L371" t="e">
        <f>NA()</f>
        <v>#N/A</v>
      </c>
      <c r="M371" t="e">
        <f>NA()</f>
        <v>#N/A</v>
      </c>
      <c r="N371" t="e">
        <f>NA()</f>
        <v>#N/A</v>
      </c>
      <c r="O371">
        <f t="shared" si="14"/>
        <v>5.3</v>
      </c>
    </row>
    <row r="372" spans="1:15" x14ac:dyDescent="0.25">
      <c r="A372" s="1">
        <v>45447</v>
      </c>
      <c r="B372" t="e">
        <f>NA()</f>
        <v>#N/A</v>
      </c>
      <c r="C372" t="e">
        <f>NA()</f>
        <v>#N/A</v>
      </c>
      <c r="D372" t="e">
        <f>NA()</f>
        <v>#N/A</v>
      </c>
      <c r="E372" t="e">
        <f>NA()</f>
        <v>#N/A</v>
      </c>
      <c r="F372" t="e">
        <f>NA()</f>
        <v>#N/A</v>
      </c>
      <c r="G372" t="e">
        <f>NA()</f>
        <v>#N/A</v>
      </c>
      <c r="H372" t="e">
        <f>NA()</f>
        <v>#N/A</v>
      </c>
      <c r="I372" t="e">
        <f>NA()</f>
        <v>#N/A</v>
      </c>
      <c r="J372" t="e">
        <f>NA()</f>
        <v>#N/A</v>
      </c>
      <c r="K372" t="e">
        <f>NA()</f>
        <v>#N/A</v>
      </c>
      <c r="L372" t="e">
        <f>NA()</f>
        <v>#N/A</v>
      </c>
      <c r="M372" t="e">
        <f>NA()</f>
        <v>#N/A</v>
      </c>
      <c r="N372" t="e">
        <f>NA()</f>
        <v>#N/A</v>
      </c>
      <c r="O372">
        <f t="shared" si="14"/>
        <v>5.3</v>
      </c>
    </row>
    <row r="373" spans="1:15" x14ac:dyDescent="0.25">
      <c r="A373" s="1">
        <v>45446</v>
      </c>
      <c r="B373" t="e">
        <f>NA()</f>
        <v>#N/A</v>
      </c>
      <c r="C373" t="e">
        <f>NA()</f>
        <v>#N/A</v>
      </c>
      <c r="D373" t="e">
        <f>NA()</f>
        <v>#N/A</v>
      </c>
      <c r="E373" t="e">
        <f>NA()</f>
        <v>#N/A</v>
      </c>
      <c r="F373" t="e">
        <f>NA()</f>
        <v>#N/A</v>
      </c>
      <c r="G373" t="e">
        <f>NA()</f>
        <v>#N/A</v>
      </c>
      <c r="H373" t="e">
        <f>NA()</f>
        <v>#N/A</v>
      </c>
      <c r="I373" t="e">
        <f>NA()</f>
        <v>#N/A</v>
      </c>
      <c r="J373" t="e">
        <f>NA()</f>
        <v>#N/A</v>
      </c>
      <c r="K373" t="e">
        <f>NA()</f>
        <v>#N/A</v>
      </c>
      <c r="L373" t="e">
        <f>NA()</f>
        <v>#N/A</v>
      </c>
      <c r="M373" t="e">
        <f>NA()</f>
        <v>#N/A</v>
      </c>
      <c r="N373" t="e">
        <f>NA()</f>
        <v>#N/A</v>
      </c>
      <c r="O373">
        <f t="shared" si="14"/>
        <v>5.3</v>
      </c>
    </row>
    <row r="374" spans="1:15" x14ac:dyDescent="0.25">
      <c r="A374" s="1">
        <v>45443</v>
      </c>
      <c r="B374">
        <f>-0.8</f>
        <v>-0.8</v>
      </c>
      <c r="C374">
        <f>0</f>
        <v>0</v>
      </c>
      <c r="D374">
        <f>0.4</f>
        <v>0.4</v>
      </c>
      <c r="E374">
        <f>0.8</f>
        <v>0.8</v>
      </c>
      <c r="F374">
        <f>7901</f>
        <v>7901</v>
      </c>
      <c r="G374">
        <f>62.6</f>
        <v>62.6</v>
      </c>
      <c r="H374">
        <f>5.9</f>
        <v>5.9</v>
      </c>
      <c r="I374">
        <f>314.1</f>
        <v>314.10000000000002</v>
      </c>
      <c r="J374">
        <f>3.3</f>
        <v>3.3</v>
      </c>
      <c r="K374">
        <f>48.5</f>
        <v>48.5</v>
      </c>
      <c r="L374">
        <f>0.6</f>
        <v>0.6</v>
      </c>
      <c r="M374" t="e">
        <f>NA()</f>
        <v>#N/A</v>
      </c>
      <c r="N374">
        <f>4</f>
        <v>4</v>
      </c>
      <c r="O374">
        <f t="shared" si="14"/>
        <v>5.3</v>
      </c>
    </row>
    <row r="375" spans="1:15" x14ac:dyDescent="0.25">
      <c r="A375" s="1">
        <v>45442</v>
      </c>
      <c r="B375" t="e">
        <f>NA()</f>
        <v>#N/A</v>
      </c>
      <c r="C375" t="e">
        <f>NA()</f>
        <v>#N/A</v>
      </c>
      <c r="D375" t="e">
        <f>NA()</f>
        <v>#N/A</v>
      </c>
      <c r="E375" t="e">
        <f>NA()</f>
        <v>#N/A</v>
      </c>
      <c r="F375" t="e">
        <f>NA()</f>
        <v>#N/A</v>
      </c>
      <c r="G375" t="e">
        <f>NA()</f>
        <v>#N/A</v>
      </c>
      <c r="H375" t="e">
        <f>NA()</f>
        <v>#N/A</v>
      </c>
      <c r="I375" t="e">
        <f>NA()</f>
        <v>#N/A</v>
      </c>
      <c r="J375" t="e">
        <f>NA()</f>
        <v>#N/A</v>
      </c>
      <c r="K375" t="e">
        <f>NA()</f>
        <v>#N/A</v>
      </c>
      <c r="L375" t="e">
        <f>NA()</f>
        <v>#N/A</v>
      </c>
      <c r="M375" t="e">
        <f>NA()</f>
        <v>#N/A</v>
      </c>
      <c r="N375" t="e">
        <f>NA()</f>
        <v>#N/A</v>
      </c>
      <c r="O375">
        <f t="shared" si="14"/>
        <v>5.3</v>
      </c>
    </row>
    <row r="376" spans="1:15" x14ac:dyDescent="0.25">
      <c r="A376" s="1">
        <v>45441</v>
      </c>
      <c r="B376" t="e">
        <f>NA()</f>
        <v>#N/A</v>
      </c>
      <c r="C376" t="e">
        <f>NA()</f>
        <v>#N/A</v>
      </c>
      <c r="D376" t="e">
        <f>NA()</f>
        <v>#N/A</v>
      </c>
      <c r="E376" t="e">
        <f>NA()</f>
        <v>#N/A</v>
      </c>
      <c r="F376" t="e">
        <f>NA()</f>
        <v>#N/A</v>
      </c>
      <c r="G376" t="e">
        <f>NA()</f>
        <v>#N/A</v>
      </c>
      <c r="H376" t="e">
        <f>NA()</f>
        <v>#N/A</v>
      </c>
      <c r="I376" t="e">
        <f>NA()</f>
        <v>#N/A</v>
      </c>
      <c r="J376" t="e">
        <f>NA()</f>
        <v>#N/A</v>
      </c>
      <c r="K376" t="e">
        <f>NA()</f>
        <v>#N/A</v>
      </c>
      <c r="L376" t="e">
        <f>NA()</f>
        <v>#N/A</v>
      </c>
      <c r="M376" t="e">
        <f>NA()</f>
        <v>#N/A</v>
      </c>
      <c r="N376" t="e">
        <f>NA()</f>
        <v>#N/A</v>
      </c>
      <c r="O376">
        <f t="shared" si="14"/>
        <v>5.3</v>
      </c>
    </row>
    <row r="377" spans="1:15" x14ac:dyDescent="0.25">
      <c r="A377" s="1">
        <v>45440</v>
      </c>
      <c r="B377" t="e">
        <f>NA()</f>
        <v>#N/A</v>
      </c>
      <c r="C377" t="e">
        <f>NA()</f>
        <v>#N/A</v>
      </c>
      <c r="D377" t="e">
        <f>NA()</f>
        <v>#N/A</v>
      </c>
      <c r="E377" t="e">
        <f>NA()</f>
        <v>#N/A</v>
      </c>
      <c r="F377" t="e">
        <f>NA()</f>
        <v>#N/A</v>
      </c>
      <c r="G377" t="e">
        <f>NA()</f>
        <v>#N/A</v>
      </c>
      <c r="H377" t="e">
        <f>NA()</f>
        <v>#N/A</v>
      </c>
      <c r="I377" t="e">
        <f>NA()</f>
        <v>#N/A</v>
      </c>
      <c r="J377" t="e">
        <f>NA()</f>
        <v>#N/A</v>
      </c>
      <c r="K377" t="e">
        <f>NA()</f>
        <v>#N/A</v>
      </c>
      <c r="L377" t="e">
        <f>NA()</f>
        <v>#N/A</v>
      </c>
      <c r="M377" t="e">
        <f>NA()</f>
        <v>#N/A</v>
      </c>
      <c r="N377" t="e">
        <f>NA()</f>
        <v>#N/A</v>
      </c>
      <c r="O377">
        <f t="shared" si="14"/>
        <v>5.3</v>
      </c>
    </row>
    <row r="378" spans="1:15" x14ac:dyDescent="0.25">
      <c r="A378" s="1">
        <v>45436</v>
      </c>
      <c r="B378">
        <f>-1</f>
        <v>-1</v>
      </c>
      <c r="C378">
        <f>0</f>
        <v>0</v>
      </c>
      <c r="D378" t="e">
        <f>NA()</f>
        <v>#N/A</v>
      </c>
      <c r="E378" t="e">
        <f>NA()</f>
        <v>#N/A</v>
      </c>
      <c r="F378" t="e">
        <f>NA()</f>
        <v>#N/A</v>
      </c>
      <c r="G378" t="e">
        <f>NA()</f>
        <v>#N/A</v>
      </c>
      <c r="H378" t="e">
        <f>NA()</f>
        <v>#N/A</v>
      </c>
      <c r="I378" t="e">
        <f>NA()</f>
        <v>#N/A</v>
      </c>
      <c r="J378" t="e">
        <f>NA()</f>
        <v>#N/A</v>
      </c>
      <c r="K378" t="e">
        <f>NA()</f>
        <v>#N/A</v>
      </c>
      <c r="L378" t="e">
        <f>NA()</f>
        <v>#N/A</v>
      </c>
      <c r="M378" t="e">
        <f>NA()</f>
        <v>#N/A</v>
      </c>
      <c r="N378" t="e">
        <f>NA()</f>
        <v>#N/A</v>
      </c>
      <c r="O378">
        <f t="shared" si="14"/>
        <v>5.3</v>
      </c>
    </row>
    <row r="379" spans="1:15" x14ac:dyDescent="0.25">
      <c r="A379" s="1">
        <v>45435</v>
      </c>
      <c r="B379" t="e">
        <f>NA()</f>
        <v>#N/A</v>
      </c>
      <c r="C379" t="e">
        <f>NA()</f>
        <v>#N/A</v>
      </c>
      <c r="D379" t="e">
        <f>NA()</f>
        <v>#N/A</v>
      </c>
      <c r="E379" t="e">
        <f>NA()</f>
        <v>#N/A</v>
      </c>
      <c r="F379" t="e">
        <f>NA()</f>
        <v>#N/A</v>
      </c>
      <c r="G379" t="e">
        <f>NA()</f>
        <v>#N/A</v>
      </c>
      <c r="H379" t="e">
        <f>NA()</f>
        <v>#N/A</v>
      </c>
      <c r="I379" t="e">
        <f>NA()</f>
        <v>#N/A</v>
      </c>
      <c r="J379" t="e">
        <f>NA()</f>
        <v>#N/A</v>
      </c>
      <c r="K379" t="e">
        <f>NA()</f>
        <v>#N/A</v>
      </c>
      <c r="L379" t="e">
        <f>NA()</f>
        <v>#N/A</v>
      </c>
      <c r="M379" t="e">
        <f>NA()</f>
        <v>#N/A</v>
      </c>
      <c r="N379" t="e">
        <f>NA()</f>
        <v>#N/A</v>
      </c>
      <c r="O379">
        <f t="shared" si="14"/>
        <v>5.3</v>
      </c>
    </row>
    <row r="380" spans="1:15" x14ac:dyDescent="0.25">
      <c r="A380" s="1">
        <v>45434</v>
      </c>
      <c r="B380" t="e">
        <f>NA()</f>
        <v>#N/A</v>
      </c>
      <c r="C380" t="e">
        <f>NA()</f>
        <v>#N/A</v>
      </c>
      <c r="D380" t="e">
        <f>NA()</f>
        <v>#N/A</v>
      </c>
      <c r="E380" t="e">
        <f>NA()</f>
        <v>#N/A</v>
      </c>
      <c r="F380" t="e">
        <f>NA()</f>
        <v>#N/A</v>
      </c>
      <c r="G380" t="e">
        <f>NA()</f>
        <v>#N/A</v>
      </c>
      <c r="H380" t="e">
        <f>NA()</f>
        <v>#N/A</v>
      </c>
      <c r="I380" t="e">
        <f>NA()</f>
        <v>#N/A</v>
      </c>
      <c r="J380" t="e">
        <f>NA()</f>
        <v>#N/A</v>
      </c>
      <c r="K380" t="e">
        <f>NA()</f>
        <v>#N/A</v>
      </c>
      <c r="L380" t="e">
        <f>NA()</f>
        <v>#N/A</v>
      </c>
      <c r="M380" t="e">
        <f>NA()</f>
        <v>#N/A</v>
      </c>
      <c r="N380" t="e">
        <f>NA()</f>
        <v>#N/A</v>
      </c>
      <c r="O380">
        <f t="shared" si="14"/>
        <v>5.3</v>
      </c>
    </row>
    <row r="381" spans="1:15" x14ac:dyDescent="0.25">
      <c r="A381" s="1">
        <v>45433</v>
      </c>
      <c r="B381" t="e">
        <f>NA()</f>
        <v>#N/A</v>
      </c>
      <c r="C381" t="e">
        <f>NA()</f>
        <v>#N/A</v>
      </c>
      <c r="D381" t="e">
        <f>NA()</f>
        <v>#N/A</v>
      </c>
      <c r="E381" t="e">
        <f>NA()</f>
        <v>#N/A</v>
      </c>
      <c r="F381" t="e">
        <f>NA()</f>
        <v>#N/A</v>
      </c>
      <c r="G381" t="e">
        <f>NA()</f>
        <v>#N/A</v>
      </c>
      <c r="H381" t="e">
        <f>NA()</f>
        <v>#N/A</v>
      </c>
      <c r="I381" t="e">
        <f>NA()</f>
        <v>#N/A</v>
      </c>
      <c r="J381" t="e">
        <f>NA()</f>
        <v>#N/A</v>
      </c>
      <c r="K381" t="e">
        <f>NA()</f>
        <v>#N/A</v>
      </c>
      <c r="L381" t="e">
        <f>NA()</f>
        <v>#N/A</v>
      </c>
      <c r="M381" t="e">
        <f>NA()</f>
        <v>#N/A</v>
      </c>
      <c r="N381" t="e">
        <f>NA()</f>
        <v>#N/A</v>
      </c>
      <c r="O381">
        <f t="shared" si="14"/>
        <v>5.3</v>
      </c>
    </row>
    <row r="382" spans="1:15" x14ac:dyDescent="0.25">
      <c r="A382" s="1">
        <v>45432</v>
      </c>
      <c r="B382" t="e">
        <f>NA()</f>
        <v>#N/A</v>
      </c>
      <c r="C382" t="e">
        <f>NA()</f>
        <v>#N/A</v>
      </c>
      <c r="D382" t="e">
        <f>NA()</f>
        <v>#N/A</v>
      </c>
      <c r="E382" t="e">
        <f>NA()</f>
        <v>#N/A</v>
      </c>
      <c r="F382" t="e">
        <f>NA()</f>
        <v>#N/A</v>
      </c>
      <c r="G382" t="e">
        <f>NA()</f>
        <v>#N/A</v>
      </c>
      <c r="H382" t="e">
        <f>NA()</f>
        <v>#N/A</v>
      </c>
      <c r="I382" t="e">
        <f>NA()</f>
        <v>#N/A</v>
      </c>
      <c r="J382" t="e">
        <f>NA()</f>
        <v>#N/A</v>
      </c>
      <c r="K382" t="e">
        <f>NA()</f>
        <v>#N/A</v>
      </c>
      <c r="L382" t="e">
        <f>NA()</f>
        <v>#N/A</v>
      </c>
      <c r="M382" t="e">
        <f>NA()</f>
        <v>#N/A</v>
      </c>
      <c r="N382" t="e">
        <f>NA()</f>
        <v>#N/A</v>
      </c>
      <c r="O382">
        <f t="shared" si="14"/>
        <v>5.3</v>
      </c>
    </row>
    <row r="383" spans="1:15" x14ac:dyDescent="0.25">
      <c r="A383" s="1">
        <v>45429</v>
      </c>
      <c r="B383">
        <f>-0.9</f>
        <v>-0.9</v>
      </c>
      <c r="C383">
        <f>0</f>
        <v>0</v>
      </c>
      <c r="D383" t="e">
        <f>NA()</f>
        <v>#N/A</v>
      </c>
      <c r="E383" t="e">
        <f>NA()</f>
        <v>#N/A</v>
      </c>
      <c r="F383" t="e">
        <f>NA()</f>
        <v>#N/A</v>
      </c>
      <c r="G383" t="e">
        <f>NA()</f>
        <v>#N/A</v>
      </c>
      <c r="H383" t="e">
        <f>NA()</f>
        <v>#N/A</v>
      </c>
      <c r="I383" t="e">
        <f>NA()</f>
        <v>#N/A</v>
      </c>
      <c r="J383" t="e">
        <f>NA()</f>
        <v>#N/A</v>
      </c>
      <c r="K383" t="e">
        <f>NA()</f>
        <v>#N/A</v>
      </c>
      <c r="L383" t="e">
        <f>NA()</f>
        <v>#N/A</v>
      </c>
      <c r="M383" t="e">
        <f>NA()</f>
        <v>#N/A</v>
      </c>
      <c r="N383" t="e">
        <f>NA()</f>
        <v>#N/A</v>
      </c>
      <c r="O383">
        <f t="shared" si="14"/>
        <v>5.3</v>
      </c>
    </row>
    <row r="384" spans="1:15" x14ac:dyDescent="0.25">
      <c r="A384" s="1">
        <v>45428</v>
      </c>
      <c r="B384" t="e">
        <f>NA()</f>
        <v>#N/A</v>
      </c>
      <c r="C384" t="e">
        <f>NA()</f>
        <v>#N/A</v>
      </c>
      <c r="D384" t="e">
        <f>NA()</f>
        <v>#N/A</v>
      </c>
      <c r="E384" t="e">
        <f>NA()</f>
        <v>#N/A</v>
      </c>
      <c r="F384" t="e">
        <f>NA()</f>
        <v>#N/A</v>
      </c>
      <c r="G384" t="e">
        <f>NA()</f>
        <v>#N/A</v>
      </c>
      <c r="H384" t="e">
        <f>NA()</f>
        <v>#N/A</v>
      </c>
      <c r="I384" t="e">
        <f>NA()</f>
        <v>#N/A</v>
      </c>
      <c r="J384" t="e">
        <f>NA()</f>
        <v>#N/A</v>
      </c>
      <c r="K384" t="e">
        <f>NA()</f>
        <v>#N/A</v>
      </c>
      <c r="L384" t="e">
        <f>NA()</f>
        <v>#N/A</v>
      </c>
      <c r="M384" t="e">
        <f>NA()</f>
        <v>#N/A</v>
      </c>
      <c r="N384" t="e">
        <f>NA()</f>
        <v>#N/A</v>
      </c>
      <c r="O384">
        <f t="shared" si="14"/>
        <v>5.3</v>
      </c>
    </row>
    <row r="385" spans="1:15" x14ac:dyDescent="0.25">
      <c r="A385" s="1">
        <v>45427</v>
      </c>
      <c r="B385" t="e">
        <f>NA()</f>
        <v>#N/A</v>
      </c>
      <c r="C385" t="e">
        <f>NA()</f>
        <v>#N/A</v>
      </c>
      <c r="D385" t="e">
        <f>NA()</f>
        <v>#N/A</v>
      </c>
      <c r="E385" t="e">
        <f>NA()</f>
        <v>#N/A</v>
      </c>
      <c r="F385" t="e">
        <f>NA()</f>
        <v>#N/A</v>
      </c>
      <c r="G385" t="e">
        <f>NA()</f>
        <v>#N/A</v>
      </c>
      <c r="H385" t="e">
        <f>NA()</f>
        <v>#N/A</v>
      </c>
      <c r="I385" t="e">
        <f>NA()</f>
        <v>#N/A</v>
      </c>
      <c r="J385" t="e">
        <f>NA()</f>
        <v>#N/A</v>
      </c>
      <c r="K385" t="e">
        <f>NA()</f>
        <v>#N/A</v>
      </c>
      <c r="L385" t="e">
        <f>NA()</f>
        <v>#N/A</v>
      </c>
      <c r="M385" t="e">
        <f>NA()</f>
        <v>#N/A</v>
      </c>
      <c r="N385" t="e">
        <f>NA()</f>
        <v>#N/A</v>
      </c>
      <c r="O385">
        <f t="shared" si="14"/>
        <v>5.3</v>
      </c>
    </row>
    <row r="386" spans="1:15" x14ac:dyDescent="0.25">
      <c r="A386" s="1">
        <v>45426</v>
      </c>
      <c r="B386" t="e">
        <f>NA()</f>
        <v>#N/A</v>
      </c>
      <c r="C386" t="e">
        <f>NA()</f>
        <v>#N/A</v>
      </c>
      <c r="D386" t="e">
        <f>NA()</f>
        <v>#N/A</v>
      </c>
      <c r="E386" t="e">
        <f>NA()</f>
        <v>#N/A</v>
      </c>
      <c r="F386" t="e">
        <f>NA()</f>
        <v>#N/A</v>
      </c>
      <c r="G386" t="e">
        <f>NA()</f>
        <v>#N/A</v>
      </c>
      <c r="H386" t="e">
        <f>NA()</f>
        <v>#N/A</v>
      </c>
      <c r="I386" t="e">
        <f>NA()</f>
        <v>#N/A</v>
      </c>
      <c r="J386" t="e">
        <f>NA()</f>
        <v>#N/A</v>
      </c>
      <c r="K386" t="e">
        <f>NA()</f>
        <v>#N/A</v>
      </c>
      <c r="L386" t="e">
        <f>NA()</f>
        <v>#N/A</v>
      </c>
      <c r="M386" t="e">
        <f>NA()</f>
        <v>#N/A</v>
      </c>
      <c r="N386" t="e">
        <f>NA()</f>
        <v>#N/A</v>
      </c>
      <c r="O386">
        <f t="shared" si="14"/>
        <v>5.3</v>
      </c>
    </row>
    <row r="387" spans="1:15" x14ac:dyDescent="0.25">
      <c r="A387" s="1">
        <v>45425</v>
      </c>
      <c r="B387" t="e">
        <f>NA()</f>
        <v>#N/A</v>
      </c>
      <c r="C387" t="e">
        <f>NA()</f>
        <v>#N/A</v>
      </c>
      <c r="D387" t="e">
        <f>NA()</f>
        <v>#N/A</v>
      </c>
      <c r="E387" t="e">
        <f>NA()</f>
        <v>#N/A</v>
      </c>
      <c r="F387" t="e">
        <f>NA()</f>
        <v>#N/A</v>
      </c>
      <c r="G387" t="e">
        <f>NA()</f>
        <v>#N/A</v>
      </c>
      <c r="H387" t="e">
        <f>NA()</f>
        <v>#N/A</v>
      </c>
      <c r="I387" t="e">
        <f>NA()</f>
        <v>#N/A</v>
      </c>
      <c r="J387" t="e">
        <f>NA()</f>
        <v>#N/A</v>
      </c>
      <c r="K387" t="e">
        <f>NA()</f>
        <v>#N/A</v>
      </c>
      <c r="L387" t="e">
        <f>NA()</f>
        <v>#N/A</v>
      </c>
      <c r="M387" t="e">
        <f>NA()</f>
        <v>#N/A</v>
      </c>
      <c r="N387" t="e">
        <f>NA()</f>
        <v>#N/A</v>
      </c>
      <c r="O387">
        <f t="shared" ref="O387:O417" si="15">5.3</f>
        <v>5.3</v>
      </c>
    </row>
    <row r="388" spans="1:15" x14ac:dyDescent="0.25">
      <c r="A388" s="1">
        <v>45422</v>
      </c>
      <c r="B388">
        <f>-0.9</f>
        <v>-0.9</v>
      </c>
      <c r="C388">
        <f>0</f>
        <v>0</v>
      </c>
      <c r="D388" t="e">
        <f>NA()</f>
        <v>#N/A</v>
      </c>
      <c r="E388" t="e">
        <f>NA()</f>
        <v>#N/A</v>
      </c>
      <c r="F388" t="e">
        <f>NA()</f>
        <v>#N/A</v>
      </c>
      <c r="G388" t="e">
        <f>NA()</f>
        <v>#N/A</v>
      </c>
      <c r="H388" t="e">
        <f>NA()</f>
        <v>#N/A</v>
      </c>
      <c r="I388" t="e">
        <f>NA()</f>
        <v>#N/A</v>
      </c>
      <c r="J388" t="e">
        <f>NA()</f>
        <v>#N/A</v>
      </c>
      <c r="K388" t="e">
        <f>NA()</f>
        <v>#N/A</v>
      </c>
      <c r="L388" t="e">
        <f>NA()</f>
        <v>#N/A</v>
      </c>
      <c r="M388" t="e">
        <f>NA()</f>
        <v>#N/A</v>
      </c>
      <c r="N388" t="e">
        <f>NA()</f>
        <v>#N/A</v>
      </c>
      <c r="O388">
        <f t="shared" si="15"/>
        <v>5.3</v>
      </c>
    </row>
    <row r="389" spans="1:15" x14ac:dyDescent="0.25">
      <c r="A389" s="1">
        <v>45421</v>
      </c>
      <c r="B389" t="e">
        <f>NA()</f>
        <v>#N/A</v>
      </c>
      <c r="C389" t="e">
        <f>NA()</f>
        <v>#N/A</v>
      </c>
      <c r="D389" t="e">
        <f>NA()</f>
        <v>#N/A</v>
      </c>
      <c r="E389" t="e">
        <f>NA()</f>
        <v>#N/A</v>
      </c>
      <c r="F389" t="e">
        <f>NA()</f>
        <v>#N/A</v>
      </c>
      <c r="G389" t="e">
        <f>NA()</f>
        <v>#N/A</v>
      </c>
      <c r="H389" t="e">
        <f>NA()</f>
        <v>#N/A</v>
      </c>
      <c r="I389" t="e">
        <f>NA()</f>
        <v>#N/A</v>
      </c>
      <c r="J389" t="e">
        <f>NA()</f>
        <v>#N/A</v>
      </c>
      <c r="K389" t="e">
        <f>NA()</f>
        <v>#N/A</v>
      </c>
      <c r="L389" t="e">
        <f>NA()</f>
        <v>#N/A</v>
      </c>
      <c r="M389" t="e">
        <f>NA()</f>
        <v>#N/A</v>
      </c>
      <c r="N389" t="e">
        <f>NA()</f>
        <v>#N/A</v>
      </c>
      <c r="O389">
        <f t="shared" si="15"/>
        <v>5.3</v>
      </c>
    </row>
    <row r="390" spans="1:15" x14ac:dyDescent="0.25">
      <c r="A390" s="1">
        <v>45420</v>
      </c>
      <c r="B390" t="e">
        <f>NA()</f>
        <v>#N/A</v>
      </c>
      <c r="C390" t="e">
        <f>NA()</f>
        <v>#N/A</v>
      </c>
      <c r="D390" t="e">
        <f>NA()</f>
        <v>#N/A</v>
      </c>
      <c r="E390" t="e">
        <f>NA()</f>
        <v>#N/A</v>
      </c>
      <c r="F390" t="e">
        <f>NA()</f>
        <v>#N/A</v>
      </c>
      <c r="G390" t="e">
        <f>NA()</f>
        <v>#N/A</v>
      </c>
      <c r="H390" t="e">
        <f>NA()</f>
        <v>#N/A</v>
      </c>
      <c r="I390" t="e">
        <f>NA()</f>
        <v>#N/A</v>
      </c>
      <c r="J390" t="e">
        <f>NA()</f>
        <v>#N/A</v>
      </c>
      <c r="K390" t="e">
        <f>NA()</f>
        <v>#N/A</v>
      </c>
      <c r="L390" t="e">
        <f>NA()</f>
        <v>#N/A</v>
      </c>
      <c r="M390" t="e">
        <f>NA()</f>
        <v>#N/A</v>
      </c>
      <c r="N390" t="e">
        <f>NA()</f>
        <v>#N/A</v>
      </c>
      <c r="O390">
        <f t="shared" si="15"/>
        <v>5.3</v>
      </c>
    </row>
    <row r="391" spans="1:15" x14ac:dyDescent="0.25">
      <c r="A391" s="1">
        <v>45419</v>
      </c>
      <c r="B391" t="e">
        <f>NA()</f>
        <v>#N/A</v>
      </c>
      <c r="C391" t="e">
        <f>NA()</f>
        <v>#N/A</v>
      </c>
      <c r="D391" t="e">
        <f>NA()</f>
        <v>#N/A</v>
      </c>
      <c r="E391" t="e">
        <f>NA()</f>
        <v>#N/A</v>
      </c>
      <c r="F391" t="e">
        <f>NA()</f>
        <v>#N/A</v>
      </c>
      <c r="G391" t="e">
        <f>NA()</f>
        <v>#N/A</v>
      </c>
      <c r="H391" t="e">
        <f>NA()</f>
        <v>#N/A</v>
      </c>
      <c r="I391" t="e">
        <f>NA()</f>
        <v>#N/A</v>
      </c>
      <c r="J391" t="e">
        <f>NA()</f>
        <v>#N/A</v>
      </c>
      <c r="K391" t="e">
        <f>NA()</f>
        <v>#N/A</v>
      </c>
      <c r="L391" t="e">
        <f>NA()</f>
        <v>#N/A</v>
      </c>
      <c r="M391" t="e">
        <f>NA()</f>
        <v>#N/A</v>
      </c>
      <c r="N391" t="e">
        <f>NA()</f>
        <v>#N/A</v>
      </c>
      <c r="O391">
        <f t="shared" si="15"/>
        <v>5.3</v>
      </c>
    </row>
    <row r="392" spans="1:15" x14ac:dyDescent="0.25">
      <c r="A392" s="1">
        <v>45418</v>
      </c>
      <c r="B392" t="e">
        <f>NA()</f>
        <v>#N/A</v>
      </c>
      <c r="C392" t="e">
        <f>NA()</f>
        <v>#N/A</v>
      </c>
      <c r="D392" t="e">
        <f>NA()</f>
        <v>#N/A</v>
      </c>
      <c r="E392" t="e">
        <f>NA()</f>
        <v>#N/A</v>
      </c>
      <c r="F392" t="e">
        <f>NA()</f>
        <v>#N/A</v>
      </c>
      <c r="G392" t="e">
        <f>NA()</f>
        <v>#N/A</v>
      </c>
      <c r="H392" t="e">
        <f>NA()</f>
        <v>#N/A</v>
      </c>
      <c r="I392" t="e">
        <f>NA()</f>
        <v>#N/A</v>
      </c>
      <c r="J392" t="e">
        <f>NA()</f>
        <v>#N/A</v>
      </c>
      <c r="K392" t="e">
        <f>NA()</f>
        <v>#N/A</v>
      </c>
      <c r="L392" t="e">
        <f>NA()</f>
        <v>#N/A</v>
      </c>
      <c r="M392" t="e">
        <f>NA()</f>
        <v>#N/A</v>
      </c>
      <c r="N392" t="e">
        <f>NA()</f>
        <v>#N/A</v>
      </c>
      <c r="O392">
        <f t="shared" si="15"/>
        <v>5.3</v>
      </c>
    </row>
    <row r="393" spans="1:15" x14ac:dyDescent="0.25">
      <c r="A393" s="1">
        <v>45415</v>
      </c>
      <c r="B393">
        <f>-0.8</f>
        <v>-0.8</v>
      </c>
      <c r="C393">
        <f>0</f>
        <v>0</v>
      </c>
      <c r="D393" t="e">
        <f>NA()</f>
        <v>#N/A</v>
      </c>
      <c r="E393" t="e">
        <f>NA()</f>
        <v>#N/A</v>
      </c>
      <c r="F393" t="e">
        <f>NA()</f>
        <v>#N/A</v>
      </c>
      <c r="G393" t="e">
        <f>NA()</f>
        <v>#N/A</v>
      </c>
      <c r="H393" t="e">
        <f>NA()</f>
        <v>#N/A</v>
      </c>
      <c r="I393" t="e">
        <f>NA()</f>
        <v>#N/A</v>
      </c>
      <c r="J393" t="e">
        <f>NA()</f>
        <v>#N/A</v>
      </c>
      <c r="K393" t="e">
        <f>NA()</f>
        <v>#N/A</v>
      </c>
      <c r="L393" t="e">
        <f>NA()</f>
        <v>#N/A</v>
      </c>
      <c r="M393" t="e">
        <f>NA()</f>
        <v>#N/A</v>
      </c>
      <c r="N393" t="e">
        <f>NA()</f>
        <v>#N/A</v>
      </c>
      <c r="O393">
        <f t="shared" si="15"/>
        <v>5.3</v>
      </c>
    </row>
    <row r="394" spans="1:15" x14ac:dyDescent="0.25">
      <c r="A394" s="1">
        <v>45414</v>
      </c>
      <c r="B394" t="e">
        <f>NA()</f>
        <v>#N/A</v>
      </c>
      <c r="C394" t="e">
        <f>NA()</f>
        <v>#N/A</v>
      </c>
      <c r="D394" t="e">
        <f>NA()</f>
        <v>#N/A</v>
      </c>
      <c r="E394" t="e">
        <f>NA()</f>
        <v>#N/A</v>
      </c>
      <c r="F394" t="e">
        <f>NA()</f>
        <v>#N/A</v>
      </c>
      <c r="G394" t="e">
        <f>NA()</f>
        <v>#N/A</v>
      </c>
      <c r="H394" t="e">
        <f>NA()</f>
        <v>#N/A</v>
      </c>
      <c r="I394" t="e">
        <f>NA()</f>
        <v>#N/A</v>
      </c>
      <c r="J394" t="e">
        <f>NA()</f>
        <v>#N/A</v>
      </c>
      <c r="K394" t="e">
        <f>NA()</f>
        <v>#N/A</v>
      </c>
      <c r="L394" t="e">
        <f>NA()</f>
        <v>#N/A</v>
      </c>
      <c r="M394" t="e">
        <f>NA()</f>
        <v>#N/A</v>
      </c>
      <c r="N394" t="e">
        <f>NA()</f>
        <v>#N/A</v>
      </c>
      <c r="O394">
        <f t="shared" si="15"/>
        <v>5.3</v>
      </c>
    </row>
    <row r="395" spans="1:15" x14ac:dyDescent="0.25">
      <c r="A395" s="1">
        <v>45413</v>
      </c>
      <c r="B395" t="e">
        <f>NA()</f>
        <v>#N/A</v>
      </c>
      <c r="C395" t="e">
        <f>NA()</f>
        <v>#N/A</v>
      </c>
      <c r="D395" t="e">
        <f>NA()</f>
        <v>#N/A</v>
      </c>
      <c r="E395" t="e">
        <f>NA()</f>
        <v>#N/A</v>
      </c>
      <c r="F395" t="e">
        <f>NA()</f>
        <v>#N/A</v>
      </c>
      <c r="G395" t="e">
        <f>NA()</f>
        <v>#N/A</v>
      </c>
      <c r="H395" t="e">
        <f>NA()</f>
        <v>#N/A</v>
      </c>
      <c r="I395" t="e">
        <f>NA()</f>
        <v>#N/A</v>
      </c>
      <c r="J395" t="e">
        <f>NA()</f>
        <v>#N/A</v>
      </c>
      <c r="K395" t="e">
        <f>NA()</f>
        <v>#N/A</v>
      </c>
      <c r="L395" t="e">
        <f>NA()</f>
        <v>#N/A</v>
      </c>
      <c r="M395" t="e">
        <f>NA()</f>
        <v>#N/A</v>
      </c>
      <c r="N395" t="e">
        <f>NA()</f>
        <v>#N/A</v>
      </c>
      <c r="O395">
        <f t="shared" si="15"/>
        <v>5.3</v>
      </c>
    </row>
    <row r="396" spans="1:15" x14ac:dyDescent="0.25">
      <c r="A396" s="1">
        <v>45412</v>
      </c>
      <c r="B396" t="e">
        <f>NA()</f>
        <v>#N/A</v>
      </c>
      <c r="C396" t="e">
        <f>NA()</f>
        <v>#N/A</v>
      </c>
      <c r="D396">
        <f>0.2</f>
        <v>0.2</v>
      </c>
      <c r="E396">
        <f>0.6</f>
        <v>0.6</v>
      </c>
      <c r="F396">
        <f>7619</f>
        <v>7619</v>
      </c>
      <c r="G396">
        <f>62.7</f>
        <v>62.7</v>
      </c>
      <c r="H396">
        <f>5.5</f>
        <v>5.5</v>
      </c>
      <c r="I396">
        <f>313.5</f>
        <v>313.5</v>
      </c>
      <c r="J396">
        <f>3.4</f>
        <v>3.4</v>
      </c>
      <c r="K396">
        <f>48.8</f>
        <v>48.8</v>
      </c>
      <c r="L396">
        <f>-0.2</f>
        <v>-0.2</v>
      </c>
      <c r="M396" t="e">
        <f>NA()</f>
        <v>#N/A</v>
      </c>
      <c r="N396">
        <f>3.9</f>
        <v>3.9</v>
      </c>
      <c r="O396">
        <f t="shared" si="15"/>
        <v>5.3</v>
      </c>
    </row>
    <row r="397" spans="1:15" x14ac:dyDescent="0.25">
      <c r="A397" s="1">
        <v>45411</v>
      </c>
      <c r="B397" t="e">
        <f>NA()</f>
        <v>#N/A</v>
      </c>
      <c r="C397" t="e">
        <f>NA()</f>
        <v>#N/A</v>
      </c>
      <c r="D397" t="e">
        <f>NA()</f>
        <v>#N/A</v>
      </c>
      <c r="E397" t="e">
        <f>NA()</f>
        <v>#N/A</v>
      </c>
      <c r="F397" t="e">
        <f>NA()</f>
        <v>#N/A</v>
      </c>
      <c r="G397" t="e">
        <f>NA()</f>
        <v>#N/A</v>
      </c>
      <c r="H397" t="e">
        <f>NA()</f>
        <v>#N/A</v>
      </c>
      <c r="I397" t="e">
        <f>NA()</f>
        <v>#N/A</v>
      </c>
      <c r="J397" t="e">
        <f>NA()</f>
        <v>#N/A</v>
      </c>
      <c r="K397" t="e">
        <f>NA()</f>
        <v>#N/A</v>
      </c>
      <c r="L397" t="e">
        <f>NA()</f>
        <v>#N/A</v>
      </c>
      <c r="M397" t="e">
        <f>NA()</f>
        <v>#N/A</v>
      </c>
      <c r="N397" t="e">
        <f>NA()</f>
        <v>#N/A</v>
      </c>
      <c r="O397">
        <f t="shared" si="15"/>
        <v>5.3</v>
      </c>
    </row>
    <row r="398" spans="1:15" x14ac:dyDescent="0.25">
      <c r="A398" s="1">
        <v>45408</v>
      </c>
      <c r="B398">
        <f>-0.8</f>
        <v>-0.8</v>
      </c>
      <c r="C398">
        <f>0</f>
        <v>0</v>
      </c>
      <c r="D398" t="e">
        <f>NA()</f>
        <v>#N/A</v>
      </c>
      <c r="E398" t="e">
        <f>NA()</f>
        <v>#N/A</v>
      </c>
      <c r="F398" t="e">
        <f>NA()</f>
        <v>#N/A</v>
      </c>
      <c r="G398" t="e">
        <f>NA()</f>
        <v>#N/A</v>
      </c>
      <c r="H398" t="e">
        <f>NA()</f>
        <v>#N/A</v>
      </c>
      <c r="I398" t="e">
        <f>NA()</f>
        <v>#N/A</v>
      </c>
      <c r="J398" t="e">
        <f>NA()</f>
        <v>#N/A</v>
      </c>
      <c r="K398" t="e">
        <f>NA()</f>
        <v>#N/A</v>
      </c>
      <c r="L398" t="e">
        <f>NA()</f>
        <v>#N/A</v>
      </c>
      <c r="M398" t="e">
        <f>NA()</f>
        <v>#N/A</v>
      </c>
      <c r="N398" t="e">
        <f>NA()</f>
        <v>#N/A</v>
      </c>
      <c r="O398">
        <f t="shared" si="15"/>
        <v>5.3</v>
      </c>
    </row>
    <row r="399" spans="1:15" x14ac:dyDescent="0.25">
      <c r="A399" s="1">
        <v>45407</v>
      </c>
      <c r="B399" t="e">
        <f>NA()</f>
        <v>#N/A</v>
      </c>
      <c r="C399" t="e">
        <f>NA()</f>
        <v>#N/A</v>
      </c>
      <c r="D399" t="e">
        <f>NA()</f>
        <v>#N/A</v>
      </c>
      <c r="E399" t="e">
        <f>NA()</f>
        <v>#N/A</v>
      </c>
      <c r="F399" t="e">
        <f>NA()</f>
        <v>#N/A</v>
      </c>
      <c r="G399" t="e">
        <f>NA()</f>
        <v>#N/A</v>
      </c>
      <c r="H399" t="e">
        <f>NA()</f>
        <v>#N/A</v>
      </c>
      <c r="I399" t="e">
        <f>NA()</f>
        <v>#N/A</v>
      </c>
      <c r="J399" t="e">
        <f>NA()</f>
        <v>#N/A</v>
      </c>
      <c r="K399" t="e">
        <f>NA()</f>
        <v>#N/A</v>
      </c>
      <c r="L399" t="e">
        <f>NA()</f>
        <v>#N/A</v>
      </c>
      <c r="M399" t="e">
        <f>NA()</f>
        <v>#N/A</v>
      </c>
      <c r="N399" t="e">
        <f>NA()</f>
        <v>#N/A</v>
      </c>
      <c r="O399">
        <f t="shared" si="15"/>
        <v>5.3</v>
      </c>
    </row>
    <row r="400" spans="1:15" x14ac:dyDescent="0.25">
      <c r="A400" s="1">
        <v>45406</v>
      </c>
      <c r="B400" t="e">
        <f>NA()</f>
        <v>#N/A</v>
      </c>
      <c r="C400" t="e">
        <f>NA()</f>
        <v>#N/A</v>
      </c>
      <c r="D400" t="e">
        <f>NA()</f>
        <v>#N/A</v>
      </c>
      <c r="E400" t="e">
        <f>NA()</f>
        <v>#N/A</v>
      </c>
      <c r="F400" t="e">
        <f>NA()</f>
        <v>#N/A</v>
      </c>
      <c r="G400" t="e">
        <f>NA()</f>
        <v>#N/A</v>
      </c>
      <c r="H400" t="e">
        <f>NA()</f>
        <v>#N/A</v>
      </c>
      <c r="I400" t="e">
        <f>NA()</f>
        <v>#N/A</v>
      </c>
      <c r="J400" t="e">
        <f>NA()</f>
        <v>#N/A</v>
      </c>
      <c r="K400" t="e">
        <f>NA()</f>
        <v>#N/A</v>
      </c>
      <c r="L400" t="e">
        <f>NA()</f>
        <v>#N/A</v>
      </c>
      <c r="M400" t="e">
        <f>NA()</f>
        <v>#N/A</v>
      </c>
      <c r="N400" t="e">
        <f>NA()</f>
        <v>#N/A</v>
      </c>
      <c r="O400">
        <f t="shared" si="15"/>
        <v>5.3</v>
      </c>
    </row>
    <row r="401" spans="1:15" x14ac:dyDescent="0.25">
      <c r="A401" s="1">
        <v>45405</v>
      </c>
      <c r="B401" t="e">
        <f>NA()</f>
        <v>#N/A</v>
      </c>
      <c r="C401" t="e">
        <f>NA()</f>
        <v>#N/A</v>
      </c>
      <c r="D401" t="e">
        <f>NA()</f>
        <v>#N/A</v>
      </c>
      <c r="E401" t="e">
        <f>NA()</f>
        <v>#N/A</v>
      </c>
      <c r="F401" t="e">
        <f>NA()</f>
        <v>#N/A</v>
      </c>
      <c r="G401" t="e">
        <f>NA()</f>
        <v>#N/A</v>
      </c>
      <c r="H401" t="e">
        <f>NA()</f>
        <v>#N/A</v>
      </c>
      <c r="I401" t="e">
        <f>NA()</f>
        <v>#N/A</v>
      </c>
      <c r="J401" t="e">
        <f>NA()</f>
        <v>#N/A</v>
      </c>
      <c r="K401" t="e">
        <f>NA()</f>
        <v>#N/A</v>
      </c>
      <c r="L401" t="e">
        <f>NA()</f>
        <v>#N/A</v>
      </c>
      <c r="M401" t="e">
        <f>NA()</f>
        <v>#N/A</v>
      </c>
      <c r="N401" t="e">
        <f>NA()</f>
        <v>#N/A</v>
      </c>
      <c r="O401">
        <f t="shared" si="15"/>
        <v>5.3</v>
      </c>
    </row>
    <row r="402" spans="1:15" x14ac:dyDescent="0.25">
      <c r="A402" s="1">
        <v>45404</v>
      </c>
      <c r="B402" t="e">
        <f>NA()</f>
        <v>#N/A</v>
      </c>
      <c r="C402" t="e">
        <f>NA()</f>
        <v>#N/A</v>
      </c>
      <c r="D402" t="e">
        <f>NA()</f>
        <v>#N/A</v>
      </c>
      <c r="E402" t="e">
        <f>NA()</f>
        <v>#N/A</v>
      </c>
      <c r="F402" t="e">
        <f>NA()</f>
        <v>#N/A</v>
      </c>
      <c r="G402" t="e">
        <f>NA()</f>
        <v>#N/A</v>
      </c>
      <c r="H402" t="e">
        <f>NA()</f>
        <v>#N/A</v>
      </c>
      <c r="I402" t="e">
        <f>NA()</f>
        <v>#N/A</v>
      </c>
      <c r="J402" t="e">
        <f>NA()</f>
        <v>#N/A</v>
      </c>
      <c r="K402" t="e">
        <f>NA()</f>
        <v>#N/A</v>
      </c>
      <c r="L402" t="e">
        <f>NA()</f>
        <v>#N/A</v>
      </c>
      <c r="M402" t="e">
        <f>NA()</f>
        <v>#N/A</v>
      </c>
      <c r="N402" t="e">
        <f>NA()</f>
        <v>#N/A</v>
      </c>
      <c r="O402">
        <f t="shared" si="15"/>
        <v>5.3</v>
      </c>
    </row>
    <row r="403" spans="1:15" x14ac:dyDescent="0.25">
      <c r="A403" s="1">
        <v>45401</v>
      </c>
      <c r="B403">
        <f>-0.4</f>
        <v>-0.4</v>
      </c>
      <c r="C403">
        <f>0</f>
        <v>0</v>
      </c>
      <c r="D403" t="e">
        <f>NA()</f>
        <v>#N/A</v>
      </c>
      <c r="E403" t="e">
        <f>NA()</f>
        <v>#N/A</v>
      </c>
      <c r="F403" t="e">
        <f>NA()</f>
        <v>#N/A</v>
      </c>
      <c r="G403" t="e">
        <f>NA()</f>
        <v>#N/A</v>
      </c>
      <c r="H403" t="e">
        <f>NA()</f>
        <v>#N/A</v>
      </c>
      <c r="I403" t="e">
        <f>NA()</f>
        <v>#N/A</v>
      </c>
      <c r="J403" t="e">
        <f>NA()</f>
        <v>#N/A</v>
      </c>
      <c r="K403" t="e">
        <f>NA()</f>
        <v>#N/A</v>
      </c>
      <c r="L403" t="e">
        <f>NA()</f>
        <v>#N/A</v>
      </c>
      <c r="M403" t="e">
        <f>NA()</f>
        <v>#N/A</v>
      </c>
      <c r="N403" t="e">
        <f>NA()</f>
        <v>#N/A</v>
      </c>
      <c r="O403">
        <f t="shared" si="15"/>
        <v>5.3</v>
      </c>
    </row>
    <row r="404" spans="1:15" x14ac:dyDescent="0.25">
      <c r="A404" s="1">
        <v>45400</v>
      </c>
      <c r="B404" t="e">
        <f>NA()</f>
        <v>#N/A</v>
      </c>
      <c r="C404" t="e">
        <f>NA()</f>
        <v>#N/A</v>
      </c>
      <c r="D404" t="e">
        <f>NA()</f>
        <v>#N/A</v>
      </c>
      <c r="E404" t="e">
        <f>NA()</f>
        <v>#N/A</v>
      </c>
      <c r="F404" t="e">
        <f>NA()</f>
        <v>#N/A</v>
      </c>
      <c r="G404" t="e">
        <f>NA()</f>
        <v>#N/A</v>
      </c>
      <c r="H404" t="e">
        <f>NA()</f>
        <v>#N/A</v>
      </c>
      <c r="I404" t="e">
        <f>NA()</f>
        <v>#N/A</v>
      </c>
      <c r="J404" t="e">
        <f>NA()</f>
        <v>#N/A</v>
      </c>
      <c r="K404" t="e">
        <f>NA()</f>
        <v>#N/A</v>
      </c>
      <c r="L404" t="e">
        <f>NA()</f>
        <v>#N/A</v>
      </c>
      <c r="M404" t="e">
        <f>NA()</f>
        <v>#N/A</v>
      </c>
      <c r="N404" t="e">
        <f>NA()</f>
        <v>#N/A</v>
      </c>
      <c r="O404">
        <f t="shared" si="15"/>
        <v>5.3</v>
      </c>
    </row>
    <row r="405" spans="1:15" x14ac:dyDescent="0.25">
      <c r="A405" s="1">
        <v>45399</v>
      </c>
      <c r="B405" t="e">
        <f>NA()</f>
        <v>#N/A</v>
      </c>
      <c r="C405" t="e">
        <f>NA()</f>
        <v>#N/A</v>
      </c>
      <c r="D405" t="e">
        <f>NA()</f>
        <v>#N/A</v>
      </c>
      <c r="E405" t="e">
        <f>NA()</f>
        <v>#N/A</v>
      </c>
      <c r="F405" t="e">
        <f>NA()</f>
        <v>#N/A</v>
      </c>
      <c r="G405" t="e">
        <f>NA()</f>
        <v>#N/A</v>
      </c>
      <c r="H405" t="e">
        <f>NA()</f>
        <v>#N/A</v>
      </c>
      <c r="I405" t="e">
        <f>NA()</f>
        <v>#N/A</v>
      </c>
      <c r="J405" t="e">
        <f>NA()</f>
        <v>#N/A</v>
      </c>
      <c r="K405" t="e">
        <f>NA()</f>
        <v>#N/A</v>
      </c>
      <c r="L405" t="e">
        <f>NA()</f>
        <v>#N/A</v>
      </c>
      <c r="M405" t="e">
        <f>NA()</f>
        <v>#N/A</v>
      </c>
      <c r="N405" t="e">
        <f>NA()</f>
        <v>#N/A</v>
      </c>
      <c r="O405">
        <f t="shared" si="15"/>
        <v>5.3</v>
      </c>
    </row>
    <row r="406" spans="1:15" x14ac:dyDescent="0.25">
      <c r="A406" s="1">
        <v>45398</v>
      </c>
      <c r="B406" t="e">
        <f>NA()</f>
        <v>#N/A</v>
      </c>
      <c r="C406" t="e">
        <f>NA()</f>
        <v>#N/A</v>
      </c>
      <c r="D406" t="e">
        <f>NA()</f>
        <v>#N/A</v>
      </c>
      <c r="E406" t="e">
        <f>NA()</f>
        <v>#N/A</v>
      </c>
      <c r="F406" t="e">
        <f>NA()</f>
        <v>#N/A</v>
      </c>
      <c r="G406" t="e">
        <f>NA()</f>
        <v>#N/A</v>
      </c>
      <c r="H406" t="e">
        <f>NA()</f>
        <v>#N/A</v>
      </c>
      <c r="I406" t="e">
        <f>NA()</f>
        <v>#N/A</v>
      </c>
      <c r="J406" t="e">
        <f>NA()</f>
        <v>#N/A</v>
      </c>
      <c r="K406" t="e">
        <f>NA()</f>
        <v>#N/A</v>
      </c>
      <c r="L406" t="e">
        <f>NA()</f>
        <v>#N/A</v>
      </c>
      <c r="M406" t="e">
        <f>NA()</f>
        <v>#N/A</v>
      </c>
      <c r="N406" t="e">
        <f>NA()</f>
        <v>#N/A</v>
      </c>
      <c r="O406">
        <f t="shared" si="15"/>
        <v>5.3</v>
      </c>
    </row>
    <row r="407" spans="1:15" x14ac:dyDescent="0.25">
      <c r="A407" s="1">
        <v>45397</v>
      </c>
      <c r="B407" t="e">
        <f>NA()</f>
        <v>#N/A</v>
      </c>
      <c r="C407" t="e">
        <f>NA()</f>
        <v>#N/A</v>
      </c>
      <c r="D407" t="e">
        <f>NA()</f>
        <v>#N/A</v>
      </c>
      <c r="E407" t="e">
        <f>NA()</f>
        <v>#N/A</v>
      </c>
      <c r="F407" t="e">
        <f>NA()</f>
        <v>#N/A</v>
      </c>
      <c r="G407" t="e">
        <f>NA()</f>
        <v>#N/A</v>
      </c>
      <c r="H407" t="e">
        <f>NA()</f>
        <v>#N/A</v>
      </c>
      <c r="I407" t="e">
        <f>NA()</f>
        <v>#N/A</v>
      </c>
      <c r="J407" t="e">
        <f>NA()</f>
        <v>#N/A</v>
      </c>
      <c r="K407" t="e">
        <f>NA()</f>
        <v>#N/A</v>
      </c>
      <c r="L407" t="e">
        <f>NA()</f>
        <v>#N/A</v>
      </c>
      <c r="M407" t="e">
        <f>NA()</f>
        <v>#N/A</v>
      </c>
      <c r="N407" t="e">
        <f>NA()</f>
        <v>#N/A</v>
      </c>
      <c r="O407">
        <f t="shared" si="15"/>
        <v>5.3</v>
      </c>
    </row>
    <row r="408" spans="1:15" x14ac:dyDescent="0.25">
      <c r="A408" s="1">
        <v>45394</v>
      </c>
      <c r="B408">
        <f>-0.8</f>
        <v>-0.8</v>
      </c>
      <c r="C408">
        <f>0</f>
        <v>0</v>
      </c>
      <c r="D408" t="e">
        <f>NA()</f>
        <v>#N/A</v>
      </c>
      <c r="E408" t="e">
        <f>NA()</f>
        <v>#N/A</v>
      </c>
      <c r="F408" t="e">
        <f>NA()</f>
        <v>#N/A</v>
      </c>
      <c r="G408" t="e">
        <f>NA()</f>
        <v>#N/A</v>
      </c>
      <c r="H408" t="e">
        <f>NA()</f>
        <v>#N/A</v>
      </c>
      <c r="I408" t="e">
        <f>NA()</f>
        <v>#N/A</v>
      </c>
      <c r="J408" t="e">
        <f>NA()</f>
        <v>#N/A</v>
      </c>
      <c r="K408" t="e">
        <f>NA()</f>
        <v>#N/A</v>
      </c>
      <c r="L408" t="e">
        <f>NA()</f>
        <v>#N/A</v>
      </c>
      <c r="M408" t="e">
        <f>NA()</f>
        <v>#N/A</v>
      </c>
      <c r="N408" t="e">
        <f>NA()</f>
        <v>#N/A</v>
      </c>
      <c r="O408">
        <f t="shared" si="15"/>
        <v>5.3</v>
      </c>
    </row>
    <row r="409" spans="1:15" x14ac:dyDescent="0.25">
      <c r="A409" s="1">
        <v>45393</v>
      </c>
      <c r="B409" t="e">
        <f>NA()</f>
        <v>#N/A</v>
      </c>
      <c r="C409" t="e">
        <f>NA()</f>
        <v>#N/A</v>
      </c>
      <c r="D409" t="e">
        <f>NA()</f>
        <v>#N/A</v>
      </c>
      <c r="E409" t="e">
        <f>NA()</f>
        <v>#N/A</v>
      </c>
      <c r="F409" t="e">
        <f>NA()</f>
        <v>#N/A</v>
      </c>
      <c r="G409" t="e">
        <f>NA()</f>
        <v>#N/A</v>
      </c>
      <c r="H409" t="e">
        <f>NA()</f>
        <v>#N/A</v>
      </c>
      <c r="I409" t="e">
        <f>NA()</f>
        <v>#N/A</v>
      </c>
      <c r="J409" t="e">
        <f>NA()</f>
        <v>#N/A</v>
      </c>
      <c r="K409" t="e">
        <f>NA()</f>
        <v>#N/A</v>
      </c>
      <c r="L409" t="e">
        <f>NA()</f>
        <v>#N/A</v>
      </c>
      <c r="M409" t="e">
        <f>NA()</f>
        <v>#N/A</v>
      </c>
      <c r="N409" t="e">
        <f>NA()</f>
        <v>#N/A</v>
      </c>
      <c r="O409">
        <f t="shared" si="15"/>
        <v>5.3</v>
      </c>
    </row>
    <row r="410" spans="1:15" x14ac:dyDescent="0.25">
      <c r="A410" s="1">
        <v>45392</v>
      </c>
      <c r="B410" t="e">
        <f>NA()</f>
        <v>#N/A</v>
      </c>
      <c r="C410" t="e">
        <f>NA()</f>
        <v>#N/A</v>
      </c>
      <c r="D410" t="e">
        <f>NA()</f>
        <v>#N/A</v>
      </c>
      <c r="E410" t="e">
        <f>NA()</f>
        <v>#N/A</v>
      </c>
      <c r="F410" t="e">
        <f>NA()</f>
        <v>#N/A</v>
      </c>
      <c r="G410" t="e">
        <f>NA()</f>
        <v>#N/A</v>
      </c>
      <c r="H410" t="e">
        <f>NA()</f>
        <v>#N/A</v>
      </c>
      <c r="I410" t="e">
        <f>NA()</f>
        <v>#N/A</v>
      </c>
      <c r="J410" t="e">
        <f>NA()</f>
        <v>#N/A</v>
      </c>
      <c r="K410" t="e">
        <f>NA()</f>
        <v>#N/A</v>
      </c>
      <c r="L410" t="e">
        <f>NA()</f>
        <v>#N/A</v>
      </c>
      <c r="M410" t="e">
        <f>NA()</f>
        <v>#N/A</v>
      </c>
      <c r="N410" t="e">
        <f>NA()</f>
        <v>#N/A</v>
      </c>
      <c r="O410">
        <f t="shared" si="15"/>
        <v>5.3</v>
      </c>
    </row>
    <row r="411" spans="1:15" x14ac:dyDescent="0.25">
      <c r="A411" s="1">
        <v>45391</v>
      </c>
      <c r="B411" t="e">
        <f>NA()</f>
        <v>#N/A</v>
      </c>
      <c r="C411" t="e">
        <f>NA()</f>
        <v>#N/A</v>
      </c>
      <c r="D411" t="e">
        <f>NA()</f>
        <v>#N/A</v>
      </c>
      <c r="E411" t="e">
        <f>NA()</f>
        <v>#N/A</v>
      </c>
      <c r="F411" t="e">
        <f>NA()</f>
        <v>#N/A</v>
      </c>
      <c r="G411" t="e">
        <f>NA()</f>
        <v>#N/A</v>
      </c>
      <c r="H411" t="e">
        <f>NA()</f>
        <v>#N/A</v>
      </c>
      <c r="I411" t="e">
        <f>NA()</f>
        <v>#N/A</v>
      </c>
      <c r="J411" t="e">
        <f>NA()</f>
        <v>#N/A</v>
      </c>
      <c r="K411" t="e">
        <f>NA()</f>
        <v>#N/A</v>
      </c>
      <c r="L411" t="e">
        <f>NA()</f>
        <v>#N/A</v>
      </c>
      <c r="M411" t="e">
        <f>NA()</f>
        <v>#N/A</v>
      </c>
      <c r="N411" t="e">
        <f>NA()</f>
        <v>#N/A</v>
      </c>
      <c r="O411">
        <f t="shared" si="15"/>
        <v>5.3</v>
      </c>
    </row>
    <row r="412" spans="1:15" x14ac:dyDescent="0.25">
      <c r="A412" s="1">
        <v>45390</v>
      </c>
      <c r="B412" t="e">
        <f>NA()</f>
        <v>#N/A</v>
      </c>
      <c r="C412" t="e">
        <f>NA()</f>
        <v>#N/A</v>
      </c>
      <c r="D412" t="e">
        <f>NA()</f>
        <v>#N/A</v>
      </c>
      <c r="E412" t="e">
        <f>NA()</f>
        <v>#N/A</v>
      </c>
      <c r="F412" t="e">
        <f>NA()</f>
        <v>#N/A</v>
      </c>
      <c r="G412" t="e">
        <f>NA()</f>
        <v>#N/A</v>
      </c>
      <c r="H412" t="e">
        <f>NA()</f>
        <v>#N/A</v>
      </c>
      <c r="I412" t="e">
        <f>NA()</f>
        <v>#N/A</v>
      </c>
      <c r="J412" t="e">
        <f>NA()</f>
        <v>#N/A</v>
      </c>
      <c r="K412" t="e">
        <f>NA()</f>
        <v>#N/A</v>
      </c>
      <c r="L412" t="e">
        <f>NA()</f>
        <v>#N/A</v>
      </c>
      <c r="M412" t="e">
        <f>NA()</f>
        <v>#N/A</v>
      </c>
      <c r="N412" t="e">
        <f>NA()</f>
        <v>#N/A</v>
      </c>
      <c r="O412">
        <f t="shared" si="15"/>
        <v>5.3</v>
      </c>
    </row>
    <row r="413" spans="1:15" x14ac:dyDescent="0.25">
      <c r="A413" s="1">
        <v>45387</v>
      </c>
      <c r="B413">
        <f>-0.8</f>
        <v>-0.8</v>
      </c>
      <c r="C413">
        <f>0</f>
        <v>0</v>
      </c>
      <c r="D413" t="e">
        <f>NA()</f>
        <v>#N/A</v>
      </c>
      <c r="E413" t="e">
        <f>NA()</f>
        <v>#N/A</v>
      </c>
      <c r="F413" t="e">
        <f>NA()</f>
        <v>#N/A</v>
      </c>
      <c r="G413" t="e">
        <f>NA()</f>
        <v>#N/A</v>
      </c>
      <c r="H413" t="e">
        <f>NA()</f>
        <v>#N/A</v>
      </c>
      <c r="I413" t="e">
        <f>NA()</f>
        <v>#N/A</v>
      </c>
      <c r="J413" t="e">
        <f>NA()</f>
        <v>#N/A</v>
      </c>
      <c r="K413" t="e">
        <f>NA()</f>
        <v>#N/A</v>
      </c>
      <c r="L413" t="e">
        <f>NA()</f>
        <v>#N/A</v>
      </c>
      <c r="M413" t="e">
        <f>NA()</f>
        <v>#N/A</v>
      </c>
      <c r="N413" t="e">
        <f>NA()</f>
        <v>#N/A</v>
      </c>
      <c r="O413">
        <f t="shared" si="15"/>
        <v>5.3</v>
      </c>
    </row>
    <row r="414" spans="1:15" x14ac:dyDescent="0.25">
      <c r="A414" s="1">
        <v>45386</v>
      </c>
      <c r="B414" t="e">
        <f>NA()</f>
        <v>#N/A</v>
      </c>
      <c r="C414" t="e">
        <f>NA()</f>
        <v>#N/A</v>
      </c>
      <c r="D414" t="e">
        <f>NA()</f>
        <v>#N/A</v>
      </c>
      <c r="E414" t="e">
        <f>NA()</f>
        <v>#N/A</v>
      </c>
      <c r="F414" t="e">
        <f>NA()</f>
        <v>#N/A</v>
      </c>
      <c r="G414" t="e">
        <f>NA()</f>
        <v>#N/A</v>
      </c>
      <c r="H414" t="e">
        <f>NA()</f>
        <v>#N/A</v>
      </c>
      <c r="I414" t="e">
        <f>NA()</f>
        <v>#N/A</v>
      </c>
      <c r="J414" t="e">
        <f>NA()</f>
        <v>#N/A</v>
      </c>
      <c r="K414" t="e">
        <f>NA()</f>
        <v>#N/A</v>
      </c>
      <c r="L414" t="e">
        <f>NA()</f>
        <v>#N/A</v>
      </c>
      <c r="M414" t="e">
        <f>NA()</f>
        <v>#N/A</v>
      </c>
      <c r="N414" t="e">
        <f>NA()</f>
        <v>#N/A</v>
      </c>
      <c r="O414">
        <f t="shared" si="15"/>
        <v>5.3</v>
      </c>
    </row>
    <row r="415" spans="1:15" x14ac:dyDescent="0.25">
      <c r="A415" s="1">
        <v>45385</v>
      </c>
      <c r="B415" t="e">
        <f>NA()</f>
        <v>#N/A</v>
      </c>
      <c r="C415" t="e">
        <f>NA()</f>
        <v>#N/A</v>
      </c>
      <c r="D415" t="e">
        <f>NA()</f>
        <v>#N/A</v>
      </c>
      <c r="E415" t="e">
        <f>NA()</f>
        <v>#N/A</v>
      </c>
      <c r="F415" t="e">
        <f>NA()</f>
        <v>#N/A</v>
      </c>
      <c r="G415" t="e">
        <f>NA()</f>
        <v>#N/A</v>
      </c>
      <c r="H415" t="e">
        <f>NA()</f>
        <v>#N/A</v>
      </c>
      <c r="I415" t="e">
        <f>NA()</f>
        <v>#N/A</v>
      </c>
      <c r="J415" t="e">
        <f>NA()</f>
        <v>#N/A</v>
      </c>
      <c r="K415" t="e">
        <f>NA()</f>
        <v>#N/A</v>
      </c>
      <c r="L415" t="e">
        <f>NA()</f>
        <v>#N/A</v>
      </c>
      <c r="M415" t="e">
        <f>NA()</f>
        <v>#N/A</v>
      </c>
      <c r="N415" t="e">
        <f>NA()</f>
        <v>#N/A</v>
      </c>
      <c r="O415">
        <f t="shared" si="15"/>
        <v>5.3</v>
      </c>
    </row>
    <row r="416" spans="1:15" x14ac:dyDescent="0.25">
      <c r="A416" s="1">
        <v>45384</v>
      </c>
      <c r="B416" t="e">
        <f>NA()</f>
        <v>#N/A</v>
      </c>
      <c r="C416" t="e">
        <f>NA()</f>
        <v>#N/A</v>
      </c>
      <c r="D416" t="e">
        <f>NA()</f>
        <v>#N/A</v>
      </c>
      <c r="E416" t="e">
        <f>NA()</f>
        <v>#N/A</v>
      </c>
      <c r="F416" t="e">
        <f>NA()</f>
        <v>#N/A</v>
      </c>
      <c r="G416" t="e">
        <f>NA()</f>
        <v>#N/A</v>
      </c>
      <c r="H416" t="e">
        <f>NA()</f>
        <v>#N/A</v>
      </c>
      <c r="I416" t="e">
        <f>NA()</f>
        <v>#N/A</v>
      </c>
      <c r="J416" t="e">
        <f>NA()</f>
        <v>#N/A</v>
      </c>
      <c r="K416" t="e">
        <f>NA()</f>
        <v>#N/A</v>
      </c>
      <c r="L416" t="e">
        <f>NA()</f>
        <v>#N/A</v>
      </c>
      <c r="M416" t="e">
        <f>NA()</f>
        <v>#N/A</v>
      </c>
      <c r="N416" t="e">
        <f>NA()</f>
        <v>#N/A</v>
      </c>
      <c r="O416">
        <f t="shared" si="15"/>
        <v>5.3</v>
      </c>
    </row>
    <row r="417" spans="1:15" x14ac:dyDescent="0.25">
      <c r="A417" s="1">
        <v>45383</v>
      </c>
      <c r="B417" t="e">
        <f>NA()</f>
        <v>#N/A</v>
      </c>
      <c r="C417" t="e">
        <f>NA()</f>
        <v>#N/A</v>
      </c>
      <c r="D417" t="e">
        <f>NA()</f>
        <v>#N/A</v>
      </c>
      <c r="E417" t="e">
        <f>NA()</f>
        <v>#N/A</v>
      </c>
      <c r="F417" t="e">
        <f>NA()</f>
        <v>#N/A</v>
      </c>
      <c r="G417" t="e">
        <f>NA()</f>
        <v>#N/A</v>
      </c>
      <c r="H417" t="e">
        <f>NA()</f>
        <v>#N/A</v>
      </c>
      <c r="I417" t="e">
        <f>NA()</f>
        <v>#N/A</v>
      </c>
      <c r="J417" t="e">
        <f>NA()</f>
        <v>#N/A</v>
      </c>
      <c r="K417" t="e">
        <f>NA()</f>
        <v>#N/A</v>
      </c>
      <c r="L417" t="e">
        <f>NA()</f>
        <v>#N/A</v>
      </c>
      <c r="M417" t="e">
        <f>NA()</f>
        <v>#N/A</v>
      </c>
      <c r="N417" t="e">
        <f>NA()</f>
        <v>#N/A</v>
      </c>
      <c r="O417">
        <f t="shared" si="15"/>
        <v>5.3</v>
      </c>
    </row>
    <row r="418" spans="1:15" x14ac:dyDescent="0.25">
      <c r="A418" s="1">
        <v>45382</v>
      </c>
      <c r="B418" t="e">
        <f>NA()</f>
        <v>#N/A</v>
      </c>
      <c r="C418" t="e">
        <f>NA()</f>
        <v>#N/A</v>
      </c>
      <c r="D418">
        <f>0.4</f>
        <v>0.4</v>
      </c>
      <c r="E418">
        <f>0.7</f>
        <v>0.7</v>
      </c>
      <c r="F418">
        <f>8093</f>
        <v>8093</v>
      </c>
      <c r="G418">
        <f>62.7</f>
        <v>62.7</v>
      </c>
      <c r="H418">
        <f>5.7</f>
        <v>5.7</v>
      </c>
      <c r="I418">
        <f>312.3</f>
        <v>312.3</v>
      </c>
      <c r="J418">
        <f>3.5</f>
        <v>3.5</v>
      </c>
      <c r="K418">
        <f>49.8</f>
        <v>49.8</v>
      </c>
      <c r="L418">
        <f>-0.2</f>
        <v>-0.2</v>
      </c>
      <c r="M418">
        <f>0.8</f>
        <v>0.8</v>
      </c>
      <c r="N418">
        <f>3.9</f>
        <v>3.9</v>
      </c>
      <c r="O418" t="e">
        <f>NA()</f>
        <v>#N/A</v>
      </c>
    </row>
    <row r="419" spans="1:15" x14ac:dyDescent="0.25">
      <c r="A419" s="1">
        <v>45380</v>
      </c>
      <c r="B419">
        <f>-0.9</f>
        <v>-0.9</v>
      </c>
      <c r="C419">
        <f>0</f>
        <v>0</v>
      </c>
      <c r="D419" t="e">
        <f>NA()</f>
        <v>#N/A</v>
      </c>
      <c r="E419" t="e">
        <f>NA()</f>
        <v>#N/A</v>
      </c>
      <c r="F419" t="e">
        <f>NA()</f>
        <v>#N/A</v>
      </c>
      <c r="G419" t="e">
        <f>NA()</f>
        <v>#N/A</v>
      </c>
      <c r="H419" t="e">
        <f>NA()</f>
        <v>#N/A</v>
      </c>
      <c r="I419" t="e">
        <f>NA()</f>
        <v>#N/A</v>
      </c>
      <c r="J419" t="e">
        <f>NA()</f>
        <v>#N/A</v>
      </c>
      <c r="K419" t="e">
        <f>NA()</f>
        <v>#N/A</v>
      </c>
      <c r="L419" t="e">
        <f>NA()</f>
        <v>#N/A</v>
      </c>
      <c r="M419" t="e">
        <f>NA()</f>
        <v>#N/A</v>
      </c>
      <c r="N419" t="e">
        <f>NA()</f>
        <v>#N/A</v>
      </c>
      <c r="O419">
        <f t="shared" ref="O419:O450" si="16">5.3</f>
        <v>5.3</v>
      </c>
    </row>
    <row r="420" spans="1:15" x14ac:dyDescent="0.25">
      <c r="A420" s="1">
        <v>45379</v>
      </c>
      <c r="B420" t="e">
        <f>NA()</f>
        <v>#N/A</v>
      </c>
      <c r="C420" t="e">
        <f>NA()</f>
        <v>#N/A</v>
      </c>
      <c r="D420" t="e">
        <f>NA()</f>
        <v>#N/A</v>
      </c>
      <c r="E420" t="e">
        <f>NA()</f>
        <v>#N/A</v>
      </c>
      <c r="F420" t="e">
        <f>NA()</f>
        <v>#N/A</v>
      </c>
      <c r="G420" t="e">
        <f>NA()</f>
        <v>#N/A</v>
      </c>
      <c r="H420" t="e">
        <f>NA()</f>
        <v>#N/A</v>
      </c>
      <c r="I420" t="e">
        <f>NA()</f>
        <v>#N/A</v>
      </c>
      <c r="J420" t="e">
        <f>NA()</f>
        <v>#N/A</v>
      </c>
      <c r="K420" t="e">
        <f>NA()</f>
        <v>#N/A</v>
      </c>
      <c r="L420" t="e">
        <f>NA()</f>
        <v>#N/A</v>
      </c>
      <c r="M420" t="e">
        <f>NA()</f>
        <v>#N/A</v>
      </c>
      <c r="N420" t="e">
        <f>NA()</f>
        <v>#N/A</v>
      </c>
      <c r="O420">
        <f t="shared" si="16"/>
        <v>5.3</v>
      </c>
    </row>
    <row r="421" spans="1:15" x14ac:dyDescent="0.25">
      <c r="A421" s="1">
        <v>45378</v>
      </c>
      <c r="B421" t="e">
        <f>NA()</f>
        <v>#N/A</v>
      </c>
      <c r="C421" t="e">
        <f>NA()</f>
        <v>#N/A</v>
      </c>
      <c r="D421" t="e">
        <f>NA()</f>
        <v>#N/A</v>
      </c>
      <c r="E421" t="e">
        <f>NA()</f>
        <v>#N/A</v>
      </c>
      <c r="F421" t="e">
        <f>NA()</f>
        <v>#N/A</v>
      </c>
      <c r="G421" t="e">
        <f>NA()</f>
        <v>#N/A</v>
      </c>
      <c r="H421" t="e">
        <f>NA()</f>
        <v>#N/A</v>
      </c>
      <c r="I421" t="e">
        <f>NA()</f>
        <v>#N/A</v>
      </c>
      <c r="J421" t="e">
        <f>NA()</f>
        <v>#N/A</v>
      </c>
      <c r="K421" t="e">
        <f>NA()</f>
        <v>#N/A</v>
      </c>
      <c r="L421" t="e">
        <f>NA()</f>
        <v>#N/A</v>
      </c>
      <c r="M421" t="e">
        <f>NA()</f>
        <v>#N/A</v>
      </c>
      <c r="N421" t="e">
        <f>NA()</f>
        <v>#N/A</v>
      </c>
      <c r="O421">
        <f t="shared" si="16"/>
        <v>5.3</v>
      </c>
    </row>
    <row r="422" spans="1:15" x14ac:dyDescent="0.25">
      <c r="A422" s="1">
        <v>45377</v>
      </c>
      <c r="B422" t="e">
        <f>NA()</f>
        <v>#N/A</v>
      </c>
      <c r="C422" t="e">
        <f>NA()</f>
        <v>#N/A</v>
      </c>
      <c r="D422" t="e">
        <f>NA()</f>
        <v>#N/A</v>
      </c>
      <c r="E422" t="e">
        <f>NA()</f>
        <v>#N/A</v>
      </c>
      <c r="F422" t="e">
        <f>NA()</f>
        <v>#N/A</v>
      </c>
      <c r="G422" t="e">
        <f>NA()</f>
        <v>#N/A</v>
      </c>
      <c r="H422" t="e">
        <f>NA()</f>
        <v>#N/A</v>
      </c>
      <c r="I422" t="e">
        <f>NA()</f>
        <v>#N/A</v>
      </c>
      <c r="J422" t="e">
        <f>NA()</f>
        <v>#N/A</v>
      </c>
      <c r="K422" t="e">
        <f>NA()</f>
        <v>#N/A</v>
      </c>
      <c r="L422" t="e">
        <f>NA()</f>
        <v>#N/A</v>
      </c>
      <c r="M422" t="e">
        <f>NA()</f>
        <v>#N/A</v>
      </c>
      <c r="N422" t="e">
        <f>NA()</f>
        <v>#N/A</v>
      </c>
      <c r="O422">
        <f t="shared" si="16"/>
        <v>5.3</v>
      </c>
    </row>
    <row r="423" spans="1:15" x14ac:dyDescent="0.25">
      <c r="A423" s="1">
        <v>45376</v>
      </c>
      <c r="B423" t="e">
        <f>NA()</f>
        <v>#N/A</v>
      </c>
      <c r="C423" t="e">
        <f>NA()</f>
        <v>#N/A</v>
      </c>
      <c r="D423" t="e">
        <f>NA()</f>
        <v>#N/A</v>
      </c>
      <c r="E423" t="e">
        <f>NA()</f>
        <v>#N/A</v>
      </c>
      <c r="F423" t="e">
        <f>NA()</f>
        <v>#N/A</v>
      </c>
      <c r="G423" t="e">
        <f>NA()</f>
        <v>#N/A</v>
      </c>
      <c r="H423" t="e">
        <f>NA()</f>
        <v>#N/A</v>
      </c>
      <c r="I423" t="e">
        <f>NA()</f>
        <v>#N/A</v>
      </c>
      <c r="J423" t="e">
        <f>NA()</f>
        <v>#N/A</v>
      </c>
      <c r="K423" t="e">
        <f>NA()</f>
        <v>#N/A</v>
      </c>
      <c r="L423" t="e">
        <f>NA()</f>
        <v>#N/A</v>
      </c>
      <c r="M423" t="e">
        <f>NA()</f>
        <v>#N/A</v>
      </c>
      <c r="N423" t="e">
        <f>NA()</f>
        <v>#N/A</v>
      </c>
      <c r="O423">
        <f t="shared" si="16"/>
        <v>5.3</v>
      </c>
    </row>
    <row r="424" spans="1:15" x14ac:dyDescent="0.25">
      <c r="A424" s="1">
        <v>45373</v>
      </c>
      <c r="B424">
        <f>-0.9</f>
        <v>-0.9</v>
      </c>
      <c r="C424">
        <f>0</f>
        <v>0</v>
      </c>
      <c r="D424" t="e">
        <f>NA()</f>
        <v>#N/A</v>
      </c>
      <c r="E424" t="e">
        <f>NA()</f>
        <v>#N/A</v>
      </c>
      <c r="F424" t="e">
        <f>NA()</f>
        <v>#N/A</v>
      </c>
      <c r="G424" t="e">
        <f>NA()</f>
        <v>#N/A</v>
      </c>
      <c r="H424" t="e">
        <f>NA()</f>
        <v>#N/A</v>
      </c>
      <c r="I424" t="e">
        <f>NA()</f>
        <v>#N/A</v>
      </c>
      <c r="J424" t="e">
        <f>NA()</f>
        <v>#N/A</v>
      </c>
      <c r="K424" t="e">
        <f>NA()</f>
        <v>#N/A</v>
      </c>
      <c r="L424" t="e">
        <f>NA()</f>
        <v>#N/A</v>
      </c>
      <c r="M424" t="e">
        <f>NA()</f>
        <v>#N/A</v>
      </c>
      <c r="N424" t="e">
        <f>NA()</f>
        <v>#N/A</v>
      </c>
      <c r="O424">
        <f t="shared" si="16"/>
        <v>5.3</v>
      </c>
    </row>
    <row r="425" spans="1:15" x14ac:dyDescent="0.25">
      <c r="A425" s="1">
        <v>45372</v>
      </c>
      <c r="B425" t="e">
        <f>NA()</f>
        <v>#N/A</v>
      </c>
      <c r="C425" t="e">
        <f>NA()</f>
        <v>#N/A</v>
      </c>
      <c r="D425" t="e">
        <f>NA()</f>
        <v>#N/A</v>
      </c>
      <c r="E425" t="e">
        <f>NA()</f>
        <v>#N/A</v>
      </c>
      <c r="F425" t="e">
        <f>NA()</f>
        <v>#N/A</v>
      </c>
      <c r="G425" t="e">
        <f>NA()</f>
        <v>#N/A</v>
      </c>
      <c r="H425" t="e">
        <f>NA()</f>
        <v>#N/A</v>
      </c>
      <c r="I425" t="e">
        <f>NA()</f>
        <v>#N/A</v>
      </c>
      <c r="J425" t="e">
        <f>NA()</f>
        <v>#N/A</v>
      </c>
      <c r="K425" t="e">
        <f>NA()</f>
        <v>#N/A</v>
      </c>
      <c r="L425" t="e">
        <f>NA()</f>
        <v>#N/A</v>
      </c>
      <c r="M425" t="e">
        <f>NA()</f>
        <v>#N/A</v>
      </c>
      <c r="N425" t="e">
        <f>NA()</f>
        <v>#N/A</v>
      </c>
      <c r="O425">
        <f t="shared" si="16"/>
        <v>5.3</v>
      </c>
    </row>
    <row r="426" spans="1:15" x14ac:dyDescent="0.25">
      <c r="A426" s="1">
        <v>45371</v>
      </c>
      <c r="B426" t="e">
        <f>NA()</f>
        <v>#N/A</v>
      </c>
      <c r="C426" t="e">
        <f>NA()</f>
        <v>#N/A</v>
      </c>
      <c r="D426" t="e">
        <f>NA()</f>
        <v>#N/A</v>
      </c>
      <c r="E426" t="e">
        <f>NA()</f>
        <v>#N/A</v>
      </c>
      <c r="F426" t="e">
        <f>NA()</f>
        <v>#N/A</v>
      </c>
      <c r="G426" t="e">
        <f>NA()</f>
        <v>#N/A</v>
      </c>
      <c r="H426" t="e">
        <f>NA()</f>
        <v>#N/A</v>
      </c>
      <c r="I426" t="e">
        <f>NA()</f>
        <v>#N/A</v>
      </c>
      <c r="J426" t="e">
        <f>NA()</f>
        <v>#N/A</v>
      </c>
      <c r="K426" t="e">
        <f>NA()</f>
        <v>#N/A</v>
      </c>
      <c r="L426" t="e">
        <f>NA()</f>
        <v>#N/A</v>
      </c>
      <c r="M426" t="e">
        <f>NA()</f>
        <v>#N/A</v>
      </c>
      <c r="N426" t="e">
        <f>NA()</f>
        <v>#N/A</v>
      </c>
      <c r="O426">
        <f t="shared" si="16"/>
        <v>5.3</v>
      </c>
    </row>
    <row r="427" spans="1:15" x14ac:dyDescent="0.25">
      <c r="A427" s="1">
        <v>45370</v>
      </c>
      <c r="B427" t="e">
        <f>NA()</f>
        <v>#N/A</v>
      </c>
      <c r="C427" t="e">
        <f>NA()</f>
        <v>#N/A</v>
      </c>
      <c r="D427" t="e">
        <f>NA()</f>
        <v>#N/A</v>
      </c>
      <c r="E427" t="e">
        <f>NA()</f>
        <v>#N/A</v>
      </c>
      <c r="F427" t="e">
        <f>NA()</f>
        <v>#N/A</v>
      </c>
      <c r="G427" t="e">
        <f>NA()</f>
        <v>#N/A</v>
      </c>
      <c r="H427" t="e">
        <f>NA()</f>
        <v>#N/A</v>
      </c>
      <c r="I427" t="e">
        <f>NA()</f>
        <v>#N/A</v>
      </c>
      <c r="J427" t="e">
        <f>NA()</f>
        <v>#N/A</v>
      </c>
      <c r="K427" t="e">
        <f>NA()</f>
        <v>#N/A</v>
      </c>
      <c r="L427" t="e">
        <f>NA()</f>
        <v>#N/A</v>
      </c>
      <c r="M427" t="e">
        <f>NA()</f>
        <v>#N/A</v>
      </c>
      <c r="N427" t="e">
        <f>NA()</f>
        <v>#N/A</v>
      </c>
      <c r="O427">
        <f t="shared" si="16"/>
        <v>5.3</v>
      </c>
    </row>
    <row r="428" spans="1:15" x14ac:dyDescent="0.25">
      <c r="A428" s="1">
        <v>45369</v>
      </c>
      <c r="B428" t="e">
        <f>NA()</f>
        <v>#N/A</v>
      </c>
      <c r="C428" t="e">
        <f>NA()</f>
        <v>#N/A</v>
      </c>
      <c r="D428" t="e">
        <f>NA()</f>
        <v>#N/A</v>
      </c>
      <c r="E428" t="e">
        <f>NA()</f>
        <v>#N/A</v>
      </c>
      <c r="F428" t="e">
        <f>NA()</f>
        <v>#N/A</v>
      </c>
      <c r="G428" t="e">
        <f>NA()</f>
        <v>#N/A</v>
      </c>
      <c r="H428" t="e">
        <f>NA()</f>
        <v>#N/A</v>
      </c>
      <c r="I428" t="e">
        <f>NA()</f>
        <v>#N/A</v>
      </c>
      <c r="J428" t="e">
        <f>NA()</f>
        <v>#N/A</v>
      </c>
      <c r="K428" t="e">
        <f>NA()</f>
        <v>#N/A</v>
      </c>
      <c r="L428" t="e">
        <f>NA()</f>
        <v>#N/A</v>
      </c>
      <c r="M428" t="e">
        <f>NA()</f>
        <v>#N/A</v>
      </c>
      <c r="N428" t="e">
        <f>NA()</f>
        <v>#N/A</v>
      </c>
      <c r="O428">
        <f t="shared" si="16"/>
        <v>5.3</v>
      </c>
    </row>
    <row r="429" spans="1:15" x14ac:dyDescent="0.25">
      <c r="A429" s="1">
        <v>45366</v>
      </c>
      <c r="B429">
        <f>-0.9</f>
        <v>-0.9</v>
      </c>
      <c r="C429">
        <f>0</f>
        <v>0</v>
      </c>
      <c r="D429" t="e">
        <f>NA()</f>
        <v>#N/A</v>
      </c>
      <c r="E429" t="e">
        <f>NA()</f>
        <v>#N/A</v>
      </c>
      <c r="F429" t="e">
        <f>NA()</f>
        <v>#N/A</v>
      </c>
      <c r="G429" t="e">
        <f>NA()</f>
        <v>#N/A</v>
      </c>
      <c r="H429" t="e">
        <f>NA()</f>
        <v>#N/A</v>
      </c>
      <c r="I429" t="e">
        <f>NA()</f>
        <v>#N/A</v>
      </c>
      <c r="J429" t="e">
        <f>NA()</f>
        <v>#N/A</v>
      </c>
      <c r="K429" t="e">
        <f>NA()</f>
        <v>#N/A</v>
      </c>
      <c r="L429" t="e">
        <f>NA()</f>
        <v>#N/A</v>
      </c>
      <c r="M429" t="e">
        <f>NA()</f>
        <v>#N/A</v>
      </c>
      <c r="N429" t="e">
        <f>NA()</f>
        <v>#N/A</v>
      </c>
      <c r="O429">
        <f t="shared" si="16"/>
        <v>5.3</v>
      </c>
    </row>
    <row r="430" spans="1:15" x14ac:dyDescent="0.25">
      <c r="A430" s="1">
        <v>45365</v>
      </c>
      <c r="B430" t="e">
        <f>NA()</f>
        <v>#N/A</v>
      </c>
      <c r="C430" t="e">
        <f>NA()</f>
        <v>#N/A</v>
      </c>
      <c r="D430" t="e">
        <f>NA()</f>
        <v>#N/A</v>
      </c>
      <c r="E430" t="e">
        <f>NA()</f>
        <v>#N/A</v>
      </c>
      <c r="F430" t="e">
        <f>NA()</f>
        <v>#N/A</v>
      </c>
      <c r="G430" t="e">
        <f>NA()</f>
        <v>#N/A</v>
      </c>
      <c r="H430" t="e">
        <f>NA()</f>
        <v>#N/A</v>
      </c>
      <c r="I430" t="e">
        <f>NA()</f>
        <v>#N/A</v>
      </c>
      <c r="J430" t="e">
        <f>NA()</f>
        <v>#N/A</v>
      </c>
      <c r="K430" t="e">
        <f>NA()</f>
        <v>#N/A</v>
      </c>
      <c r="L430" t="e">
        <f>NA()</f>
        <v>#N/A</v>
      </c>
      <c r="M430" t="e">
        <f>NA()</f>
        <v>#N/A</v>
      </c>
      <c r="N430" t="e">
        <f>NA()</f>
        <v>#N/A</v>
      </c>
      <c r="O430">
        <f t="shared" si="16"/>
        <v>5.3</v>
      </c>
    </row>
    <row r="431" spans="1:15" x14ac:dyDescent="0.25">
      <c r="A431" s="1">
        <v>45364</v>
      </c>
      <c r="B431" t="e">
        <f>NA()</f>
        <v>#N/A</v>
      </c>
      <c r="C431" t="e">
        <f>NA()</f>
        <v>#N/A</v>
      </c>
      <c r="D431" t="e">
        <f>NA()</f>
        <v>#N/A</v>
      </c>
      <c r="E431" t="e">
        <f>NA()</f>
        <v>#N/A</v>
      </c>
      <c r="F431" t="e">
        <f>NA()</f>
        <v>#N/A</v>
      </c>
      <c r="G431" t="e">
        <f>NA()</f>
        <v>#N/A</v>
      </c>
      <c r="H431" t="e">
        <f>NA()</f>
        <v>#N/A</v>
      </c>
      <c r="I431" t="e">
        <f>NA()</f>
        <v>#N/A</v>
      </c>
      <c r="J431" t="e">
        <f>NA()</f>
        <v>#N/A</v>
      </c>
      <c r="K431" t="e">
        <f>NA()</f>
        <v>#N/A</v>
      </c>
      <c r="L431" t="e">
        <f>NA()</f>
        <v>#N/A</v>
      </c>
      <c r="M431" t="e">
        <f>NA()</f>
        <v>#N/A</v>
      </c>
      <c r="N431" t="e">
        <f>NA()</f>
        <v>#N/A</v>
      </c>
      <c r="O431">
        <f t="shared" si="16"/>
        <v>5.3</v>
      </c>
    </row>
    <row r="432" spans="1:15" x14ac:dyDescent="0.25">
      <c r="A432" s="1">
        <v>45363</v>
      </c>
      <c r="B432" t="e">
        <f>NA()</f>
        <v>#N/A</v>
      </c>
      <c r="C432" t="e">
        <f>NA()</f>
        <v>#N/A</v>
      </c>
      <c r="D432" t="e">
        <f>NA()</f>
        <v>#N/A</v>
      </c>
      <c r="E432" t="e">
        <f>NA()</f>
        <v>#N/A</v>
      </c>
      <c r="F432" t="e">
        <f>NA()</f>
        <v>#N/A</v>
      </c>
      <c r="G432" t="e">
        <f>NA()</f>
        <v>#N/A</v>
      </c>
      <c r="H432" t="e">
        <f>NA()</f>
        <v>#N/A</v>
      </c>
      <c r="I432" t="e">
        <f>NA()</f>
        <v>#N/A</v>
      </c>
      <c r="J432" t="e">
        <f>NA()</f>
        <v>#N/A</v>
      </c>
      <c r="K432" t="e">
        <f>NA()</f>
        <v>#N/A</v>
      </c>
      <c r="L432" t="e">
        <f>NA()</f>
        <v>#N/A</v>
      </c>
      <c r="M432" t="e">
        <f>NA()</f>
        <v>#N/A</v>
      </c>
      <c r="N432" t="e">
        <f>NA()</f>
        <v>#N/A</v>
      </c>
      <c r="O432">
        <f t="shared" si="16"/>
        <v>5.3</v>
      </c>
    </row>
    <row r="433" spans="1:15" x14ac:dyDescent="0.25">
      <c r="A433" s="1">
        <v>45362</v>
      </c>
      <c r="B433" t="e">
        <f>NA()</f>
        <v>#N/A</v>
      </c>
      <c r="C433" t="e">
        <f>NA()</f>
        <v>#N/A</v>
      </c>
      <c r="D433" t="e">
        <f>NA()</f>
        <v>#N/A</v>
      </c>
      <c r="E433" t="e">
        <f>NA()</f>
        <v>#N/A</v>
      </c>
      <c r="F433" t="e">
        <f>NA()</f>
        <v>#N/A</v>
      </c>
      <c r="G433" t="e">
        <f>NA()</f>
        <v>#N/A</v>
      </c>
      <c r="H433" t="e">
        <f>NA()</f>
        <v>#N/A</v>
      </c>
      <c r="I433" t="e">
        <f>NA()</f>
        <v>#N/A</v>
      </c>
      <c r="J433" t="e">
        <f>NA()</f>
        <v>#N/A</v>
      </c>
      <c r="K433" t="e">
        <f>NA()</f>
        <v>#N/A</v>
      </c>
      <c r="L433" t="e">
        <f>NA()</f>
        <v>#N/A</v>
      </c>
      <c r="M433" t="e">
        <f>NA()</f>
        <v>#N/A</v>
      </c>
      <c r="N433" t="e">
        <f>NA()</f>
        <v>#N/A</v>
      </c>
      <c r="O433">
        <f t="shared" si="16"/>
        <v>5.3</v>
      </c>
    </row>
    <row r="434" spans="1:15" x14ac:dyDescent="0.25">
      <c r="A434" s="1">
        <v>45359</v>
      </c>
      <c r="B434">
        <f>-0.8</f>
        <v>-0.8</v>
      </c>
      <c r="C434">
        <f>0</f>
        <v>0</v>
      </c>
      <c r="D434" t="e">
        <f>NA()</f>
        <v>#N/A</v>
      </c>
      <c r="E434" t="e">
        <f>NA()</f>
        <v>#N/A</v>
      </c>
      <c r="F434" t="e">
        <f>NA()</f>
        <v>#N/A</v>
      </c>
      <c r="G434" t="e">
        <f>NA()</f>
        <v>#N/A</v>
      </c>
      <c r="H434" t="e">
        <f>NA()</f>
        <v>#N/A</v>
      </c>
      <c r="I434" t="e">
        <f>NA()</f>
        <v>#N/A</v>
      </c>
      <c r="J434" t="e">
        <f>NA()</f>
        <v>#N/A</v>
      </c>
      <c r="K434" t="e">
        <f>NA()</f>
        <v>#N/A</v>
      </c>
      <c r="L434" t="e">
        <f>NA()</f>
        <v>#N/A</v>
      </c>
      <c r="M434" t="e">
        <f>NA()</f>
        <v>#N/A</v>
      </c>
      <c r="N434" t="e">
        <f>NA()</f>
        <v>#N/A</v>
      </c>
      <c r="O434">
        <f t="shared" si="16"/>
        <v>5.3</v>
      </c>
    </row>
    <row r="435" spans="1:15" x14ac:dyDescent="0.25">
      <c r="A435" s="1">
        <v>45358</v>
      </c>
      <c r="B435" t="e">
        <f>NA()</f>
        <v>#N/A</v>
      </c>
      <c r="C435" t="e">
        <f>NA()</f>
        <v>#N/A</v>
      </c>
      <c r="D435" t="e">
        <f>NA()</f>
        <v>#N/A</v>
      </c>
      <c r="E435" t="e">
        <f>NA()</f>
        <v>#N/A</v>
      </c>
      <c r="F435" t="e">
        <f>NA()</f>
        <v>#N/A</v>
      </c>
      <c r="G435" t="e">
        <f>NA()</f>
        <v>#N/A</v>
      </c>
      <c r="H435" t="e">
        <f>NA()</f>
        <v>#N/A</v>
      </c>
      <c r="I435" t="e">
        <f>NA()</f>
        <v>#N/A</v>
      </c>
      <c r="J435" t="e">
        <f>NA()</f>
        <v>#N/A</v>
      </c>
      <c r="K435" t="e">
        <f>NA()</f>
        <v>#N/A</v>
      </c>
      <c r="L435" t="e">
        <f>NA()</f>
        <v>#N/A</v>
      </c>
      <c r="M435" t="e">
        <f>NA()</f>
        <v>#N/A</v>
      </c>
      <c r="N435" t="e">
        <f>NA()</f>
        <v>#N/A</v>
      </c>
      <c r="O435">
        <f t="shared" si="16"/>
        <v>5.3</v>
      </c>
    </row>
    <row r="436" spans="1:15" x14ac:dyDescent="0.25">
      <c r="A436" s="1">
        <v>45357</v>
      </c>
      <c r="B436" t="e">
        <f>NA()</f>
        <v>#N/A</v>
      </c>
      <c r="C436" t="e">
        <f>NA()</f>
        <v>#N/A</v>
      </c>
      <c r="D436" t="e">
        <f>NA()</f>
        <v>#N/A</v>
      </c>
      <c r="E436" t="e">
        <f>NA()</f>
        <v>#N/A</v>
      </c>
      <c r="F436" t="e">
        <f>NA()</f>
        <v>#N/A</v>
      </c>
      <c r="G436" t="e">
        <f>NA()</f>
        <v>#N/A</v>
      </c>
      <c r="H436" t="e">
        <f>NA()</f>
        <v>#N/A</v>
      </c>
      <c r="I436" t="e">
        <f>NA()</f>
        <v>#N/A</v>
      </c>
      <c r="J436" t="e">
        <f>NA()</f>
        <v>#N/A</v>
      </c>
      <c r="K436" t="e">
        <f>NA()</f>
        <v>#N/A</v>
      </c>
      <c r="L436" t="e">
        <f>NA()</f>
        <v>#N/A</v>
      </c>
      <c r="M436" t="e">
        <f>NA()</f>
        <v>#N/A</v>
      </c>
      <c r="N436" t="e">
        <f>NA()</f>
        <v>#N/A</v>
      </c>
      <c r="O436">
        <f t="shared" si="16"/>
        <v>5.3</v>
      </c>
    </row>
    <row r="437" spans="1:15" x14ac:dyDescent="0.25">
      <c r="A437" s="1">
        <v>45356</v>
      </c>
      <c r="B437" t="e">
        <f>NA()</f>
        <v>#N/A</v>
      </c>
      <c r="C437" t="e">
        <f>NA()</f>
        <v>#N/A</v>
      </c>
      <c r="D437" t="e">
        <f>NA()</f>
        <v>#N/A</v>
      </c>
      <c r="E437" t="e">
        <f>NA()</f>
        <v>#N/A</v>
      </c>
      <c r="F437" t="e">
        <f>NA()</f>
        <v>#N/A</v>
      </c>
      <c r="G437" t="e">
        <f>NA()</f>
        <v>#N/A</v>
      </c>
      <c r="H437" t="e">
        <f>NA()</f>
        <v>#N/A</v>
      </c>
      <c r="I437" t="e">
        <f>NA()</f>
        <v>#N/A</v>
      </c>
      <c r="J437" t="e">
        <f>NA()</f>
        <v>#N/A</v>
      </c>
      <c r="K437" t="e">
        <f>NA()</f>
        <v>#N/A</v>
      </c>
      <c r="L437" t="e">
        <f>NA()</f>
        <v>#N/A</v>
      </c>
      <c r="M437" t="e">
        <f>NA()</f>
        <v>#N/A</v>
      </c>
      <c r="N437" t="e">
        <f>NA()</f>
        <v>#N/A</v>
      </c>
      <c r="O437">
        <f t="shared" si="16"/>
        <v>5.3</v>
      </c>
    </row>
    <row r="438" spans="1:15" x14ac:dyDescent="0.25">
      <c r="A438" s="1">
        <v>45355</v>
      </c>
      <c r="B438" t="e">
        <f>NA()</f>
        <v>#N/A</v>
      </c>
      <c r="C438" t="e">
        <f>NA()</f>
        <v>#N/A</v>
      </c>
      <c r="D438" t="e">
        <f>NA()</f>
        <v>#N/A</v>
      </c>
      <c r="E438" t="e">
        <f>NA()</f>
        <v>#N/A</v>
      </c>
      <c r="F438" t="e">
        <f>NA()</f>
        <v>#N/A</v>
      </c>
      <c r="G438" t="e">
        <f>NA()</f>
        <v>#N/A</v>
      </c>
      <c r="H438" t="e">
        <f>NA()</f>
        <v>#N/A</v>
      </c>
      <c r="I438" t="e">
        <f>NA()</f>
        <v>#N/A</v>
      </c>
      <c r="J438" t="e">
        <f>NA()</f>
        <v>#N/A</v>
      </c>
      <c r="K438" t="e">
        <f>NA()</f>
        <v>#N/A</v>
      </c>
      <c r="L438" t="e">
        <f>NA()</f>
        <v>#N/A</v>
      </c>
      <c r="M438" t="e">
        <f>NA()</f>
        <v>#N/A</v>
      </c>
      <c r="N438" t="e">
        <f>NA()</f>
        <v>#N/A</v>
      </c>
      <c r="O438">
        <f t="shared" si="16"/>
        <v>5.3</v>
      </c>
    </row>
    <row r="439" spans="1:15" x14ac:dyDescent="0.25">
      <c r="A439" s="1">
        <v>45352</v>
      </c>
      <c r="B439">
        <f>-0.8</f>
        <v>-0.8</v>
      </c>
      <c r="C439">
        <f>0</f>
        <v>0</v>
      </c>
      <c r="D439" t="e">
        <f>NA()</f>
        <v>#N/A</v>
      </c>
      <c r="E439" t="e">
        <f>NA()</f>
        <v>#N/A</v>
      </c>
      <c r="F439" t="e">
        <f>NA()</f>
        <v>#N/A</v>
      </c>
      <c r="G439" t="e">
        <f>NA()</f>
        <v>#N/A</v>
      </c>
      <c r="H439" t="e">
        <f>NA()</f>
        <v>#N/A</v>
      </c>
      <c r="I439" t="e">
        <f>NA()</f>
        <v>#N/A</v>
      </c>
      <c r="J439" t="e">
        <f>NA()</f>
        <v>#N/A</v>
      </c>
      <c r="K439" t="e">
        <f>NA()</f>
        <v>#N/A</v>
      </c>
      <c r="L439" t="e">
        <f>NA()</f>
        <v>#N/A</v>
      </c>
      <c r="M439" t="e">
        <f>NA()</f>
        <v>#N/A</v>
      </c>
      <c r="N439" t="e">
        <f>NA()</f>
        <v>#N/A</v>
      </c>
      <c r="O439">
        <f t="shared" si="16"/>
        <v>5.3</v>
      </c>
    </row>
    <row r="440" spans="1:15" x14ac:dyDescent="0.25">
      <c r="A440" s="1">
        <v>45351</v>
      </c>
      <c r="B440" t="e">
        <f>NA()</f>
        <v>#N/A</v>
      </c>
      <c r="C440" t="e">
        <f>NA()</f>
        <v>#N/A</v>
      </c>
      <c r="D440">
        <f>0.2</f>
        <v>0.2</v>
      </c>
      <c r="E440">
        <f>1</f>
        <v>1</v>
      </c>
      <c r="F440">
        <f>8445</f>
        <v>8445</v>
      </c>
      <c r="G440">
        <f>62.6</f>
        <v>62.6</v>
      </c>
      <c r="H440">
        <f>5.2</f>
        <v>5.2</v>
      </c>
      <c r="I440">
        <f>310.3</f>
        <v>310.3</v>
      </c>
      <c r="J440">
        <f>3.2</f>
        <v>3.2</v>
      </c>
      <c r="K440">
        <f>47.6</f>
        <v>47.6</v>
      </c>
      <c r="L440">
        <f>1.2</f>
        <v>1.2</v>
      </c>
      <c r="M440" t="e">
        <f>NA()</f>
        <v>#N/A</v>
      </c>
      <c r="N440">
        <f>3.9</f>
        <v>3.9</v>
      </c>
      <c r="O440">
        <f t="shared" si="16"/>
        <v>5.3</v>
      </c>
    </row>
    <row r="441" spans="1:15" x14ac:dyDescent="0.25">
      <c r="A441" s="1">
        <v>45350</v>
      </c>
      <c r="B441" t="e">
        <f>NA()</f>
        <v>#N/A</v>
      </c>
      <c r="C441" t="e">
        <f>NA()</f>
        <v>#N/A</v>
      </c>
      <c r="D441" t="e">
        <f>NA()</f>
        <v>#N/A</v>
      </c>
      <c r="E441" t="e">
        <f>NA()</f>
        <v>#N/A</v>
      </c>
      <c r="F441" t="e">
        <f>NA()</f>
        <v>#N/A</v>
      </c>
      <c r="G441" t="e">
        <f>NA()</f>
        <v>#N/A</v>
      </c>
      <c r="H441" t="e">
        <f>NA()</f>
        <v>#N/A</v>
      </c>
      <c r="I441" t="e">
        <f>NA()</f>
        <v>#N/A</v>
      </c>
      <c r="J441" t="e">
        <f>NA()</f>
        <v>#N/A</v>
      </c>
      <c r="K441" t="e">
        <f>NA()</f>
        <v>#N/A</v>
      </c>
      <c r="L441" t="e">
        <f>NA()</f>
        <v>#N/A</v>
      </c>
      <c r="M441" t="e">
        <f>NA()</f>
        <v>#N/A</v>
      </c>
      <c r="N441" t="e">
        <f>NA()</f>
        <v>#N/A</v>
      </c>
      <c r="O441">
        <f t="shared" si="16"/>
        <v>5.3</v>
      </c>
    </row>
    <row r="442" spans="1:15" x14ac:dyDescent="0.25">
      <c r="A442" s="1">
        <v>45349</v>
      </c>
      <c r="B442" t="e">
        <f>NA()</f>
        <v>#N/A</v>
      </c>
      <c r="C442" t="e">
        <f>NA()</f>
        <v>#N/A</v>
      </c>
      <c r="D442" t="e">
        <f>NA()</f>
        <v>#N/A</v>
      </c>
      <c r="E442" t="e">
        <f>NA()</f>
        <v>#N/A</v>
      </c>
      <c r="F442" t="e">
        <f>NA()</f>
        <v>#N/A</v>
      </c>
      <c r="G442" t="e">
        <f>NA()</f>
        <v>#N/A</v>
      </c>
      <c r="H442" t="e">
        <f>NA()</f>
        <v>#N/A</v>
      </c>
      <c r="I442" t="e">
        <f>NA()</f>
        <v>#N/A</v>
      </c>
      <c r="J442" t="e">
        <f>NA()</f>
        <v>#N/A</v>
      </c>
      <c r="K442" t="e">
        <f>NA()</f>
        <v>#N/A</v>
      </c>
      <c r="L442" t="e">
        <f>NA()</f>
        <v>#N/A</v>
      </c>
      <c r="M442" t="e">
        <f>NA()</f>
        <v>#N/A</v>
      </c>
      <c r="N442" t="e">
        <f>NA()</f>
        <v>#N/A</v>
      </c>
      <c r="O442">
        <f t="shared" si="16"/>
        <v>5.3</v>
      </c>
    </row>
    <row r="443" spans="1:15" x14ac:dyDescent="0.25">
      <c r="A443" s="1">
        <v>45348</v>
      </c>
      <c r="B443" t="e">
        <f>NA()</f>
        <v>#N/A</v>
      </c>
      <c r="C443" t="e">
        <f>NA()</f>
        <v>#N/A</v>
      </c>
      <c r="D443" t="e">
        <f>NA()</f>
        <v>#N/A</v>
      </c>
      <c r="E443" t="e">
        <f>NA()</f>
        <v>#N/A</v>
      </c>
      <c r="F443" t="e">
        <f>NA()</f>
        <v>#N/A</v>
      </c>
      <c r="G443" t="e">
        <f>NA()</f>
        <v>#N/A</v>
      </c>
      <c r="H443" t="e">
        <f>NA()</f>
        <v>#N/A</v>
      </c>
      <c r="I443" t="e">
        <f>NA()</f>
        <v>#N/A</v>
      </c>
      <c r="J443" t="e">
        <f>NA()</f>
        <v>#N/A</v>
      </c>
      <c r="K443" t="e">
        <f>NA()</f>
        <v>#N/A</v>
      </c>
      <c r="L443" t="e">
        <f>NA()</f>
        <v>#N/A</v>
      </c>
      <c r="M443" t="e">
        <f>NA()</f>
        <v>#N/A</v>
      </c>
      <c r="N443" t="e">
        <f>NA()</f>
        <v>#N/A</v>
      </c>
      <c r="O443">
        <f t="shared" si="16"/>
        <v>5.3</v>
      </c>
    </row>
    <row r="444" spans="1:15" x14ac:dyDescent="0.25">
      <c r="A444" s="1">
        <v>45345</v>
      </c>
      <c r="B444">
        <f>-0.7</f>
        <v>-0.7</v>
      </c>
      <c r="C444">
        <f>0</f>
        <v>0</v>
      </c>
      <c r="D444" t="e">
        <f>NA()</f>
        <v>#N/A</v>
      </c>
      <c r="E444" t="e">
        <f>NA()</f>
        <v>#N/A</v>
      </c>
      <c r="F444" t="e">
        <f>NA()</f>
        <v>#N/A</v>
      </c>
      <c r="G444" t="e">
        <f>NA()</f>
        <v>#N/A</v>
      </c>
      <c r="H444" t="e">
        <f>NA()</f>
        <v>#N/A</v>
      </c>
      <c r="I444" t="e">
        <f>NA()</f>
        <v>#N/A</v>
      </c>
      <c r="J444" t="e">
        <f>NA()</f>
        <v>#N/A</v>
      </c>
      <c r="K444" t="e">
        <f>NA()</f>
        <v>#N/A</v>
      </c>
      <c r="L444" t="e">
        <f>NA()</f>
        <v>#N/A</v>
      </c>
      <c r="M444" t="e">
        <f>NA()</f>
        <v>#N/A</v>
      </c>
      <c r="N444" t="e">
        <f>NA()</f>
        <v>#N/A</v>
      </c>
      <c r="O444">
        <f t="shared" si="16"/>
        <v>5.3</v>
      </c>
    </row>
    <row r="445" spans="1:15" x14ac:dyDescent="0.25">
      <c r="A445" s="1">
        <v>45344</v>
      </c>
      <c r="B445" t="e">
        <f>NA()</f>
        <v>#N/A</v>
      </c>
      <c r="C445" t="e">
        <f>NA()</f>
        <v>#N/A</v>
      </c>
      <c r="D445" t="e">
        <f>NA()</f>
        <v>#N/A</v>
      </c>
      <c r="E445" t="e">
        <f>NA()</f>
        <v>#N/A</v>
      </c>
      <c r="F445" t="e">
        <f>NA()</f>
        <v>#N/A</v>
      </c>
      <c r="G445" t="e">
        <f>NA()</f>
        <v>#N/A</v>
      </c>
      <c r="H445" t="e">
        <f>NA()</f>
        <v>#N/A</v>
      </c>
      <c r="I445" t="e">
        <f>NA()</f>
        <v>#N/A</v>
      </c>
      <c r="J445" t="e">
        <f>NA()</f>
        <v>#N/A</v>
      </c>
      <c r="K445" t="e">
        <f>NA()</f>
        <v>#N/A</v>
      </c>
      <c r="L445" t="e">
        <f>NA()</f>
        <v>#N/A</v>
      </c>
      <c r="M445" t="e">
        <f>NA()</f>
        <v>#N/A</v>
      </c>
      <c r="N445" t="e">
        <f>NA()</f>
        <v>#N/A</v>
      </c>
      <c r="O445">
        <f t="shared" si="16"/>
        <v>5.3</v>
      </c>
    </row>
    <row r="446" spans="1:15" x14ac:dyDescent="0.25">
      <c r="A446" s="1">
        <v>45343</v>
      </c>
      <c r="B446" t="e">
        <f>NA()</f>
        <v>#N/A</v>
      </c>
      <c r="C446" t="e">
        <f>NA()</f>
        <v>#N/A</v>
      </c>
      <c r="D446" t="e">
        <f>NA()</f>
        <v>#N/A</v>
      </c>
      <c r="E446" t="e">
        <f>NA()</f>
        <v>#N/A</v>
      </c>
      <c r="F446" t="e">
        <f>NA()</f>
        <v>#N/A</v>
      </c>
      <c r="G446" t="e">
        <f>NA()</f>
        <v>#N/A</v>
      </c>
      <c r="H446" t="e">
        <f>NA()</f>
        <v>#N/A</v>
      </c>
      <c r="I446" t="e">
        <f>NA()</f>
        <v>#N/A</v>
      </c>
      <c r="J446" t="e">
        <f>NA()</f>
        <v>#N/A</v>
      </c>
      <c r="K446" t="e">
        <f>NA()</f>
        <v>#N/A</v>
      </c>
      <c r="L446" t="e">
        <f>NA()</f>
        <v>#N/A</v>
      </c>
      <c r="M446" t="e">
        <f>NA()</f>
        <v>#N/A</v>
      </c>
      <c r="N446" t="e">
        <f>NA()</f>
        <v>#N/A</v>
      </c>
      <c r="O446">
        <f t="shared" si="16"/>
        <v>5.3</v>
      </c>
    </row>
    <row r="447" spans="1:15" x14ac:dyDescent="0.25">
      <c r="A447" s="1">
        <v>45342</v>
      </c>
      <c r="B447" t="e">
        <f>NA()</f>
        <v>#N/A</v>
      </c>
      <c r="C447" t="e">
        <f>NA()</f>
        <v>#N/A</v>
      </c>
      <c r="D447" t="e">
        <f>NA()</f>
        <v>#N/A</v>
      </c>
      <c r="E447" t="e">
        <f>NA()</f>
        <v>#N/A</v>
      </c>
      <c r="F447" t="e">
        <f>NA()</f>
        <v>#N/A</v>
      </c>
      <c r="G447" t="e">
        <f>NA()</f>
        <v>#N/A</v>
      </c>
      <c r="H447" t="e">
        <f>NA()</f>
        <v>#N/A</v>
      </c>
      <c r="I447" t="e">
        <f>NA()</f>
        <v>#N/A</v>
      </c>
      <c r="J447" t="e">
        <f>NA()</f>
        <v>#N/A</v>
      </c>
      <c r="K447" t="e">
        <f>NA()</f>
        <v>#N/A</v>
      </c>
      <c r="L447" t="e">
        <f>NA()</f>
        <v>#N/A</v>
      </c>
      <c r="M447" t="e">
        <f>NA()</f>
        <v>#N/A</v>
      </c>
      <c r="N447" t="e">
        <f>NA()</f>
        <v>#N/A</v>
      </c>
      <c r="O447">
        <f t="shared" si="16"/>
        <v>5.3</v>
      </c>
    </row>
    <row r="448" spans="1:15" x14ac:dyDescent="0.25">
      <c r="A448" s="1">
        <v>45338</v>
      </c>
      <c r="B448">
        <f>-0.6</f>
        <v>-0.6</v>
      </c>
      <c r="C448">
        <f>0</f>
        <v>0</v>
      </c>
      <c r="D448" t="e">
        <f>NA()</f>
        <v>#N/A</v>
      </c>
      <c r="E448" t="e">
        <f>NA()</f>
        <v>#N/A</v>
      </c>
      <c r="F448" t="e">
        <f>NA()</f>
        <v>#N/A</v>
      </c>
      <c r="G448" t="e">
        <f>NA()</f>
        <v>#N/A</v>
      </c>
      <c r="H448" t="e">
        <f>NA()</f>
        <v>#N/A</v>
      </c>
      <c r="I448" t="e">
        <f>NA()</f>
        <v>#N/A</v>
      </c>
      <c r="J448" t="e">
        <f>NA()</f>
        <v>#N/A</v>
      </c>
      <c r="K448" t="e">
        <f>NA()</f>
        <v>#N/A</v>
      </c>
      <c r="L448" t="e">
        <f>NA()</f>
        <v>#N/A</v>
      </c>
      <c r="M448" t="e">
        <f>NA()</f>
        <v>#N/A</v>
      </c>
      <c r="N448" t="e">
        <f>NA()</f>
        <v>#N/A</v>
      </c>
      <c r="O448">
        <f t="shared" si="16"/>
        <v>5.3</v>
      </c>
    </row>
    <row r="449" spans="1:15" x14ac:dyDescent="0.25">
      <c r="A449" s="1">
        <v>45337</v>
      </c>
      <c r="B449" t="e">
        <f>NA()</f>
        <v>#N/A</v>
      </c>
      <c r="C449" t="e">
        <f>NA()</f>
        <v>#N/A</v>
      </c>
      <c r="D449" t="e">
        <f>NA()</f>
        <v>#N/A</v>
      </c>
      <c r="E449" t="e">
        <f>NA()</f>
        <v>#N/A</v>
      </c>
      <c r="F449" t="e">
        <f>NA()</f>
        <v>#N/A</v>
      </c>
      <c r="G449" t="e">
        <f>NA()</f>
        <v>#N/A</v>
      </c>
      <c r="H449" t="e">
        <f>NA()</f>
        <v>#N/A</v>
      </c>
      <c r="I449" t="e">
        <f>NA()</f>
        <v>#N/A</v>
      </c>
      <c r="J449" t="e">
        <f>NA()</f>
        <v>#N/A</v>
      </c>
      <c r="K449" t="e">
        <f>NA()</f>
        <v>#N/A</v>
      </c>
      <c r="L449" t="e">
        <f>NA()</f>
        <v>#N/A</v>
      </c>
      <c r="M449" t="e">
        <f>NA()</f>
        <v>#N/A</v>
      </c>
      <c r="N449" t="e">
        <f>NA()</f>
        <v>#N/A</v>
      </c>
      <c r="O449">
        <f t="shared" si="16"/>
        <v>5.3</v>
      </c>
    </row>
    <row r="450" spans="1:15" x14ac:dyDescent="0.25">
      <c r="A450" s="1">
        <v>45336</v>
      </c>
      <c r="B450" t="e">
        <f>NA()</f>
        <v>#N/A</v>
      </c>
      <c r="C450" t="e">
        <f>NA()</f>
        <v>#N/A</v>
      </c>
      <c r="D450" t="e">
        <f>NA()</f>
        <v>#N/A</v>
      </c>
      <c r="E450" t="e">
        <f>NA()</f>
        <v>#N/A</v>
      </c>
      <c r="F450" t="e">
        <f>NA()</f>
        <v>#N/A</v>
      </c>
      <c r="G450" t="e">
        <f>NA()</f>
        <v>#N/A</v>
      </c>
      <c r="H450" t="e">
        <f>NA()</f>
        <v>#N/A</v>
      </c>
      <c r="I450" t="e">
        <f>NA()</f>
        <v>#N/A</v>
      </c>
      <c r="J450" t="e">
        <f>NA()</f>
        <v>#N/A</v>
      </c>
      <c r="K450" t="e">
        <f>NA()</f>
        <v>#N/A</v>
      </c>
      <c r="L450" t="e">
        <f>NA()</f>
        <v>#N/A</v>
      </c>
      <c r="M450" t="e">
        <f>NA()</f>
        <v>#N/A</v>
      </c>
      <c r="N450" t="e">
        <f>NA()</f>
        <v>#N/A</v>
      </c>
      <c r="O450">
        <f t="shared" si="16"/>
        <v>5.3</v>
      </c>
    </row>
    <row r="451" spans="1:15" x14ac:dyDescent="0.25">
      <c r="A451" s="1">
        <v>45335</v>
      </c>
      <c r="B451" t="e">
        <f>NA()</f>
        <v>#N/A</v>
      </c>
      <c r="C451" t="e">
        <f>NA()</f>
        <v>#N/A</v>
      </c>
      <c r="D451" t="e">
        <f>NA()</f>
        <v>#N/A</v>
      </c>
      <c r="E451" t="e">
        <f>NA()</f>
        <v>#N/A</v>
      </c>
      <c r="F451" t="e">
        <f>NA()</f>
        <v>#N/A</v>
      </c>
      <c r="G451" t="e">
        <f>NA()</f>
        <v>#N/A</v>
      </c>
      <c r="H451" t="e">
        <f>NA()</f>
        <v>#N/A</v>
      </c>
      <c r="I451" t="e">
        <f>NA()</f>
        <v>#N/A</v>
      </c>
      <c r="J451" t="e">
        <f>NA()</f>
        <v>#N/A</v>
      </c>
      <c r="K451" t="e">
        <f>NA()</f>
        <v>#N/A</v>
      </c>
      <c r="L451" t="e">
        <f>NA()</f>
        <v>#N/A</v>
      </c>
      <c r="M451" t="e">
        <f>NA()</f>
        <v>#N/A</v>
      </c>
      <c r="N451" t="e">
        <f>NA()</f>
        <v>#N/A</v>
      </c>
      <c r="O451">
        <f t="shared" ref="O451:O480" si="17">5.3</f>
        <v>5.3</v>
      </c>
    </row>
    <row r="452" spans="1:15" x14ac:dyDescent="0.25">
      <c r="A452" s="1">
        <v>45334</v>
      </c>
      <c r="B452" t="e">
        <f>NA()</f>
        <v>#N/A</v>
      </c>
      <c r="C452" t="e">
        <f>NA()</f>
        <v>#N/A</v>
      </c>
      <c r="D452" t="e">
        <f>NA()</f>
        <v>#N/A</v>
      </c>
      <c r="E452" t="e">
        <f>NA()</f>
        <v>#N/A</v>
      </c>
      <c r="F452" t="e">
        <f>NA()</f>
        <v>#N/A</v>
      </c>
      <c r="G452" t="e">
        <f>NA()</f>
        <v>#N/A</v>
      </c>
      <c r="H452" t="e">
        <f>NA()</f>
        <v>#N/A</v>
      </c>
      <c r="I452" t="e">
        <f>NA()</f>
        <v>#N/A</v>
      </c>
      <c r="J452" t="e">
        <f>NA()</f>
        <v>#N/A</v>
      </c>
      <c r="K452" t="e">
        <f>NA()</f>
        <v>#N/A</v>
      </c>
      <c r="L452" t="e">
        <f>NA()</f>
        <v>#N/A</v>
      </c>
      <c r="M452" t="e">
        <f>NA()</f>
        <v>#N/A</v>
      </c>
      <c r="N452" t="e">
        <f>NA()</f>
        <v>#N/A</v>
      </c>
      <c r="O452">
        <f t="shared" si="17"/>
        <v>5.3</v>
      </c>
    </row>
    <row r="453" spans="1:15" x14ac:dyDescent="0.25">
      <c r="A453" s="1">
        <v>45331</v>
      </c>
      <c r="B453">
        <f>-0.6</f>
        <v>-0.6</v>
      </c>
      <c r="C453">
        <f>0</f>
        <v>0</v>
      </c>
      <c r="D453" t="e">
        <f>NA()</f>
        <v>#N/A</v>
      </c>
      <c r="E453" t="e">
        <f>NA()</f>
        <v>#N/A</v>
      </c>
      <c r="F453" t="e">
        <f>NA()</f>
        <v>#N/A</v>
      </c>
      <c r="G453" t="e">
        <f>NA()</f>
        <v>#N/A</v>
      </c>
      <c r="H453" t="e">
        <f>NA()</f>
        <v>#N/A</v>
      </c>
      <c r="I453" t="e">
        <f>NA()</f>
        <v>#N/A</v>
      </c>
      <c r="J453" t="e">
        <f>NA()</f>
        <v>#N/A</v>
      </c>
      <c r="K453" t="e">
        <f>NA()</f>
        <v>#N/A</v>
      </c>
      <c r="L453" t="e">
        <f>NA()</f>
        <v>#N/A</v>
      </c>
      <c r="M453" t="e">
        <f>NA()</f>
        <v>#N/A</v>
      </c>
      <c r="N453" t="e">
        <f>NA()</f>
        <v>#N/A</v>
      </c>
      <c r="O453">
        <f t="shared" si="17"/>
        <v>5.3</v>
      </c>
    </row>
    <row r="454" spans="1:15" x14ac:dyDescent="0.25">
      <c r="A454" s="1">
        <v>45330</v>
      </c>
      <c r="B454" t="e">
        <f>NA()</f>
        <v>#N/A</v>
      </c>
      <c r="C454" t="e">
        <f>NA()</f>
        <v>#N/A</v>
      </c>
      <c r="D454" t="e">
        <f>NA()</f>
        <v>#N/A</v>
      </c>
      <c r="E454" t="e">
        <f>NA()</f>
        <v>#N/A</v>
      </c>
      <c r="F454" t="e">
        <f>NA()</f>
        <v>#N/A</v>
      </c>
      <c r="G454" t="e">
        <f>NA()</f>
        <v>#N/A</v>
      </c>
      <c r="H454" t="e">
        <f>NA()</f>
        <v>#N/A</v>
      </c>
      <c r="I454" t="e">
        <f>NA()</f>
        <v>#N/A</v>
      </c>
      <c r="J454" t="e">
        <f>NA()</f>
        <v>#N/A</v>
      </c>
      <c r="K454" t="e">
        <f>NA()</f>
        <v>#N/A</v>
      </c>
      <c r="L454" t="e">
        <f>NA()</f>
        <v>#N/A</v>
      </c>
      <c r="M454" t="e">
        <f>NA()</f>
        <v>#N/A</v>
      </c>
      <c r="N454" t="e">
        <f>NA()</f>
        <v>#N/A</v>
      </c>
      <c r="O454">
        <f t="shared" si="17"/>
        <v>5.3</v>
      </c>
    </row>
    <row r="455" spans="1:15" x14ac:dyDescent="0.25">
      <c r="A455" s="1">
        <v>45329</v>
      </c>
      <c r="B455" t="e">
        <f>NA()</f>
        <v>#N/A</v>
      </c>
      <c r="C455" t="e">
        <f>NA()</f>
        <v>#N/A</v>
      </c>
      <c r="D455" t="e">
        <f>NA()</f>
        <v>#N/A</v>
      </c>
      <c r="E455" t="e">
        <f>NA()</f>
        <v>#N/A</v>
      </c>
      <c r="F455" t="e">
        <f>NA()</f>
        <v>#N/A</v>
      </c>
      <c r="G455" t="e">
        <f>NA()</f>
        <v>#N/A</v>
      </c>
      <c r="H455" t="e">
        <f>NA()</f>
        <v>#N/A</v>
      </c>
      <c r="I455" t="e">
        <f>NA()</f>
        <v>#N/A</v>
      </c>
      <c r="J455" t="e">
        <f>NA()</f>
        <v>#N/A</v>
      </c>
      <c r="K455" t="e">
        <f>NA()</f>
        <v>#N/A</v>
      </c>
      <c r="L455" t="e">
        <f>NA()</f>
        <v>#N/A</v>
      </c>
      <c r="M455" t="e">
        <f>NA()</f>
        <v>#N/A</v>
      </c>
      <c r="N455" t="e">
        <f>NA()</f>
        <v>#N/A</v>
      </c>
      <c r="O455">
        <f t="shared" si="17"/>
        <v>5.3</v>
      </c>
    </row>
    <row r="456" spans="1:15" x14ac:dyDescent="0.25">
      <c r="A456" s="1">
        <v>45328</v>
      </c>
      <c r="B456" t="e">
        <f>NA()</f>
        <v>#N/A</v>
      </c>
      <c r="C456" t="e">
        <f>NA()</f>
        <v>#N/A</v>
      </c>
      <c r="D456" t="e">
        <f>NA()</f>
        <v>#N/A</v>
      </c>
      <c r="E456" t="e">
        <f>NA()</f>
        <v>#N/A</v>
      </c>
      <c r="F456" t="e">
        <f>NA()</f>
        <v>#N/A</v>
      </c>
      <c r="G456" t="e">
        <f>NA()</f>
        <v>#N/A</v>
      </c>
      <c r="H456" t="e">
        <f>NA()</f>
        <v>#N/A</v>
      </c>
      <c r="I456" t="e">
        <f>NA()</f>
        <v>#N/A</v>
      </c>
      <c r="J456" t="e">
        <f>NA()</f>
        <v>#N/A</v>
      </c>
      <c r="K456" t="e">
        <f>NA()</f>
        <v>#N/A</v>
      </c>
      <c r="L456" t="e">
        <f>NA()</f>
        <v>#N/A</v>
      </c>
      <c r="M456" t="e">
        <f>NA()</f>
        <v>#N/A</v>
      </c>
      <c r="N456" t="e">
        <f>NA()</f>
        <v>#N/A</v>
      </c>
      <c r="O456">
        <f t="shared" si="17"/>
        <v>5.3</v>
      </c>
    </row>
    <row r="457" spans="1:15" x14ac:dyDescent="0.25">
      <c r="A457" s="1">
        <v>45327</v>
      </c>
      <c r="B457" t="e">
        <f>NA()</f>
        <v>#N/A</v>
      </c>
      <c r="C457" t="e">
        <f>NA()</f>
        <v>#N/A</v>
      </c>
      <c r="D457" t="e">
        <f>NA()</f>
        <v>#N/A</v>
      </c>
      <c r="E457" t="e">
        <f>NA()</f>
        <v>#N/A</v>
      </c>
      <c r="F457" t="e">
        <f>NA()</f>
        <v>#N/A</v>
      </c>
      <c r="G457" t="e">
        <f>NA()</f>
        <v>#N/A</v>
      </c>
      <c r="H457" t="e">
        <f>NA()</f>
        <v>#N/A</v>
      </c>
      <c r="I457" t="e">
        <f>NA()</f>
        <v>#N/A</v>
      </c>
      <c r="J457" t="e">
        <f>NA()</f>
        <v>#N/A</v>
      </c>
      <c r="K457" t="e">
        <f>NA()</f>
        <v>#N/A</v>
      </c>
      <c r="L457" t="e">
        <f>NA()</f>
        <v>#N/A</v>
      </c>
      <c r="M457" t="e">
        <f>NA()</f>
        <v>#N/A</v>
      </c>
      <c r="N457" t="e">
        <f>NA()</f>
        <v>#N/A</v>
      </c>
      <c r="O457">
        <f t="shared" si="17"/>
        <v>5.3</v>
      </c>
    </row>
    <row r="458" spans="1:15" x14ac:dyDescent="0.25">
      <c r="A458" s="1">
        <v>45324</v>
      </c>
      <c r="B458">
        <f>-0.8</f>
        <v>-0.8</v>
      </c>
      <c r="C458">
        <f>0</f>
        <v>0</v>
      </c>
      <c r="D458" t="e">
        <f>NA()</f>
        <v>#N/A</v>
      </c>
      <c r="E458" t="e">
        <f>NA()</f>
        <v>#N/A</v>
      </c>
      <c r="F458" t="e">
        <f>NA()</f>
        <v>#N/A</v>
      </c>
      <c r="G458" t="e">
        <f>NA()</f>
        <v>#N/A</v>
      </c>
      <c r="H458" t="e">
        <f>NA()</f>
        <v>#N/A</v>
      </c>
      <c r="I458" t="e">
        <f>NA()</f>
        <v>#N/A</v>
      </c>
      <c r="J458" t="e">
        <f>NA()</f>
        <v>#N/A</v>
      </c>
      <c r="K458" t="e">
        <f>NA()</f>
        <v>#N/A</v>
      </c>
      <c r="L458" t="e">
        <f>NA()</f>
        <v>#N/A</v>
      </c>
      <c r="M458" t="e">
        <f>NA()</f>
        <v>#N/A</v>
      </c>
      <c r="N458" t="e">
        <f>NA()</f>
        <v>#N/A</v>
      </c>
      <c r="O458">
        <f t="shared" si="17"/>
        <v>5.3</v>
      </c>
    </row>
    <row r="459" spans="1:15" x14ac:dyDescent="0.25">
      <c r="A459" s="1">
        <v>45323</v>
      </c>
      <c r="B459" t="e">
        <f>NA()</f>
        <v>#N/A</v>
      </c>
      <c r="C459" t="e">
        <f>NA()</f>
        <v>#N/A</v>
      </c>
      <c r="D459" t="e">
        <f>NA()</f>
        <v>#N/A</v>
      </c>
      <c r="E459" t="e">
        <f>NA()</f>
        <v>#N/A</v>
      </c>
      <c r="F459" t="e">
        <f>NA()</f>
        <v>#N/A</v>
      </c>
      <c r="G459" t="e">
        <f>NA()</f>
        <v>#N/A</v>
      </c>
      <c r="H459" t="e">
        <f>NA()</f>
        <v>#N/A</v>
      </c>
      <c r="I459" t="e">
        <f>NA()</f>
        <v>#N/A</v>
      </c>
      <c r="J459" t="e">
        <f>NA()</f>
        <v>#N/A</v>
      </c>
      <c r="K459" t="e">
        <f>NA()</f>
        <v>#N/A</v>
      </c>
      <c r="L459" t="e">
        <f>NA()</f>
        <v>#N/A</v>
      </c>
      <c r="M459" t="e">
        <f>NA()</f>
        <v>#N/A</v>
      </c>
      <c r="N459" t="e">
        <f>NA()</f>
        <v>#N/A</v>
      </c>
      <c r="O459">
        <f t="shared" si="17"/>
        <v>5.3</v>
      </c>
    </row>
    <row r="460" spans="1:15" x14ac:dyDescent="0.25">
      <c r="A460" s="1">
        <v>45322</v>
      </c>
      <c r="B460" t="e">
        <f>NA()</f>
        <v>#N/A</v>
      </c>
      <c r="C460" t="e">
        <f>NA()</f>
        <v>#N/A</v>
      </c>
      <c r="D460">
        <f>0.5</f>
        <v>0.5</v>
      </c>
      <c r="E460">
        <f>1.2</f>
        <v>1.2</v>
      </c>
      <c r="F460">
        <f>8468</f>
        <v>8468</v>
      </c>
      <c r="G460">
        <f>62.5</f>
        <v>62.5</v>
      </c>
      <c r="H460">
        <f>4.6</f>
        <v>4.5999999999999996</v>
      </c>
      <c r="I460">
        <f>308.4</f>
        <v>308.39999999999998</v>
      </c>
      <c r="J460">
        <f>3.1</f>
        <v>3.1</v>
      </c>
      <c r="K460">
        <f>48.9</f>
        <v>48.9</v>
      </c>
      <c r="L460">
        <f>-1.1</f>
        <v>-1.1000000000000001</v>
      </c>
      <c r="M460" t="e">
        <f>NA()</f>
        <v>#N/A</v>
      </c>
      <c r="N460">
        <f>3.7</f>
        <v>3.7</v>
      </c>
      <c r="O460">
        <f t="shared" si="17"/>
        <v>5.3</v>
      </c>
    </row>
    <row r="461" spans="1:15" x14ac:dyDescent="0.25">
      <c r="A461" s="1">
        <v>45321</v>
      </c>
      <c r="B461" t="e">
        <f>NA()</f>
        <v>#N/A</v>
      </c>
      <c r="C461" t="e">
        <f>NA()</f>
        <v>#N/A</v>
      </c>
      <c r="D461" t="e">
        <f>NA()</f>
        <v>#N/A</v>
      </c>
      <c r="E461" t="e">
        <f>NA()</f>
        <v>#N/A</v>
      </c>
      <c r="F461" t="e">
        <f>NA()</f>
        <v>#N/A</v>
      </c>
      <c r="G461" t="e">
        <f>NA()</f>
        <v>#N/A</v>
      </c>
      <c r="H461" t="e">
        <f>NA()</f>
        <v>#N/A</v>
      </c>
      <c r="I461" t="e">
        <f>NA()</f>
        <v>#N/A</v>
      </c>
      <c r="J461" t="e">
        <f>NA()</f>
        <v>#N/A</v>
      </c>
      <c r="K461" t="e">
        <f>NA()</f>
        <v>#N/A</v>
      </c>
      <c r="L461" t="e">
        <f>NA()</f>
        <v>#N/A</v>
      </c>
      <c r="M461" t="e">
        <f>NA()</f>
        <v>#N/A</v>
      </c>
      <c r="N461" t="e">
        <f>NA()</f>
        <v>#N/A</v>
      </c>
      <c r="O461">
        <f t="shared" si="17"/>
        <v>5.3</v>
      </c>
    </row>
    <row r="462" spans="1:15" x14ac:dyDescent="0.25">
      <c r="A462" s="1">
        <v>45320</v>
      </c>
      <c r="B462" t="e">
        <f>NA()</f>
        <v>#N/A</v>
      </c>
      <c r="C462" t="e">
        <f>NA()</f>
        <v>#N/A</v>
      </c>
      <c r="D462" t="e">
        <f>NA()</f>
        <v>#N/A</v>
      </c>
      <c r="E462" t="e">
        <f>NA()</f>
        <v>#N/A</v>
      </c>
      <c r="F462" t="e">
        <f>NA()</f>
        <v>#N/A</v>
      </c>
      <c r="G462" t="e">
        <f>NA()</f>
        <v>#N/A</v>
      </c>
      <c r="H462" t="e">
        <f>NA()</f>
        <v>#N/A</v>
      </c>
      <c r="I462" t="e">
        <f>NA()</f>
        <v>#N/A</v>
      </c>
      <c r="J462" t="e">
        <f>NA()</f>
        <v>#N/A</v>
      </c>
      <c r="K462" t="e">
        <f>NA()</f>
        <v>#N/A</v>
      </c>
      <c r="L462" t="e">
        <f>NA()</f>
        <v>#N/A</v>
      </c>
      <c r="M462" t="e">
        <f>NA()</f>
        <v>#N/A</v>
      </c>
      <c r="N462" t="e">
        <f>NA()</f>
        <v>#N/A</v>
      </c>
      <c r="O462">
        <f t="shared" si="17"/>
        <v>5.3</v>
      </c>
    </row>
    <row r="463" spans="1:15" x14ac:dyDescent="0.25">
      <c r="A463" s="1">
        <v>45317</v>
      </c>
      <c r="B463">
        <f>-0.8</f>
        <v>-0.8</v>
      </c>
      <c r="C463">
        <f>0</f>
        <v>0</v>
      </c>
      <c r="D463" t="e">
        <f>NA()</f>
        <v>#N/A</v>
      </c>
      <c r="E463" t="e">
        <f>NA()</f>
        <v>#N/A</v>
      </c>
      <c r="F463" t="e">
        <f>NA()</f>
        <v>#N/A</v>
      </c>
      <c r="G463" t="e">
        <f>NA()</f>
        <v>#N/A</v>
      </c>
      <c r="H463" t="e">
        <f>NA()</f>
        <v>#N/A</v>
      </c>
      <c r="I463" t="e">
        <f>NA()</f>
        <v>#N/A</v>
      </c>
      <c r="J463" t="e">
        <f>NA()</f>
        <v>#N/A</v>
      </c>
      <c r="K463" t="e">
        <f>NA()</f>
        <v>#N/A</v>
      </c>
      <c r="L463" t="e">
        <f>NA()</f>
        <v>#N/A</v>
      </c>
      <c r="M463" t="e">
        <f>NA()</f>
        <v>#N/A</v>
      </c>
      <c r="N463" t="e">
        <f>NA()</f>
        <v>#N/A</v>
      </c>
      <c r="O463">
        <f t="shared" si="17"/>
        <v>5.3</v>
      </c>
    </row>
    <row r="464" spans="1:15" x14ac:dyDescent="0.25">
      <c r="A464" s="1">
        <v>45316</v>
      </c>
      <c r="B464" t="e">
        <f>NA()</f>
        <v>#N/A</v>
      </c>
      <c r="C464" t="e">
        <f>NA()</f>
        <v>#N/A</v>
      </c>
      <c r="D464" t="e">
        <f>NA()</f>
        <v>#N/A</v>
      </c>
      <c r="E464" t="e">
        <f>NA()</f>
        <v>#N/A</v>
      </c>
      <c r="F464" t="e">
        <f>NA()</f>
        <v>#N/A</v>
      </c>
      <c r="G464" t="e">
        <f>NA()</f>
        <v>#N/A</v>
      </c>
      <c r="H464" t="e">
        <f>NA()</f>
        <v>#N/A</v>
      </c>
      <c r="I464" t="e">
        <f>NA()</f>
        <v>#N/A</v>
      </c>
      <c r="J464" t="e">
        <f>NA()</f>
        <v>#N/A</v>
      </c>
      <c r="K464" t="e">
        <f>NA()</f>
        <v>#N/A</v>
      </c>
      <c r="L464" t="e">
        <f>NA()</f>
        <v>#N/A</v>
      </c>
      <c r="M464" t="e">
        <f>NA()</f>
        <v>#N/A</v>
      </c>
      <c r="N464" t="e">
        <f>NA()</f>
        <v>#N/A</v>
      </c>
      <c r="O464">
        <f t="shared" si="17"/>
        <v>5.3</v>
      </c>
    </row>
    <row r="465" spans="1:15" x14ac:dyDescent="0.25">
      <c r="A465" s="1">
        <v>45315</v>
      </c>
      <c r="B465" t="e">
        <f>NA()</f>
        <v>#N/A</v>
      </c>
      <c r="C465" t="e">
        <f>NA()</f>
        <v>#N/A</v>
      </c>
      <c r="D465" t="e">
        <f>NA()</f>
        <v>#N/A</v>
      </c>
      <c r="E465" t="e">
        <f>NA()</f>
        <v>#N/A</v>
      </c>
      <c r="F465" t="e">
        <f>NA()</f>
        <v>#N/A</v>
      </c>
      <c r="G465" t="e">
        <f>NA()</f>
        <v>#N/A</v>
      </c>
      <c r="H465" t="e">
        <f>NA()</f>
        <v>#N/A</v>
      </c>
      <c r="I465" t="e">
        <f>NA()</f>
        <v>#N/A</v>
      </c>
      <c r="J465" t="e">
        <f>NA()</f>
        <v>#N/A</v>
      </c>
      <c r="K465" t="e">
        <f>NA()</f>
        <v>#N/A</v>
      </c>
      <c r="L465" t="e">
        <f>NA()</f>
        <v>#N/A</v>
      </c>
      <c r="M465" t="e">
        <f>NA()</f>
        <v>#N/A</v>
      </c>
      <c r="N465" t="e">
        <f>NA()</f>
        <v>#N/A</v>
      </c>
      <c r="O465">
        <f t="shared" si="17"/>
        <v>5.3</v>
      </c>
    </row>
    <row r="466" spans="1:15" x14ac:dyDescent="0.25">
      <c r="A466" s="1">
        <v>45314</v>
      </c>
      <c r="B466" t="e">
        <f>NA()</f>
        <v>#N/A</v>
      </c>
      <c r="C466" t="e">
        <f>NA()</f>
        <v>#N/A</v>
      </c>
      <c r="D466" t="e">
        <f>NA()</f>
        <v>#N/A</v>
      </c>
      <c r="E466" t="e">
        <f>NA()</f>
        <v>#N/A</v>
      </c>
      <c r="F466" t="e">
        <f>NA()</f>
        <v>#N/A</v>
      </c>
      <c r="G466" t="e">
        <f>NA()</f>
        <v>#N/A</v>
      </c>
      <c r="H466" t="e">
        <f>NA()</f>
        <v>#N/A</v>
      </c>
      <c r="I466" t="e">
        <f>NA()</f>
        <v>#N/A</v>
      </c>
      <c r="J466" t="e">
        <f>NA()</f>
        <v>#N/A</v>
      </c>
      <c r="K466" t="e">
        <f>NA()</f>
        <v>#N/A</v>
      </c>
      <c r="L466" t="e">
        <f>NA()</f>
        <v>#N/A</v>
      </c>
      <c r="M466" t="e">
        <f>NA()</f>
        <v>#N/A</v>
      </c>
      <c r="N466" t="e">
        <f>NA()</f>
        <v>#N/A</v>
      </c>
      <c r="O466">
        <f t="shared" si="17"/>
        <v>5.3</v>
      </c>
    </row>
    <row r="467" spans="1:15" x14ac:dyDescent="0.25">
      <c r="A467" s="1">
        <v>45313</v>
      </c>
      <c r="B467" t="e">
        <f>NA()</f>
        <v>#N/A</v>
      </c>
      <c r="C467" t="e">
        <f>NA()</f>
        <v>#N/A</v>
      </c>
      <c r="D467" t="e">
        <f>NA()</f>
        <v>#N/A</v>
      </c>
      <c r="E467" t="e">
        <f>NA()</f>
        <v>#N/A</v>
      </c>
      <c r="F467" t="e">
        <f>NA()</f>
        <v>#N/A</v>
      </c>
      <c r="G467" t="e">
        <f>NA()</f>
        <v>#N/A</v>
      </c>
      <c r="H467" t="e">
        <f>NA()</f>
        <v>#N/A</v>
      </c>
      <c r="I467" t="e">
        <f>NA()</f>
        <v>#N/A</v>
      </c>
      <c r="J467" t="e">
        <f>NA()</f>
        <v>#N/A</v>
      </c>
      <c r="K467" t="e">
        <f>NA()</f>
        <v>#N/A</v>
      </c>
      <c r="L467" t="e">
        <f>NA()</f>
        <v>#N/A</v>
      </c>
      <c r="M467" t="e">
        <f>NA()</f>
        <v>#N/A</v>
      </c>
      <c r="N467" t="e">
        <f>NA()</f>
        <v>#N/A</v>
      </c>
      <c r="O467">
        <f t="shared" si="17"/>
        <v>5.3</v>
      </c>
    </row>
    <row r="468" spans="1:15" x14ac:dyDescent="0.25">
      <c r="A468" s="1">
        <v>45310</v>
      </c>
      <c r="B468">
        <f>-0.8</f>
        <v>-0.8</v>
      </c>
      <c r="C468">
        <f>0</f>
        <v>0</v>
      </c>
      <c r="D468" t="e">
        <f>NA()</f>
        <v>#N/A</v>
      </c>
      <c r="E468" t="e">
        <f>NA()</f>
        <v>#N/A</v>
      </c>
      <c r="F468" t="e">
        <f>NA()</f>
        <v>#N/A</v>
      </c>
      <c r="G468" t="e">
        <f>NA()</f>
        <v>#N/A</v>
      </c>
      <c r="H468" t="e">
        <f>NA()</f>
        <v>#N/A</v>
      </c>
      <c r="I468" t="e">
        <f>NA()</f>
        <v>#N/A</v>
      </c>
      <c r="J468" t="e">
        <f>NA()</f>
        <v>#N/A</v>
      </c>
      <c r="K468" t="e">
        <f>NA()</f>
        <v>#N/A</v>
      </c>
      <c r="L468" t="e">
        <f>NA()</f>
        <v>#N/A</v>
      </c>
      <c r="M468" t="e">
        <f>NA()</f>
        <v>#N/A</v>
      </c>
      <c r="N468" t="e">
        <f>NA()</f>
        <v>#N/A</v>
      </c>
      <c r="O468">
        <f t="shared" si="17"/>
        <v>5.3</v>
      </c>
    </row>
    <row r="469" spans="1:15" x14ac:dyDescent="0.25">
      <c r="A469" s="1">
        <v>45309</v>
      </c>
      <c r="B469" t="e">
        <f>NA()</f>
        <v>#N/A</v>
      </c>
      <c r="C469" t="e">
        <f>NA()</f>
        <v>#N/A</v>
      </c>
      <c r="D469" t="e">
        <f>NA()</f>
        <v>#N/A</v>
      </c>
      <c r="E469" t="e">
        <f>NA()</f>
        <v>#N/A</v>
      </c>
      <c r="F469" t="e">
        <f>NA()</f>
        <v>#N/A</v>
      </c>
      <c r="G469" t="e">
        <f>NA()</f>
        <v>#N/A</v>
      </c>
      <c r="H469" t="e">
        <f>NA()</f>
        <v>#N/A</v>
      </c>
      <c r="I469" t="e">
        <f>NA()</f>
        <v>#N/A</v>
      </c>
      <c r="J469" t="e">
        <f>NA()</f>
        <v>#N/A</v>
      </c>
      <c r="K469" t="e">
        <f>NA()</f>
        <v>#N/A</v>
      </c>
      <c r="L469" t="e">
        <f>NA()</f>
        <v>#N/A</v>
      </c>
      <c r="M469" t="e">
        <f>NA()</f>
        <v>#N/A</v>
      </c>
      <c r="N469" t="e">
        <f>NA()</f>
        <v>#N/A</v>
      </c>
      <c r="O469">
        <f t="shared" si="17"/>
        <v>5.3</v>
      </c>
    </row>
    <row r="470" spans="1:15" x14ac:dyDescent="0.25">
      <c r="A470" s="1">
        <v>45308</v>
      </c>
      <c r="B470" t="e">
        <f>NA()</f>
        <v>#N/A</v>
      </c>
      <c r="C470" t="e">
        <f>NA()</f>
        <v>#N/A</v>
      </c>
      <c r="D470" t="e">
        <f>NA()</f>
        <v>#N/A</v>
      </c>
      <c r="E470" t="e">
        <f>NA()</f>
        <v>#N/A</v>
      </c>
      <c r="F470" t="e">
        <f>NA()</f>
        <v>#N/A</v>
      </c>
      <c r="G470" t="e">
        <f>NA()</f>
        <v>#N/A</v>
      </c>
      <c r="H470" t="e">
        <f>NA()</f>
        <v>#N/A</v>
      </c>
      <c r="I470" t="e">
        <f>NA()</f>
        <v>#N/A</v>
      </c>
      <c r="J470" t="e">
        <f>NA()</f>
        <v>#N/A</v>
      </c>
      <c r="K470" t="e">
        <f>NA()</f>
        <v>#N/A</v>
      </c>
      <c r="L470" t="e">
        <f>NA()</f>
        <v>#N/A</v>
      </c>
      <c r="M470" t="e">
        <f>NA()</f>
        <v>#N/A</v>
      </c>
      <c r="N470" t="e">
        <f>NA()</f>
        <v>#N/A</v>
      </c>
      <c r="O470">
        <f t="shared" si="17"/>
        <v>5.3</v>
      </c>
    </row>
    <row r="471" spans="1:15" x14ac:dyDescent="0.25">
      <c r="A471" s="1">
        <v>45307</v>
      </c>
      <c r="B471" t="e">
        <f>NA()</f>
        <v>#N/A</v>
      </c>
      <c r="C471" t="e">
        <f>NA()</f>
        <v>#N/A</v>
      </c>
      <c r="D471" t="e">
        <f>NA()</f>
        <v>#N/A</v>
      </c>
      <c r="E471" t="e">
        <f>NA()</f>
        <v>#N/A</v>
      </c>
      <c r="F471" t="e">
        <f>NA()</f>
        <v>#N/A</v>
      </c>
      <c r="G471" t="e">
        <f>NA()</f>
        <v>#N/A</v>
      </c>
      <c r="H471" t="e">
        <f>NA()</f>
        <v>#N/A</v>
      </c>
      <c r="I471" t="e">
        <f>NA()</f>
        <v>#N/A</v>
      </c>
      <c r="J471" t="e">
        <f>NA()</f>
        <v>#N/A</v>
      </c>
      <c r="K471" t="e">
        <f>NA()</f>
        <v>#N/A</v>
      </c>
      <c r="L471" t="e">
        <f>NA()</f>
        <v>#N/A</v>
      </c>
      <c r="M471" t="e">
        <f>NA()</f>
        <v>#N/A</v>
      </c>
      <c r="N471" t="e">
        <f>NA()</f>
        <v>#N/A</v>
      </c>
      <c r="O471">
        <f t="shared" si="17"/>
        <v>5.3</v>
      </c>
    </row>
    <row r="472" spans="1:15" x14ac:dyDescent="0.25">
      <c r="A472" s="1">
        <v>45303</v>
      </c>
      <c r="B472">
        <f>-0.7</f>
        <v>-0.7</v>
      </c>
      <c r="C472">
        <f>0</f>
        <v>0</v>
      </c>
      <c r="D472" t="e">
        <f>NA()</f>
        <v>#N/A</v>
      </c>
      <c r="E472" t="e">
        <f>NA()</f>
        <v>#N/A</v>
      </c>
      <c r="F472" t="e">
        <f>NA()</f>
        <v>#N/A</v>
      </c>
      <c r="G472" t="e">
        <f>NA()</f>
        <v>#N/A</v>
      </c>
      <c r="H472" t="e">
        <f>NA()</f>
        <v>#N/A</v>
      </c>
      <c r="I472" t="e">
        <f>NA()</f>
        <v>#N/A</v>
      </c>
      <c r="J472" t="e">
        <f>NA()</f>
        <v>#N/A</v>
      </c>
      <c r="K472" t="e">
        <f>NA()</f>
        <v>#N/A</v>
      </c>
      <c r="L472" t="e">
        <f>NA()</f>
        <v>#N/A</v>
      </c>
      <c r="M472" t="e">
        <f>NA()</f>
        <v>#N/A</v>
      </c>
      <c r="N472" t="e">
        <f>NA()</f>
        <v>#N/A</v>
      </c>
      <c r="O472">
        <f t="shared" si="17"/>
        <v>5.3</v>
      </c>
    </row>
    <row r="473" spans="1:15" x14ac:dyDescent="0.25">
      <c r="A473" s="1">
        <v>45302</v>
      </c>
      <c r="B473" t="e">
        <f>NA()</f>
        <v>#N/A</v>
      </c>
      <c r="C473" t="e">
        <f>NA()</f>
        <v>#N/A</v>
      </c>
      <c r="D473" t="e">
        <f>NA()</f>
        <v>#N/A</v>
      </c>
      <c r="E473" t="e">
        <f>NA()</f>
        <v>#N/A</v>
      </c>
      <c r="F473" t="e">
        <f>NA()</f>
        <v>#N/A</v>
      </c>
      <c r="G473" t="e">
        <f>NA()</f>
        <v>#N/A</v>
      </c>
      <c r="H473" t="e">
        <f>NA()</f>
        <v>#N/A</v>
      </c>
      <c r="I473" t="e">
        <f>NA()</f>
        <v>#N/A</v>
      </c>
      <c r="J473" t="e">
        <f>NA()</f>
        <v>#N/A</v>
      </c>
      <c r="K473" t="e">
        <f>NA()</f>
        <v>#N/A</v>
      </c>
      <c r="L473" t="e">
        <f>NA()</f>
        <v>#N/A</v>
      </c>
      <c r="M473" t="e">
        <f>NA()</f>
        <v>#N/A</v>
      </c>
      <c r="N473" t="e">
        <f>NA()</f>
        <v>#N/A</v>
      </c>
      <c r="O473">
        <f t="shared" si="17"/>
        <v>5.3</v>
      </c>
    </row>
    <row r="474" spans="1:15" x14ac:dyDescent="0.25">
      <c r="A474" s="1">
        <v>45301</v>
      </c>
      <c r="B474" t="e">
        <f>NA()</f>
        <v>#N/A</v>
      </c>
      <c r="C474" t="e">
        <f>NA()</f>
        <v>#N/A</v>
      </c>
      <c r="D474" t="e">
        <f>NA()</f>
        <v>#N/A</v>
      </c>
      <c r="E474" t="e">
        <f>NA()</f>
        <v>#N/A</v>
      </c>
      <c r="F474" t="e">
        <f>NA()</f>
        <v>#N/A</v>
      </c>
      <c r="G474" t="e">
        <f>NA()</f>
        <v>#N/A</v>
      </c>
      <c r="H474" t="e">
        <f>NA()</f>
        <v>#N/A</v>
      </c>
      <c r="I474" t="e">
        <f>NA()</f>
        <v>#N/A</v>
      </c>
      <c r="J474" t="e">
        <f>NA()</f>
        <v>#N/A</v>
      </c>
      <c r="K474" t="e">
        <f>NA()</f>
        <v>#N/A</v>
      </c>
      <c r="L474" t="e">
        <f>NA()</f>
        <v>#N/A</v>
      </c>
      <c r="M474" t="e">
        <f>NA()</f>
        <v>#N/A</v>
      </c>
      <c r="N474" t="e">
        <f>NA()</f>
        <v>#N/A</v>
      </c>
      <c r="O474">
        <f t="shared" si="17"/>
        <v>5.3</v>
      </c>
    </row>
    <row r="475" spans="1:15" x14ac:dyDescent="0.25">
      <c r="A475" s="1">
        <v>45300</v>
      </c>
      <c r="B475" t="e">
        <f>NA()</f>
        <v>#N/A</v>
      </c>
      <c r="C475" t="e">
        <f>NA()</f>
        <v>#N/A</v>
      </c>
      <c r="D475" t="e">
        <f>NA()</f>
        <v>#N/A</v>
      </c>
      <c r="E475" t="e">
        <f>NA()</f>
        <v>#N/A</v>
      </c>
      <c r="F475" t="e">
        <f>NA()</f>
        <v>#N/A</v>
      </c>
      <c r="G475" t="e">
        <f>NA()</f>
        <v>#N/A</v>
      </c>
      <c r="H475" t="e">
        <f>NA()</f>
        <v>#N/A</v>
      </c>
      <c r="I475" t="e">
        <f>NA()</f>
        <v>#N/A</v>
      </c>
      <c r="J475" t="e">
        <f>NA()</f>
        <v>#N/A</v>
      </c>
      <c r="K475" t="e">
        <f>NA()</f>
        <v>#N/A</v>
      </c>
      <c r="L475" t="e">
        <f>NA()</f>
        <v>#N/A</v>
      </c>
      <c r="M475" t="e">
        <f>NA()</f>
        <v>#N/A</v>
      </c>
      <c r="N475" t="e">
        <f>NA()</f>
        <v>#N/A</v>
      </c>
      <c r="O475">
        <f t="shared" si="17"/>
        <v>5.3</v>
      </c>
    </row>
    <row r="476" spans="1:15" x14ac:dyDescent="0.25">
      <c r="A476" s="1">
        <v>45299</v>
      </c>
      <c r="B476" t="e">
        <f>NA()</f>
        <v>#N/A</v>
      </c>
      <c r="C476" t="e">
        <f>NA()</f>
        <v>#N/A</v>
      </c>
      <c r="D476" t="e">
        <f>NA()</f>
        <v>#N/A</v>
      </c>
      <c r="E476" t="e">
        <f>NA()</f>
        <v>#N/A</v>
      </c>
      <c r="F476" t="e">
        <f>NA()</f>
        <v>#N/A</v>
      </c>
      <c r="G476" t="e">
        <f>NA()</f>
        <v>#N/A</v>
      </c>
      <c r="H476" t="e">
        <f>NA()</f>
        <v>#N/A</v>
      </c>
      <c r="I476" t="e">
        <f>NA()</f>
        <v>#N/A</v>
      </c>
      <c r="J476" t="e">
        <f>NA()</f>
        <v>#N/A</v>
      </c>
      <c r="K476" t="e">
        <f>NA()</f>
        <v>#N/A</v>
      </c>
      <c r="L476" t="e">
        <f>NA()</f>
        <v>#N/A</v>
      </c>
      <c r="M476" t="e">
        <f>NA()</f>
        <v>#N/A</v>
      </c>
      <c r="N476" t="e">
        <f>NA()</f>
        <v>#N/A</v>
      </c>
      <c r="O476">
        <f t="shared" si="17"/>
        <v>5.3</v>
      </c>
    </row>
    <row r="477" spans="1:15" x14ac:dyDescent="0.25">
      <c r="A477" s="1">
        <v>45296</v>
      </c>
      <c r="B477">
        <f>-0.6</f>
        <v>-0.6</v>
      </c>
      <c r="C477">
        <f>0</f>
        <v>0</v>
      </c>
      <c r="D477" t="e">
        <f>NA()</f>
        <v>#N/A</v>
      </c>
      <c r="E477" t="e">
        <f>NA()</f>
        <v>#N/A</v>
      </c>
      <c r="F477" t="e">
        <f>NA()</f>
        <v>#N/A</v>
      </c>
      <c r="G477" t="e">
        <f>NA()</f>
        <v>#N/A</v>
      </c>
      <c r="H477" t="e">
        <f>NA()</f>
        <v>#N/A</v>
      </c>
      <c r="I477" t="e">
        <f>NA()</f>
        <v>#N/A</v>
      </c>
      <c r="J477" t="e">
        <f>NA()</f>
        <v>#N/A</v>
      </c>
      <c r="K477" t="e">
        <f>NA()</f>
        <v>#N/A</v>
      </c>
      <c r="L477" t="e">
        <f>NA()</f>
        <v>#N/A</v>
      </c>
      <c r="M477" t="e">
        <f>NA()</f>
        <v>#N/A</v>
      </c>
      <c r="N477" t="e">
        <f>NA()</f>
        <v>#N/A</v>
      </c>
      <c r="O477">
        <f t="shared" si="17"/>
        <v>5.3</v>
      </c>
    </row>
    <row r="478" spans="1:15" x14ac:dyDescent="0.25">
      <c r="A478" s="1">
        <v>45295</v>
      </c>
      <c r="B478" t="e">
        <f>NA()</f>
        <v>#N/A</v>
      </c>
      <c r="C478" t="e">
        <f>NA()</f>
        <v>#N/A</v>
      </c>
      <c r="D478" t="e">
        <f>NA()</f>
        <v>#N/A</v>
      </c>
      <c r="E478" t="e">
        <f>NA()</f>
        <v>#N/A</v>
      </c>
      <c r="F478" t="e">
        <f>NA()</f>
        <v>#N/A</v>
      </c>
      <c r="G478" t="e">
        <f>NA()</f>
        <v>#N/A</v>
      </c>
      <c r="H478" t="e">
        <f>NA()</f>
        <v>#N/A</v>
      </c>
      <c r="I478" t="e">
        <f>NA()</f>
        <v>#N/A</v>
      </c>
      <c r="J478" t="e">
        <f>NA()</f>
        <v>#N/A</v>
      </c>
      <c r="K478" t="e">
        <f>NA()</f>
        <v>#N/A</v>
      </c>
      <c r="L478" t="e">
        <f>NA()</f>
        <v>#N/A</v>
      </c>
      <c r="M478" t="e">
        <f>NA()</f>
        <v>#N/A</v>
      </c>
      <c r="N478" t="e">
        <f>NA()</f>
        <v>#N/A</v>
      </c>
      <c r="O478">
        <f t="shared" si="17"/>
        <v>5.3</v>
      </c>
    </row>
    <row r="479" spans="1:15" x14ac:dyDescent="0.25">
      <c r="A479" s="1">
        <v>45294</v>
      </c>
      <c r="B479" t="e">
        <f>NA()</f>
        <v>#N/A</v>
      </c>
      <c r="C479" t="e">
        <f>NA()</f>
        <v>#N/A</v>
      </c>
      <c r="D479" t="e">
        <f>NA()</f>
        <v>#N/A</v>
      </c>
      <c r="E479" t="e">
        <f>NA()</f>
        <v>#N/A</v>
      </c>
      <c r="F479" t="e">
        <f>NA()</f>
        <v>#N/A</v>
      </c>
      <c r="G479" t="e">
        <f>NA()</f>
        <v>#N/A</v>
      </c>
      <c r="H479" t="e">
        <f>NA()</f>
        <v>#N/A</v>
      </c>
      <c r="I479" t="e">
        <f>NA()</f>
        <v>#N/A</v>
      </c>
      <c r="J479" t="e">
        <f>NA()</f>
        <v>#N/A</v>
      </c>
      <c r="K479" t="e">
        <f>NA()</f>
        <v>#N/A</v>
      </c>
      <c r="L479" t="e">
        <f>NA()</f>
        <v>#N/A</v>
      </c>
      <c r="M479" t="e">
        <f>NA()</f>
        <v>#N/A</v>
      </c>
      <c r="N479" t="e">
        <f>NA()</f>
        <v>#N/A</v>
      </c>
      <c r="O479">
        <f t="shared" si="17"/>
        <v>5.3</v>
      </c>
    </row>
    <row r="480" spans="1:15" x14ac:dyDescent="0.25">
      <c r="A480" s="1">
        <v>45293</v>
      </c>
      <c r="B480" t="e">
        <f>NA()</f>
        <v>#N/A</v>
      </c>
      <c r="C480" t="e">
        <f>NA()</f>
        <v>#N/A</v>
      </c>
      <c r="D480" t="e">
        <f>NA()</f>
        <v>#N/A</v>
      </c>
      <c r="E480" t="e">
        <f>NA()</f>
        <v>#N/A</v>
      </c>
      <c r="F480" t="e">
        <f>NA()</f>
        <v>#N/A</v>
      </c>
      <c r="G480" t="e">
        <f>NA()</f>
        <v>#N/A</v>
      </c>
      <c r="H480" t="e">
        <f>NA()</f>
        <v>#N/A</v>
      </c>
      <c r="I480" t="e">
        <f>NA()</f>
        <v>#N/A</v>
      </c>
      <c r="J480" t="e">
        <f>NA()</f>
        <v>#N/A</v>
      </c>
      <c r="K480" t="e">
        <f>NA()</f>
        <v>#N/A</v>
      </c>
      <c r="L480" t="e">
        <f>NA()</f>
        <v>#N/A</v>
      </c>
      <c r="M480" t="e">
        <f>NA()</f>
        <v>#N/A</v>
      </c>
      <c r="N480" t="e">
        <f>NA()</f>
        <v>#N/A</v>
      </c>
      <c r="O480">
        <f t="shared" si="17"/>
        <v>5.3</v>
      </c>
    </row>
    <row r="481" spans="1:15" x14ac:dyDescent="0.25">
      <c r="A481" s="1">
        <v>45291</v>
      </c>
      <c r="B481" t="e">
        <f>NA()</f>
        <v>#N/A</v>
      </c>
      <c r="C481" t="e">
        <f>NA()</f>
        <v>#N/A</v>
      </c>
      <c r="D481">
        <f>0.4</f>
        <v>0.4</v>
      </c>
      <c r="E481">
        <f>0.7</f>
        <v>0.7</v>
      </c>
      <c r="F481">
        <f>8585</f>
        <v>8585</v>
      </c>
      <c r="G481">
        <f>62.5</f>
        <v>62.5</v>
      </c>
      <c r="H481">
        <f>6.4</f>
        <v>6.4</v>
      </c>
      <c r="I481">
        <f>306.7</f>
        <v>306.7</v>
      </c>
      <c r="J481">
        <f>3.4</f>
        <v>3.4</v>
      </c>
      <c r="K481">
        <f>46.9</f>
        <v>46.9</v>
      </c>
      <c r="L481">
        <f>-0.2</f>
        <v>-0.2</v>
      </c>
      <c r="M481">
        <f>3.4</f>
        <v>3.4</v>
      </c>
      <c r="N481">
        <f>3.8</f>
        <v>3.8</v>
      </c>
      <c r="O481" t="e">
        <f>NA()</f>
        <v>#N/A</v>
      </c>
    </row>
    <row r="482" spans="1:15" x14ac:dyDescent="0.25">
      <c r="A482" s="1">
        <v>45289</v>
      </c>
      <c r="B482">
        <f>-0.4</f>
        <v>-0.4</v>
      </c>
      <c r="C482">
        <f>0</f>
        <v>0</v>
      </c>
      <c r="D482" t="e">
        <f>NA()</f>
        <v>#N/A</v>
      </c>
      <c r="E482" t="e">
        <f>NA()</f>
        <v>#N/A</v>
      </c>
      <c r="F482" t="e">
        <f>NA()</f>
        <v>#N/A</v>
      </c>
      <c r="G482" t="e">
        <f>NA()</f>
        <v>#N/A</v>
      </c>
      <c r="H482" t="e">
        <f>NA()</f>
        <v>#N/A</v>
      </c>
      <c r="I482" t="e">
        <f>NA()</f>
        <v>#N/A</v>
      </c>
      <c r="J482" t="e">
        <f>NA()</f>
        <v>#N/A</v>
      </c>
      <c r="K482" t="e">
        <f>NA()</f>
        <v>#N/A</v>
      </c>
      <c r="L482" t="e">
        <f>NA()</f>
        <v>#N/A</v>
      </c>
      <c r="M482" t="e">
        <f>NA()</f>
        <v>#N/A</v>
      </c>
      <c r="N482" t="e">
        <f>NA()</f>
        <v>#N/A</v>
      </c>
      <c r="O482">
        <f t="shared" ref="O482:O513" si="18">5.3</f>
        <v>5.3</v>
      </c>
    </row>
    <row r="483" spans="1:15" x14ac:dyDescent="0.25">
      <c r="A483" s="1">
        <v>45288</v>
      </c>
      <c r="B483" t="e">
        <f>NA()</f>
        <v>#N/A</v>
      </c>
      <c r="C483" t="e">
        <f>NA()</f>
        <v>#N/A</v>
      </c>
      <c r="D483" t="e">
        <f>NA()</f>
        <v>#N/A</v>
      </c>
      <c r="E483" t="e">
        <f>NA()</f>
        <v>#N/A</v>
      </c>
      <c r="F483" t="e">
        <f>NA()</f>
        <v>#N/A</v>
      </c>
      <c r="G483" t="e">
        <f>NA()</f>
        <v>#N/A</v>
      </c>
      <c r="H483" t="e">
        <f>NA()</f>
        <v>#N/A</v>
      </c>
      <c r="I483" t="e">
        <f>NA()</f>
        <v>#N/A</v>
      </c>
      <c r="J483" t="e">
        <f>NA()</f>
        <v>#N/A</v>
      </c>
      <c r="K483" t="e">
        <f>NA()</f>
        <v>#N/A</v>
      </c>
      <c r="L483" t="e">
        <f>NA()</f>
        <v>#N/A</v>
      </c>
      <c r="M483" t="e">
        <f>NA()</f>
        <v>#N/A</v>
      </c>
      <c r="N483" t="e">
        <f>NA()</f>
        <v>#N/A</v>
      </c>
      <c r="O483">
        <f t="shared" si="18"/>
        <v>5.3</v>
      </c>
    </row>
    <row r="484" spans="1:15" x14ac:dyDescent="0.25">
      <c r="A484" s="1">
        <v>45287</v>
      </c>
      <c r="B484" t="e">
        <f>NA()</f>
        <v>#N/A</v>
      </c>
      <c r="C484" t="e">
        <f>NA()</f>
        <v>#N/A</v>
      </c>
      <c r="D484" t="e">
        <f>NA()</f>
        <v>#N/A</v>
      </c>
      <c r="E484" t="e">
        <f>NA()</f>
        <v>#N/A</v>
      </c>
      <c r="F484" t="e">
        <f>NA()</f>
        <v>#N/A</v>
      </c>
      <c r="G484" t="e">
        <f>NA()</f>
        <v>#N/A</v>
      </c>
      <c r="H484" t="e">
        <f>NA()</f>
        <v>#N/A</v>
      </c>
      <c r="I484" t="e">
        <f>NA()</f>
        <v>#N/A</v>
      </c>
      <c r="J484" t="e">
        <f>NA()</f>
        <v>#N/A</v>
      </c>
      <c r="K484" t="e">
        <f>NA()</f>
        <v>#N/A</v>
      </c>
      <c r="L484" t="e">
        <f>NA()</f>
        <v>#N/A</v>
      </c>
      <c r="M484" t="e">
        <f>NA()</f>
        <v>#N/A</v>
      </c>
      <c r="N484" t="e">
        <f>NA()</f>
        <v>#N/A</v>
      </c>
      <c r="O484">
        <f t="shared" si="18"/>
        <v>5.3</v>
      </c>
    </row>
    <row r="485" spans="1:15" x14ac:dyDescent="0.25">
      <c r="A485" s="1">
        <v>45286</v>
      </c>
      <c r="B485" t="e">
        <f>NA()</f>
        <v>#N/A</v>
      </c>
      <c r="C485" t="e">
        <f>NA()</f>
        <v>#N/A</v>
      </c>
      <c r="D485" t="e">
        <f>NA()</f>
        <v>#N/A</v>
      </c>
      <c r="E485" t="e">
        <f>NA()</f>
        <v>#N/A</v>
      </c>
      <c r="F485" t="e">
        <f>NA()</f>
        <v>#N/A</v>
      </c>
      <c r="G485" t="e">
        <f>NA()</f>
        <v>#N/A</v>
      </c>
      <c r="H485" t="e">
        <f>NA()</f>
        <v>#N/A</v>
      </c>
      <c r="I485" t="e">
        <f>NA()</f>
        <v>#N/A</v>
      </c>
      <c r="J485" t="e">
        <f>NA()</f>
        <v>#N/A</v>
      </c>
      <c r="K485" t="e">
        <f>NA()</f>
        <v>#N/A</v>
      </c>
      <c r="L485" t="e">
        <f>NA()</f>
        <v>#N/A</v>
      </c>
      <c r="M485" t="e">
        <f>NA()</f>
        <v>#N/A</v>
      </c>
      <c r="N485" t="e">
        <f>NA()</f>
        <v>#N/A</v>
      </c>
      <c r="O485">
        <f t="shared" si="18"/>
        <v>5.3</v>
      </c>
    </row>
    <row r="486" spans="1:15" x14ac:dyDescent="0.25">
      <c r="A486" s="1">
        <v>45282</v>
      </c>
      <c r="B486">
        <f>-0.4</f>
        <v>-0.4</v>
      </c>
      <c r="C486">
        <f>0</f>
        <v>0</v>
      </c>
      <c r="D486" t="e">
        <f>NA()</f>
        <v>#N/A</v>
      </c>
      <c r="E486" t="e">
        <f>NA()</f>
        <v>#N/A</v>
      </c>
      <c r="F486" t="e">
        <f>NA()</f>
        <v>#N/A</v>
      </c>
      <c r="G486" t="e">
        <f>NA()</f>
        <v>#N/A</v>
      </c>
      <c r="H486" t="e">
        <f>NA()</f>
        <v>#N/A</v>
      </c>
      <c r="I486" t="e">
        <f>NA()</f>
        <v>#N/A</v>
      </c>
      <c r="J486" t="e">
        <f>NA()</f>
        <v>#N/A</v>
      </c>
      <c r="K486" t="e">
        <f>NA()</f>
        <v>#N/A</v>
      </c>
      <c r="L486" t="e">
        <f>NA()</f>
        <v>#N/A</v>
      </c>
      <c r="M486" t="e">
        <f>NA()</f>
        <v>#N/A</v>
      </c>
      <c r="N486" t="e">
        <f>NA()</f>
        <v>#N/A</v>
      </c>
      <c r="O486">
        <f t="shared" si="18"/>
        <v>5.3</v>
      </c>
    </row>
    <row r="487" spans="1:15" x14ac:dyDescent="0.25">
      <c r="A487" s="1">
        <v>45281</v>
      </c>
      <c r="B487" t="e">
        <f>NA()</f>
        <v>#N/A</v>
      </c>
      <c r="C487" t="e">
        <f>NA()</f>
        <v>#N/A</v>
      </c>
      <c r="D487" t="e">
        <f>NA()</f>
        <v>#N/A</v>
      </c>
      <c r="E487" t="e">
        <f>NA()</f>
        <v>#N/A</v>
      </c>
      <c r="F487" t="e">
        <f>NA()</f>
        <v>#N/A</v>
      </c>
      <c r="G487" t="e">
        <f>NA()</f>
        <v>#N/A</v>
      </c>
      <c r="H487" t="e">
        <f>NA()</f>
        <v>#N/A</v>
      </c>
      <c r="I487" t="e">
        <f>NA()</f>
        <v>#N/A</v>
      </c>
      <c r="J487" t="e">
        <f>NA()</f>
        <v>#N/A</v>
      </c>
      <c r="K487" t="e">
        <f>NA()</f>
        <v>#N/A</v>
      </c>
      <c r="L487" t="e">
        <f>NA()</f>
        <v>#N/A</v>
      </c>
      <c r="M487" t="e">
        <f>NA()</f>
        <v>#N/A</v>
      </c>
      <c r="N487" t="e">
        <f>NA()</f>
        <v>#N/A</v>
      </c>
      <c r="O487">
        <f t="shared" si="18"/>
        <v>5.3</v>
      </c>
    </row>
    <row r="488" spans="1:15" x14ac:dyDescent="0.25">
      <c r="A488" s="1">
        <v>45280</v>
      </c>
      <c r="B488" t="e">
        <f>NA()</f>
        <v>#N/A</v>
      </c>
      <c r="C488" t="e">
        <f>NA()</f>
        <v>#N/A</v>
      </c>
      <c r="D488" t="e">
        <f>NA()</f>
        <v>#N/A</v>
      </c>
      <c r="E488" t="e">
        <f>NA()</f>
        <v>#N/A</v>
      </c>
      <c r="F488" t="e">
        <f>NA()</f>
        <v>#N/A</v>
      </c>
      <c r="G488" t="e">
        <f>NA()</f>
        <v>#N/A</v>
      </c>
      <c r="H488" t="e">
        <f>NA()</f>
        <v>#N/A</v>
      </c>
      <c r="I488" t="e">
        <f>NA()</f>
        <v>#N/A</v>
      </c>
      <c r="J488" t="e">
        <f>NA()</f>
        <v>#N/A</v>
      </c>
      <c r="K488" t="e">
        <f>NA()</f>
        <v>#N/A</v>
      </c>
      <c r="L488" t="e">
        <f>NA()</f>
        <v>#N/A</v>
      </c>
      <c r="M488" t="e">
        <f>NA()</f>
        <v>#N/A</v>
      </c>
      <c r="N488" t="e">
        <f>NA()</f>
        <v>#N/A</v>
      </c>
      <c r="O488">
        <f t="shared" si="18"/>
        <v>5.3</v>
      </c>
    </row>
    <row r="489" spans="1:15" x14ac:dyDescent="0.25">
      <c r="A489" s="1">
        <v>45279</v>
      </c>
      <c r="B489" t="e">
        <f>NA()</f>
        <v>#N/A</v>
      </c>
      <c r="C489" t="e">
        <f>NA()</f>
        <v>#N/A</v>
      </c>
      <c r="D489" t="e">
        <f>NA()</f>
        <v>#N/A</v>
      </c>
      <c r="E489" t="e">
        <f>NA()</f>
        <v>#N/A</v>
      </c>
      <c r="F489" t="e">
        <f>NA()</f>
        <v>#N/A</v>
      </c>
      <c r="G489" t="e">
        <f>NA()</f>
        <v>#N/A</v>
      </c>
      <c r="H489" t="e">
        <f>NA()</f>
        <v>#N/A</v>
      </c>
      <c r="I489" t="e">
        <f>NA()</f>
        <v>#N/A</v>
      </c>
      <c r="J489" t="e">
        <f>NA()</f>
        <v>#N/A</v>
      </c>
      <c r="K489" t="e">
        <f>NA()</f>
        <v>#N/A</v>
      </c>
      <c r="L489" t="e">
        <f>NA()</f>
        <v>#N/A</v>
      </c>
      <c r="M489" t="e">
        <f>NA()</f>
        <v>#N/A</v>
      </c>
      <c r="N489" t="e">
        <f>NA()</f>
        <v>#N/A</v>
      </c>
      <c r="O489">
        <f t="shared" si="18"/>
        <v>5.3</v>
      </c>
    </row>
    <row r="490" spans="1:15" x14ac:dyDescent="0.25">
      <c r="A490" s="1">
        <v>45278</v>
      </c>
      <c r="B490" t="e">
        <f>NA()</f>
        <v>#N/A</v>
      </c>
      <c r="C490" t="e">
        <f>NA()</f>
        <v>#N/A</v>
      </c>
      <c r="D490" t="e">
        <f>NA()</f>
        <v>#N/A</v>
      </c>
      <c r="E490" t="e">
        <f>NA()</f>
        <v>#N/A</v>
      </c>
      <c r="F490" t="e">
        <f>NA()</f>
        <v>#N/A</v>
      </c>
      <c r="G490" t="e">
        <f>NA()</f>
        <v>#N/A</v>
      </c>
      <c r="H490" t="e">
        <f>NA()</f>
        <v>#N/A</v>
      </c>
      <c r="I490" t="e">
        <f>NA()</f>
        <v>#N/A</v>
      </c>
      <c r="J490" t="e">
        <f>NA()</f>
        <v>#N/A</v>
      </c>
      <c r="K490" t="e">
        <f>NA()</f>
        <v>#N/A</v>
      </c>
      <c r="L490" t="e">
        <f>NA()</f>
        <v>#N/A</v>
      </c>
      <c r="M490" t="e">
        <f>NA()</f>
        <v>#N/A</v>
      </c>
      <c r="N490" t="e">
        <f>NA()</f>
        <v>#N/A</v>
      </c>
      <c r="O490">
        <f t="shared" si="18"/>
        <v>5.3</v>
      </c>
    </row>
    <row r="491" spans="1:15" x14ac:dyDescent="0.25">
      <c r="A491" s="1">
        <v>45275</v>
      </c>
      <c r="B491">
        <f>-0.6</f>
        <v>-0.6</v>
      </c>
      <c r="C491">
        <f>0</f>
        <v>0</v>
      </c>
      <c r="D491" t="e">
        <f>NA()</f>
        <v>#N/A</v>
      </c>
      <c r="E491" t="e">
        <f>NA()</f>
        <v>#N/A</v>
      </c>
      <c r="F491" t="e">
        <f>NA()</f>
        <v>#N/A</v>
      </c>
      <c r="G491" t="e">
        <f>NA()</f>
        <v>#N/A</v>
      </c>
      <c r="H491" t="e">
        <f>NA()</f>
        <v>#N/A</v>
      </c>
      <c r="I491" t="e">
        <f>NA()</f>
        <v>#N/A</v>
      </c>
      <c r="J491" t="e">
        <f>NA()</f>
        <v>#N/A</v>
      </c>
      <c r="K491" t="e">
        <f>NA()</f>
        <v>#N/A</v>
      </c>
      <c r="L491" t="e">
        <f>NA()</f>
        <v>#N/A</v>
      </c>
      <c r="M491" t="e">
        <f>NA()</f>
        <v>#N/A</v>
      </c>
      <c r="N491" t="e">
        <f>NA()</f>
        <v>#N/A</v>
      </c>
      <c r="O491">
        <f t="shared" si="18"/>
        <v>5.3</v>
      </c>
    </row>
    <row r="492" spans="1:15" x14ac:dyDescent="0.25">
      <c r="A492" s="1">
        <v>45274</v>
      </c>
      <c r="B492" t="e">
        <f>NA()</f>
        <v>#N/A</v>
      </c>
      <c r="C492" t="e">
        <f>NA()</f>
        <v>#N/A</v>
      </c>
      <c r="D492" t="e">
        <f>NA()</f>
        <v>#N/A</v>
      </c>
      <c r="E492" t="e">
        <f>NA()</f>
        <v>#N/A</v>
      </c>
      <c r="F492" t="e">
        <f>NA()</f>
        <v>#N/A</v>
      </c>
      <c r="G492" t="e">
        <f>NA()</f>
        <v>#N/A</v>
      </c>
      <c r="H492" t="e">
        <f>NA()</f>
        <v>#N/A</v>
      </c>
      <c r="I492" t="e">
        <f>NA()</f>
        <v>#N/A</v>
      </c>
      <c r="J492" t="e">
        <f>NA()</f>
        <v>#N/A</v>
      </c>
      <c r="K492" t="e">
        <f>NA()</f>
        <v>#N/A</v>
      </c>
      <c r="L492" t="e">
        <f>NA()</f>
        <v>#N/A</v>
      </c>
      <c r="M492" t="e">
        <f>NA()</f>
        <v>#N/A</v>
      </c>
      <c r="N492" t="e">
        <f>NA()</f>
        <v>#N/A</v>
      </c>
      <c r="O492">
        <f t="shared" si="18"/>
        <v>5.3</v>
      </c>
    </row>
    <row r="493" spans="1:15" x14ac:dyDescent="0.25">
      <c r="A493" s="1">
        <v>45273</v>
      </c>
      <c r="B493" t="e">
        <f>NA()</f>
        <v>#N/A</v>
      </c>
      <c r="C493" t="e">
        <f>NA()</f>
        <v>#N/A</v>
      </c>
      <c r="D493" t="e">
        <f>NA()</f>
        <v>#N/A</v>
      </c>
      <c r="E493" t="e">
        <f>NA()</f>
        <v>#N/A</v>
      </c>
      <c r="F493" t="e">
        <f>NA()</f>
        <v>#N/A</v>
      </c>
      <c r="G493" t="e">
        <f>NA()</f>
        <v>#N/A</v>
      </c>
      <c r="H493" t="e">
        <f>NA()</f>
        <v>#N/A</v>
      </c>
      <c r="I493" t="e">
        <f>NA()</f>
        <v>#N/A</v>
      </c>
      <c r="J493" t="e">
        <f>NA()</f>
        <v>#N/A</v>
      </c>
      <c r="K493" t="e">
        <f>NA()</f>
        <v>#N/A</v>
      </c>
      <c r="L493" t="e">
        <f>NA()</f>
        <v>#N/A</v>
      </c>
      <c r="M493" t="e">
        <f>NA()</f>
        <v>#N/A</v>
      </c>
      <c r="N493" t="e">
        <f>NA()</f>
        <v>#N/A</v>
      </c>
      <c r="O493">
        <f t="shared" si="18"/>
        <v>5.3</v>
      </c>
    </row>
    <row r="494" spans="1:15" x14ac:dyDescent="0.25">
      <c r="A494" s="1">
        <v>45272</v>
      </c>
      <c r="B494" t="e">
        <f>NA()</f>
        <v>#N/A</v>
      </c>
      <c r="C494" t="e">
        <f>NA()</f>
        <v>#N/A</v>
      </c>
      <c r="D494" t="e">
        <f>NA()</f>
        <v>#N/A</v>
      </c>
      <c r="E494" t="e">
        <f>NA()</f>
        <v>#N/A</v>
      </c>
      <c r="F494" t="e">
        <f>NA()</f>
        <v>#N/A</v>
      </c>
      <c r="G494" t="e">
        <f>NA()</f>
        <v>#N/A</v>
      </c>
      <c r="H494" t="e">
        <f>NA()</f>
        <v>#N/A</v>
      </c>
      <c r="I494" t="e">
        <f>NA()</f>
        <v>#N/A</v>
      </c>
      <c r="J494" t="e">
        <f>NA()</f>
        <v>#N/A</v>
      </c>
      <c r="K494" t="e">
        <f>NA()</f>
        <v>#N/A</v>
      </c>
      <c r="L494" t="e">
        <f>NA()</f>
        <v>#N/A</v>
      </c>
      <c r="M494" t="e">
        <f>NA()</f>
        <v>#N/A</v>
      </c>
      <c r="N494" t="e">
        <f>NA()</f>
        <v>#N/A</v>
      </c>
      <c r="O494">
        <f t="shared" si="18"/>
        <v>5.3</v>
      </c>
    </row>
    <row r="495" spans="1:15" x14ac:dyDescent="0.25">
      <c r="A495" s="1">
        <v>45271</v>
      </c>
      <c r="B495" t="e">
        <f>NA()</f>
        <v>#N/A</v>
      </c>
      <c r="C495" t="e">
        <f>NA()</f>
        <v>#N/A</v>
      </c>
      <c r="D495" t="e">
        <f>NA()</f>
        <v>#N/A</v>
      </c>
      <c r="E495" t="e">
        <f>NA()</f>
        <v>#N/A</v>
      </c>
      <c r="F495" t="e">
        <f>NA()</f>
        <v>#N/A</v>
      </c>
      <c r="G495" t="e">
        <f>NA()</f>
        <v>#N/A</v>
      </c>
      <c r="H495" t="e">
        <f>NA()</f>
        <v>#N/A</v>
      </c>
      <c r="I495" t="e">
        <f>NA()</f>
        <v>#N/A</v>
      </c>
      <c r="J495" t="e">
        <f>NA()</f>
        <v>#N/A</v>
      </c>
      <c r="K495" t="e">
        <f>NA()</f>
        <v>#N/A</v>
      </c>
      <c r="L495" t="e">
        <f>NA()</f>
        <v>#N/A</v>
      </c>
      <c r="M495" t="e">
        <f>NA()</f>
        <v>#N/A</v>
      </c>
      <c r="N495" t="e">
        <f>NA()</f>
        <v>#N/A</v>
      </c>
      <c r="O495">
        <f t="shared" si="18"/>
        <v>5.3</v>
      </c>
    </row>
    <row r="496" spans="1:15" x14ac:dyDescent="0.25">
      <c r="A496" s="1">
        <v>45268</v>
      </c>
      <c r="B496">
        <f>-0.5</f>
        <v>-0.5</v>
      </c>
      <c r="C496">
        <f>0</f>
        <v>0</v>
      </c>
      <c r="D496" t="e">
        <f>NA()</f>
        <v>#N/A</v>
      </c>
      <c r="E496" t="e">
        <f>NA()</f>
        <v>#N/A</v>
      </c>
      <c r="F496" t="e">
        <f>NA()</f>
        <v>#N/A</v>
      </c>
      <c r="G496" t="e">
        <f>NA()</f>
        <v>#N/A</v>
      </c>
      <c r="H496" t="e">
        <f>NA()</f>
        <v>#N/A</v>
      </c>
      <c r="I496" t="e">
        <f>NA()</f>
        <v>#N/A</v>
      </c>
      <c r="J496" t="e">
        <f>NA()</f>
        <v>#N/A</v>
      </c>
      <c r="K496" t="e">
        <f>NA()</f>
        <v>#N/A</v>
      </c>
      <c r="L496" t="e">
        <f>NA()</f>
        <v>#N/A</v>
      </c>
      <c r="M496" t="e">
        <f>NA()</f>
        <v>#N/A</v>
      </c>
      <c r="N496" t="e">
        <f>NA()</f>
        <v>#N/A</v>
      </c>
      <c r="O496">
        <f t="shared" si="18"/>
        <v>5.3</v>
      </c>
    </row>
    <row r="497" spans="1:15" x14ac:dyDescent="0.25">
      <c r="A497" s="1">
        <v>45267</v>
      </c>
      <c r="B497" t="e">
        <f>NA()</f>
        <v>#N/A</v>
      </c>
      <c r="C497" t="e">
        <f>NA()</f>
        <v>#N/A</v>
      </c>
      <c r="D497" t="e">
        <f>NA()</f>
        <v>#N/A</v>
      </c>
      <c r="E497" t="e">
        <f>NA()</f>
        <v>#N/A</v>
      </c>
      <c r="F497" t="e">
        <f>NA()</f>
        <v>#N/A</v>
      </c>
      <c r="G497" t="e">
        <f>NA()</f>
        <v>#N/A</v>
      </c>
      <c r="H497" t="e">
        <f>NA()</f>
        <v>#N/A</v>
      </c>
      <c r="I497" t="e">
        <f>NA()</f>
        <v>#N/A</v>
      </c>
      <c r="J497" t="e">
        <f>NA()</f>
        <v>#N/A</v>
      </c>
      <c r="K497" t="e">
        <f>NA()</f>
        <v>#N/A</v>
      </c>
      <c r="L497" t="e">
        <f>NA()</f>
        <v>#N/A</v>
      </c>
      <c r="M497" t="e">
        <f>NA()</f>
        <v>#N/A</v>
      </c>
      <c r="N497" t="e">
        <f>NA()</f>
        <v>#N/A</v>
      </c>
      <c r="O497">
        <f t="shared" si="18"/>
        <v>5.3</v>
      </c>
    </row>
    <row r="498" spans="1:15" x14ac:dyDescent="0.25">
      <c r="A498" s="1">
        <v>45266</v>
      </c>
      <c r="B498" t="e">
        <f>NA()</f>
        <v>#N/A</v>
      </c>
      <c r="C498" t="e">
        <f>NA()</f>
        <v>#N/A</v>
      </c>
      <c r="D498" t="e">
        <f>NA()</f>
        <v>#N/A</v>
      </c>
      <c r="E498" t="e">
        <f>NA()</f>
        <v>#N/A</v>
      </c>
      <c r="F498" t="e">
        <f>NA()</f>
        <v>#N/A</v>
      </c>
      <c r="G498" t="e">
        <f>NA()</f>
        <v>#N/A</v>
      </c>
      <c r="H498" t="e">
        <f>NA()</f>
        <v>#N/A</v>
      </c>
      <c r="I498" t="e">
        <f>NA()</f>
        <v>#N/A</v>
      </c>
      <c r="J498" t="e">
        <f>NA()</f>
        <v>#N/A</v>
      </c>
      <c r="K498" t="e">
        <f>NA()</f>
        <v>#N/A</v>
      </c>
      <c r="L498" t="e">
        <f>NA()</f>
        <v>#N/A</v>
      </c>
      <c r="M498" t="e">
        <f>NA()</f>
        <v>#N/A</v>
      </c>
      <c r="N498" t="e">
        <f>NA()</f>
        <v>#N/A</v>
      </c>
      <c r="O498">
        <f t="shared" si="18"/>
        <v>5.3</v>
      </c>
    </row>
    <row r="499" spans="1:15" x14ac:dyDescent="0.25">
      <c r="A499" s="1">
        <v>45265</v>
      </c>
      <c r="B499" t="e">
        <f>NA()</f>
        <v>#N/A</v>
      </c>
      <c r="C499" t="e">
        <f>NA()</f>
        <v>#N/A</v>
      </c>
      <c r="D499" t="e">
        <f>NA()</f>
        <v>#N/A</v>
      </c>
      <c r="E499" t="e">
        <f>NA()</f>
        <v>#N/A</v>
      </c>
      <c r="F499" t="e">
        <f>NA()</f>
        <v>#N/A</v>
      </c>
      <c r="G499" t="e">
        <f>NA()</f>
        <v>#N/A</v>
      </c>
      <c r="H499" t="e">
        <f>NA()</f>
        <v>#N/A</v>
      </c>
      <c r="I499" t="e">
        <f>NA()</f>
        <v>#N/A</v>
      </c>
      <c r="J499" t="e">
        <f>NA()</f>
        <v>#N/A</v>
      </c>
      <c r="K499" t="e">
        <f>NA()</f>
        <v>#N/A</v>
      </c>
      <c r="L499" t="e">
        <f>NA()</f>
        <v>#N/A</v>
      </c>
      <c r="M499" t="e">
        <f>NA()</f>
        <v>#N/A</v>
      </c>
      <c r="N499" t="e">
        <f>NA()</f>
        <v>#N/A</v>
      </c>
      <c r="O499">
        <f t="shared" si="18"/>
        <v>5.3</v>
      </c>
    </row>
    <row r="500" spans="1:15" x14ac:dyDescent="0.25">
      <c r="A500" s="1">
        <v>45264</v>
      </c>
      <c r="B500" t="e">
        <f>NA()</f>
        <v>#N/A</v>
      </c>
      <c r="C500" t="e">
        <f>NA()</f>
        <v>#N/A</v>
      </c>
      <c r="D500" t="e">
        <f>NA()</f>
        <v>#N/A</v>
      </c>
      <c r="E500" t="e">
        <f>NA()</f>
        <v>#N/A</v>
      </c>
      <c r="F500" t="e">
        <f>NA()</f>
        <v>#N/A</v>
      </c>
      <c r="G500" t="e">
        <f>NA()</f>
        <v>#N/A</v>
      </c>
      <c r="H500" t="e">
        <f>NA()</f>
        <v>#N/A</v>
      </c>
      <c r="I500" t="e">
        <f>NA()</f>
        <v>#N/A</v>
      </c>
      <c r="J500" t="e">
        <f>NA()</f>
        <v>#N/A</v>
      </c>
      <c r="K500" t="e">
        <f>NA()</f>
        <v>#N/A</v>
      </c>
      <c r="L500" t="e">
        <f>NA()</f>
        <v>#N/A</v>
      </c>
      <c r="M500" t="e">
        <f>NA()</f>
        <v>#N/A</v>
      </c>
      <c r="N500" t="e">
        <f>NA()</f>
        <v>#N/A</v>
      </c>
      <c r="O500">
        <f t="shared" si="18"/>
        <v>5.3</v>
      </c>
    </row>
    <row r="501" spans="1:15" x14ac:dyDescent="0.25">
      <c r="A501" s="1">
        <v>45261</v>
      </c>
      <c r="B501">
        <f>-0.5</f>
        <v>-0.5</v>
      </c>
      <c r="C501">
        <f>0</f>
        <v>0</v>
      </c>
      <c r="D501" t="e">
        <f>NA()</f>
        <v>#N/A</v>
      </c>
      <c r="E501" t="e">
        <f>NA()</f>
        <v>#N/A</v>
      </c>
      <c r="F501" t="e">
        <f>NA()</f>
        <v>#N/A</v>
      </c>
      <c r="G501" t="e">
        <f>NA()</f>
        <v>#N/A</v>
      </c>
      <c r="H501" t="e">
        <f>NA()</f>
        <v>#N/A</v>
      </c>
      <c r="I501" t="e">
        <f>NA()</f>
        <v>#N/A</v>
      </c>
      <c r="J501" t="e">
        <f>NA()</f>
        <v>#N/A</v>
      </c>
      <c r="K501" t="e">
        <f>NA()</f>
        <v>#N/A</v>
      </c>
      <c r="L501" t="e">
        <f>NA()</f>
        <v>#N/A</v>
      </c>
      <c r="M501" t="e">
        <f>NA()</f>
        <v>#N/A</v>
      </c>
      <c r="N501" t="e">
        <f>NA()</f>
        <v>#N/A</v>
      </c>
      <c r="O501">
        <f t="shared" si="18"/>
        <v>5.3</v>
      </c>
    </row>
    <row r="502" spans="1:15" x14ac:dyDescent="0.25">
      <c r="A502" s="1">
        <v>45260</v>
      </c>
      <c r="B502" t="e">
        <f>NA()</f>
        <v>#N/A</v>
      </c>
      <c r="C502" t="e">
        <f>NA()</f>
        <v>#N/A</v>
      </c>
      <c r="D502">
        <f>0.4</f>
        <v>0.4</v>
      </c>
      <c r="E502">
        <f>1</f>
        <v>1</v>
      </c>
      <c r="F502">
        <f>8663</f>
        <v>8663</v>
      </c>
      <c r="G502">
        <f>62.8</f>
        <v>62.8</v>
      </c>
      <c r="H502">
        <f>5.9</f>
        <v>5.9</v>
      </c>
      <c r="I502">
        <f>307.1</f>
        <v>307.10000000000002</v>
      </c>
      <c r="J502">
        <f>3.1</f>
        <v>3.1</v>
      </c>
      <c r="K502">
        <f>46.9</f>
        <v>46.9</v>
      </c>
      <c r="L502">
        <f>0.3</f>
        <v>0.3</v>
      </c>
      <c r="M502" t="e">
        <f>NA()</f>
        <v>#N/A</v>
      </c>
      <c r="N502">
        <f>3.7</f>
        <v>3.7</v>
      </c>
      <c r="O502">
        <f t="shared" si="18"/>
        <v>5.3</v>
      </c>
    </row>
    <row r="503" spans="1:15" x14ac:dyDescent="0.25">
      <c r="A503" s="1">
        <v>45259</v>
      </c>
      <c r="B503" t="e">
        <f>NA()</f>
        <v>#N/A</v>
      </c>
      <c r="C503" t="e">
        <f>NA()</f>
        <v>#N/A</v>
      </c>
      <c r="D503" t="e">
        <f>NA()</f>
        <v>#N/A</v>
      </c>
      <c r="E503" t="e">
        <f>NA()</f>
        <v>#N/A</v>
      </c>
      <c r="F503" t="e">
        <f>NA()</f>
        <v>#N/A</v>
      </c>
      <c r="G503" t="e">
        <f>NA()</f>
        <v>#N/A</v>
      </c>
      <c r="H503" t="e">
        <f>NA()</f>
        <v>#N/A</v>
      </c>
      <c r="I503" t="e">
        <f>NA()</f>
        <v>#N/A</v>
      </c>
      <c r="J503" t="e">
        <f>NA()</f>
        <v>#N/A</v>
      </c>
      <c r="K503" t="e">
        <f>NA()</f>
        <v>#N/A</v>
      </c>
      <c r="L503" t="e">
        <f>NA()</f>
        <v>#N/A</v>
      </c>
      <c r="M503" t="e">
        <f>NA()</f>
        <v>#N/A</v>
      </c>
      <c r="N503" t="e">
        <f>NA()</f>
        <v>#N/A</v>
      </c>
      <c r="O503">
        <f t="shared" si="18"/>
        <v>5.3</v>
      </c>
    </row>
    <row r="504" spans="1:15" x14ac:dyDescent="0.25">
      <c r="A504" s="1">
        <v>45258</v>
      </c>
      <c r="B504" t="e">
        <f>NA()</f>
        <v>#N/A</v>
      </c>
      <c r="C504" t="e">
        <f>NA()</f>
        <v>#N/A</v>
      </c>
      <c r="D504" t="e">
        <f>NA()</f>
        <v>#N/A</v>
      </c>
      <c r="E504" t="e">
        <f>NA()</f>
        <v>#N/A</v>
      </c>
      <c r="F504" t="e">
        <f>NA()</f>
        <v>#N/A</v>
      </c>
      <c r="G504" t="e">
        <f>NA()</f>
        <v>#N/A</v>
      </c>
      <c r="H504" t="e">
        <f>NA()</f>
        <v>#N/A</v>
      </c>
      <c r="I504" t="e">
        <f>NA()</f>
        <v>#N/A</v>
      </c>
      <c r="J504" t="e">
        <f>NA()</f>
        <v>#N/A</v>
      </c>
      <c r="K504" t="e">
        <f>NA()</f>
        <v>#N/A</v>
      </c>
      <c r="L504" t="e">
        <f>NA()</f>
        <v>#N/A</v>
      </c>
      <c r="M504" t="e">
        <f>NA()</f>
        <v>#N/A</v>
      </c>
      <c r="N504" t="e">
        <f>NA()</f>
        <v>#N/A</v>
      </c>
      <c r="O504">
        <f t="shared" si="18"/>
        <v>5.3</v>
      </c>
    </row>
    <row r="505" spans="1:15" x14ac:dyDescent="0.25">
      <c r="A505" s="1">
        <v>45257</v>
      </c>
      <c r="B505" t="e">
        <f>NA()</f>
        <v>#N/A</v>
      </c>
      <c r="C505" t="e">
        <f>NA()</f>
        <v>#N/A</v>
      </c>
      <c r="D505" t="e">
        <f>NA()</f>
        <v>#N/A</v>
      </c>
      <c r="E505" t="e">
        <f>NA()</f>
        <v>#N/A</v>
      </c>
      <c r="F505" t="e">
        <f>NA()</f>
        <v>#N/A</v>
      </c>
      <c r="G505" t="e">
        <f>NA()</f>
        <v>#N/A</v>
      </c>
      <c r="H505" t="e">
        <f>NA()</f>
        <v>#N/A</v>
      </c>
      <c r="I505" t="e">
        <f>NA()</f>
        <v>#N/A</v>
      </c>
      <c r="J505" t="e">
        <f>NA()</f>
        <v>#N/A</v>
      </c>
      <c r="K505" t="e">
        <f>NA()</f>
        <v>#N/A</v>
      </c>
      <c r="L505" t="e">
        <f>NA()</f>
        <v>#N/A</v>
      </c>
      <c r="M505" t="e">
        <f>NA()</f>
        <v>#N/A</v>
      </c>
      <c r="N505" t="e">
        <f>NA()</f>
        <v>#N/A</v>
      </c>
      <c r="O505">
        <f t="shared" si="18"/>
        <v>5.3</v>
      </c>
    </row>
    <row r="506" spans="1:15" x14ac:dyDescent="0.25">
      <c r="A506" s="1">
        <v>45254</v>
      </c>
      <c r="B506">
        <f>-0.7</f>
        <v>-0.7</v>
      </c>
      <c r="C506">
        <f>0</f>
        <v>0</v>
      </c>
      <c r="D506" t="e">
        <f>NA()</f>
        <v>#N/A</v>
      </c>
      <c r="E506" t="e">
        <f>NA()</f>
        <v>#N/A</v>
      </c>
      <c r="F506" t="e">
        <f>NA()</f>
        <v>#N/A</v>
      </c>
      <c r="G506" t="e">
        <f>NA()</f>
        <v>#N/A</v>
      </c>
      <c r="H506" t="e">
        <f>NA()</f>
        <v>#N/A</v>
      </c>
      <c r="I506" t="e">
        <f>NA()</f>
        <v>#N/A</v>
      </c>
      <c r="J506" t="e">
        <f>NA()</f>
        <v>#N/A</v>
      </c>
      <c r="K506" t="e">
        <f>NA()</f>
        <v>#N/A</v>
      </c>
      <c r="L506" t="e">
        <f>NA()</f>
        <v>#N/A</v>
      </c>
      <c r="M506" t="e">
        <f>NA()</f>
        <v>#N/A</v>
      </c>
      <c r="N506" t="e">
        <f>NA()</f>
        <v>#N/A</v>
      </c>
      <c r="O506">
        <f t="shared" si="18"/>
        <v>5.3</v>
      </c>
    </row>
    <row r="507" spans="1:15" x14ac:dyDescent="0.25">
      <c r="A507" s="1">
        <v>45252</v>
      </c>
      <c r="B507" t="e">
        <f>NA()</f>
        <v>#N/A</v>
      </c>
      <c r="C507" t="e">
        <f>NA()</f>
        <v>#N/A</v>
      </c>
      <c r="D507" t="e">
        <f>NA()</f>
        <v>#N/A</v>
      </c>
      <c r="E507" t="e">
        <f>NA()</f>
        <v>#N/A</v>
      </c>
      <c r="F507" t="e">
        <f>NA()</f>
        <v>#N/A</v>
      </c>
      <c r="G507" t="e">
        <f>NA()</f>
        <v>#N/A</v>
      </c>
      <c r="H507" t="e">
        <f>NA()</f>
        <v>#N/A</v>
      </c>
      <c r="I507" t="e">
        <f>NA()</f>
        <v>#N/A</v>
      </c>
      <c r="J507" t="e">
        <f>NA()</f>
        <v>#N/A</v>
      </c>
      <c r="K507" t="e">
        <f>NA()</f>
        <v>#N/A</v>
      </c>
      <c r="L507" t="e">
        <f>NA()</f>
        <v>#N/A</v>
      </c>
      <c r="M507" t="e">
        <f>NA()</f>
        <v>#N/A</v>
      </c>
      <c r="N507" t="e">
        <f>NA()</f>
        <v>#N/A</v>
      </c>
      <c r="O507">
        <f t="shared" si="18"/>
        <v>5.3</v>
      </c>
    </row>
    <row r="508" spans="1:15" x14ac:dyDescent="0.25">
      <c r="A508" s="1">
        <v>45251</v>
      </c>
      <c r="B508" t="e">
        <f>NA()</f>
        <v>#N/A</v>
      </c>
      <c r="C508" t="e">
        <f>NA()</f>
        <v>#N/A</v>
      </c>
      <c r="D508" t="e">
        <f>NA()</f>
        <v>#N/A</v>
      </c>
      <c r="E508" t="e">
        <f>NA()</f>
        <v>#N/A</v>
      </c>
      <c r="F508" t="e">
        <f>NA()</f>
        <v>#N/A</v>
      </c>
      <c r="G508" t="e">
        <f>NA()</f>
        <v>#N/A</v>
      </c>
      <c r="H508" t="e">
        <f>NA()</f>
        <v>#N/A</v>
      </c>
      <c r="I508" t="e">
        <f>NA()</f>
        <v>#N/A</v>
      </c>
      <c r="J508" t="e">
        <f>NA()</f>
        <v>#N/A</v>
      </c>
      <c r="K508" t="e">
        <f>NA()</f>
        <v>#N/A</v>
      </c>
      <c r="L508" t="e">
        <f>NA()</f>
        <v>#N/A</v>
      </c>
      <c r="M508" t="e">
        <f>NA()</f>
        <v>#N/A</v>
      </c>
      <c r="N508" t="e">
        <f>NA()</f>
        <v>#N/A</v>
      </c>
      <c r="O508">
        <f t="shared" si="18"/>
        <v>5.3</v>
      </c>
    </row>
    <row r="509" spans="1:15" x14ac:dyDescent="0.25">
      <c r="A509" s="1">
        <v>45250</v>
      </c>
      <c r="B509" t="e">
        <f>NA()</f>
        <v>#N/A</v>
      </c>
      <c r="C509" t="e">
        <f>NA()</f>
        <v>#N/A</v>
      </c>
      <c r="D509" t="e">
        <f>NA()</f>
        <v>#N/A</v>
      </c>
      <c r="E509" t="e">
        <f>NA()</f>
        <v>#N/A</v>
      </c>
      <c r="F509" t="e">
        <f>NA()</f>
        <v>#N/A</v>
      </c>
      <c r="G509" t="e">
        <f>NA()</f>
        <v>#N/A</v>
      </c>
      <c r="H509" t="e">
        <f>NA()</f>
        <v>#N/A</v>
      </c>
      <c r="I509" t="e">
        <f>NA()</f>
        <v>#N/A</v>
      </c>
      <c r="J509" t="e">
        <f>NA()</f>
        <v>#N/A</v>
      </c>
      <c r="K509" t="e">
        <f>NA()</f>
        <v>#N/A</v>
      </c>
      <c r="L509" t="e">
        <f>NA()</f>
        <v>#N/A</v>
      </c>
      <c r="M509" t="e">
        <f>NA()</f>
        <v>#N/A</v>
      </c>
      <c r="N509" t="e">
        <f>NA()</f>
        <v>#N/A</v>
      </c>
      <c r="O509">
        <f t="shared" si="18"/>
        <v>5.3</v>
      </c>
    </row>
    <row r="510" spans="1:15" x14ac:dyDescent="0.25">
      <c r="A510" s="1">
        <v>45247</v>
      </c>
      <c r="B510">
        <f>-0.6</f>
        <v>-0.6</v>
      </c>
      <c r="C510">
        <f>0</f>
        <v>0</v>
      </c>
      <c r="D510" t="e">
        <f>NA()</f>
        <v>#N/A</v>
      </c>
      <c r="E510" t="e">
        <f>NA()</f>
        <v>#N/A</v>
      </c>
      <c r="F510" t="e">
        <f>NA()</f>
        <v>#N/A</v>
      </c>
      <c r="G510" t="e">
        <f>NA()</f>
        <v>#N/A</v>
      </c>
      <c r="H510" t="e">
        <f>NA()</f>
        <v>#N/A</v>
      </c>
      <c r="I510" t="e">
        <f>NA()</f>
        <v>#N/A</v>
      </c>
      <c r="J510" t="e">
        <f>NA()</f>
        <v>#N/A</v>
      </c>
      <c r="K510" t="e">
        <f>NA()</f>
        <v>#N/A</v>
      </c>
      <c r="L510" t="e">
        <f>NA()</f>
        <v>#N/A</v>
      </c>
      <c r="M510" t="e">
        <f>NA()</f>
        <v>#N/A</v>
      </c>
      <c r="N510" t="e">
        <f>NA()</f>
        <v>#N/A</v>
      </c>
      <c r="O510">
        <f t="shared" si="18"/>
        <v>5.3</v>
      </c>
    </row>
    <row r="511" spans="1:15" x14ac:dyDescent="0.25">
      <c r="A511" s="1">
        <v>45246</v>
      </c>
      <c r="B511" t="e">
        <f>NA()</f>
        <v>#N/A</v>
      </c>
      <c r="C511" t="e">
        <f>NA()</f>
        <v>#N/A</v>
      </c>
      <c r="D511" t="e">
        <f>NA()</f>
        <v>#N/A</v>
      </c>
      <c r="E511" t="e">
        <f>NA()</f>
        <v>#N/A</v>
      </c>
      <c r="F511" t="e">
        <f>NA()</f>
        <v>#N/A</v>
      </c>
      <c r="G511" t="e">
        <f>NA()</f>
        <v>#N/A</v>
      </c>
      <c r="H511" t="e">
        <f>NA()</f>
        <v>#N/A</v>
      </c>
      <c r="I511" t="e">
        <f>NA()</f>
        <v>#N/A</v>
      </c>
      <c r="J511" t="e">
        <f>NA()</f>
        <v>#N/A</v>
      </c>
      <c r="K511" t="e">
        <f>NA()</f>
        <v>#N/A</v>
      </c>
      <c r="L511" t="e">
        <f>NA()</f>
        <v>#N/A</v>
      </c>
      <c r="M511" t="e">
        <f>NA()</f>
        <v>#N/A</v>
      </c>
      <c r="N511" t="e">
        <f>NA()</f>
        <v>#N/A</v>
      </c>
      <c r="O511">
        <f t="shared" si="18"/>
        <v>5.3</v>
      </c>
    </row>
    <row r="512" spans="1:15" x14ac:dyDescent="0.25">
      <c r="A512" s="1">
        <v>45245</v>
      </c>
      <c r="B512" t="e">
        <f>NA()</f>
        <v>#N/A</v>
      </c>
      <c r="C512" t="e">
        <f>NA()</f>
        <v>#N/A</v>
      </c>
      <c r="D512" t="e">
        <f>NA()</f>
        <v>#N/A</v>
      </c>
      <c r="E512" t="e">
        <f>NA()</f>
        <v>#N/A</v>
      </c>
      <c r="F512" t="e">
        <f>NA()</f>
        <v>#N/A</v>
      </c>
      <c r="G512" t="e">
        <f>NA()</f>
        <v>#N/A</v>
      </c>
      <c r="H512" t="e">
        <f>NA()</f>
        <v>#N/A</v>
      </c>
      <c r="I512" t="e">
        <f>NA()</f>
        <v>#N/A</v>
      </c>
      <c r="J512" t="e">
        <f>NA()</f>
        <v>#N/A</v>
      </c>
      <c r="K512" t="e">
        <f>NA()</f>
        <v>#N/A</v>
      </c>
      <c r="L512" t="e">
        <f>NA()</f>
        <v>#N/A</v>
      </c>
      <c r="M512" t="e">
        <f>NA()</f>
        <v>#N/A</v>
      </c>
      <c r="N512" t="e">
        <f>NA()</f>
        <v>#N/A</v>
      </c>
      <c r="O512">
        <f t="shared" si="18"/>
        <v>5.3</v>
      </c>
    </row>
    <row r="513" spans="1:15" x14ac:dyDescent="0.25">
      <c r="A513" s="1">
        <v>45244</v>
      </c>
      <c r="B513" t="e">
        <f>NA()</f>
        <v>#N/A</v>
      </c>
      <c r="C513" t="e">
        <f>NA()</f>
        <v>#N/A</v>
      </c>
      <c r="D513" t="e">
        <f>NA()</f>
        <v>#N/A</v>
      </c>
      <c r="E513" t="e">
        <f>NA()</f>
        <v>#N/A</v>
      </c>
      <c r="F513" t="e">
        <f>NA()</f>
        <v>#N/A</v>
      </c>
      <c r="G513" t="e">
        <f>NA()</f>
        <v>#N/A</v>
      </c>
      <c r="H513" t="e">
        <f>NA()</f>
        <v>#N/A</v>
      </c>
      <c r="I513" t="e">
        <f>NA()</f>
        <v>#N/A</v>
      </c>
      <c r="J513" t="e">
        <f>NA()</f>
        <v>#N/A</v>
      </c>
      <c r="K513" t="e">
        <f>NA()</f>
        <v>#N/A</v>
      </c>
      <c r="L513" t="e">
        <f>NA()</f>
        <v>#N/A</v>
      </c>
      <c r="M513" t="e">
        <f>NA()</f>
        <v>#N/A</v>
      </c>
      <c r="N513" t="e">
        <f>NA()</f>
        <v>#N/A</v>
      </c>
      <c r="O513">
        <f t="shared" si="18"/>
        <v>5.3</v>
      </c>
    </row>
    <row r="514" spans="1:15" x14ac:dyDescent="0.25">
      <c r="A514" s="1">
        <v>45243</v>
      </c>
      <c r="B514" t="e">
        <f>NA()</f>
        <v>#N/A</v>
      </c>
      <c r="C514" t="e">
        <f>NA()</f>
        <v>#N/A</v>
      </c>
      <c r="D514" t="e">
        <f>NA()</f>
        <v>#N/A</v>
      </c>
      <c r="E514" t="e">
        <f>NA()</f>
        <v>#N/A</v>
      </c>
      <c r="F514" t="e">
        <f>NA()</f>
        <v>#N/A</v>
      </c>
      <c r="G514" t="e">
        <f>NA()</f>
        <v>#N/A</v>
      </c>
      <c r="H514" t="e">
        <f>NA()</f>
        <v>#N/A</v>
      </c>
      <c r="I514" t="e">
        <f>NA()</f>
        <v>#N/A</v>
      </c>
      <c r="J514" t="e">
        <f>NA()</f>
        <v>#N/A</v>
      </c>
      <c r="K514" t="e">
        <f>NA()</f>
        <v>#N/A</v>
      </c>
      <c r="L514" t="e">
        <f>NA()</f>
        <v>#N/A</v>
      </c>
      <c r="M514" t="e">
        <f>NA()</f>
        <v>#N/A</v>
      </c>
      <c r="N514" t="e">
        <f>NA()</f>
        <v>#N/A</v>
      </c>
      <c r="O514">
        <f t="shared" ref="O514:O543" si="19">5.3</f>
        <v>5.3</v>
      </c>
    </row>
    <row r="515" spans="1:15" x14ac:dyDescent="0.25">
      <c r="A515" s="1">
        <v>45240</v>
      </c>
      <c r="B515">
        <f>-0.7</f>
        <v>-0.7</v>
      </c>
      <c r="C515">
        <f>0</f>
        <v>0</v>
      </c>
      <c r="D515" t="e">
        <f>NA()</f>
        <v>#N/A</v>
      </c>
      <c r="E515" t="e">
        <f>NA()</f>
        <v>#N/A</v>
      </c>
      <c r="F515" t="e">
        <f>NA()</f>
        <v>#N/A</v>
      </c>
      <c r="G515" t="e">
        <f>NA()</f>
        <v>#N/A</v>
      </c>
      <c r="H515" t="e">
        <f>NA()</f>
        <v>#N/A</v>
      </c>
      <c r="I515" t="e">
        <f>NA()</f>
        <v>#N/A</v>
      </c>
      <c r="J515" t="e">
        <f>NA()</f>
        <v>#N/A</v>
      </c>
      <c r="K515" t="e">
        <f>NA()</f>
        <v>#N/A</v>
      </c>
      <c r="L515" t="e">
        <f>NA()</f>
        <v>#N/A</v>
      </c>
      <c r="M515" t="e">
        <f>NA()</f>
        <v>#N/A</v>
      </c>
      <c r="N515" t="e">
        <f>NA()</f>
        <v>#N/A</v>
      </c>
      <c r="O515">
        <f t="shared" si="19"/>
        <v>5.3</v>
      </c>
    </row>
    <row r="516" spans="1:15" x14ac:dyDescent="0.25">
      <c r="A516" s="1">
        <v>45239</v>
      </c>
      <c r="B516" t="e">
        <f>NA()</f>
        <v>#N/A</v>
      </c>
      <c r="C516" t="e">
        <f>NA()</f>
        <v>#N/A</v>
      </c>
      <c r="D516" t="e">
        <f>NA()</f>
        <v>#N/A</v>
      </c>
      <c r="E516" t="e">
        <f>NA()</f>
        <v>#N/A</v>
      </c>
      <c r="F516" t="e">
        <f>NA()</f>
        <v>#N/A</v>
      </c>
      <c r="G516" t="e">
        <f>NA()</f>
        <v>#N/A</v>
      </c>
      <c r="H516" t="e">
        <f>NA()</f>
        <v>#N/A</v>
      </c>
      <c r="I516" t="e">
        <f>NA()</f>
        <v>#N/A</v>
      </c>
      <c r="J516" t="e">
        <f>NA()</f>
        <v>#N/A</v>
      </c>
      <c r="K516" t="e">
        <f>NA()</f>
        <v>#N/A</v>
      </c>
      <c r="L516" t="e">
        <f>NA()</f>
        <v>#N/A</v>
      </c>
      <c r="M516" t="e">
        <f>NA()</f>
        <v>#N/A</v>
      </c>
      <c r="N516" t="e">
        <f>NA()</f>
        <v>#N/A</v>
      </c>
      <c r="O516">
        <f t="shared" si="19"/>
        <v>5.3</v>
      </c>
    </row>
    <row r="517" spans="1:15" x14ac:dyDescent="0.25">
      <c r="A517" s="1">
        <v>45238</v>
      </c>
      <c r="B517" t="e">
        <f>NA()</f>
        <v>#N/A</v>
      </c>
      <c r="C517" t="e">
        <f>NA()</f>
        <v>#N/A</v>
      </c>
      <c r="D517" t="e">
        <f>NA()</f>
        <v>#N/A</v>
      </c>
      <c r="E517" t="e">
        <f>NA()</f>
        <v>#N/A</v>
      </c>
      <c r="F517" t="e">
        <f>NA()</f>
        <v>#N/A</v>
      </c>
      <c r="G517" t="e">
        <f>NA()</f>
        <v>#N/A</v>
      </c>
      <c r="H517" t="e">
        <f>NA()</f>
        <v>#N/A</v>
      </c>
      <c r="I517" t="e">
        <f>NA()</f>
        <v>#N/A</v>
      </c>
      <c r="J517" t="e">
        <f>NA()</f>
        <v>#N/A</v>
      </c>
      <c r="K517" t="e">
        <f>NA()</f>
        <v>#N/A</v>
      </c>
      <c r="L517" t="e">
        <f>NA()</f>
        <v>#N/A</v>
      </c>
      <c r="M517" t="e">
        <f>NA()</f>
        <v>#N/A</v>
      </c>
      <c r="N517" t="e">
        <f>NA()</f>
        <v>#N/A</v>
      </c>
      <c r="O517">
        <f t="shared" si="19"/>
        <v>5.3</v>
      </c>
    </row>
    <row r="518" spans="1:15" x14ac:dyDescent="0.25">
      <c r="A518" s="1">
        <v>45237</v>
      </c>
      <c r="B518" t="e">
        <f>NA()</f>
        <v>#N/A</v>
      </c>
      <c r="C518" t="e">
        <f>NA()</f>
        <v>#N/A</v>
      </c>
      <c r="D518" t="e">
        <f>NA()</f>
        <v>#N/A</v>
      </c>
      <c r="E518" t="e">
        <f>NA()</f>
        <v>#N/A</v>
      </c>
      <c r="F518" t="e">
        <f>NA()</f>
        <v>#N/A</v>
      </c>
      <c r="G518" t="e">
        <f>NA()</f>
        <v>#N/A</v>
      </c>
      <c r="H518" t="e">
        <f>NA()</f>
        <v>#N/A</v>
      </c>
      <c r="I518" t="e">
        <f>NA()</f>
        <v>#N/A</v>
      </c>
      <c r="J518" t="e">
        <f>NA()</f>
        <v>#N/A</v>
      </c>
      <c r="K518" t="e">
        <f>NA()</f>
        <v>#N/A</v>
      </c>
      <c r="L518" t="e">
        <f>NA()</f>
        <v>#N/A</v>
      </c>
      <c r="M518" t="e">
        <f>NA()</f>
        <v>#N/A</v>
      </c>
      <c r="N518" t="e">
        <f>NA()</f>
        <v>#N/A</v>
      </c>
      <c r="O518">
        <f t="shared" si="19"/>
        <v>5.3</v>
      </c>
    </row>
    <row r="519" spans="1:15" x14ac:dyDescent="0.25">
      <c r="A519" s="1">
        <v>45236</v>
      </c>
      <c r="B519" t="e">
        <f>NA()</f>
        <v>#N/A</v>
      </c>
      <c r="C519" t="e">
        <f>NA()</f>
        <v>#N/A</v>
      </c>
      <c r="D519" t="e">
        <f>NA()</f>
        <v>#N/A</v>
      </c>
      <c r="E519" t="e">
        <f>NA()</f>
        <v>#N/A</v>
      </c>
      <c r="F519" t="e">
        <f>NA()</f>
        <v>#N/A</v>
      </c>
      <c r="G519" t="e">
        <f>NA()</f>
        <v>#N/A</v>
      </c>
      <c r="H519" t="e">
        <f>NA()</f>
        <v>#N/A</v>
      </c>
      <c r="I519" t="e">
        <f>NA()</f>
        <v>#N/A</v>
      </c>
      <c r="J519" t="e">
        <f>NA()</f>
        <v>#N/A</v>
      </c>
      <c r="K519" t="e">
        <f>NA()</f>
        <v>#N/A</v>
      </c>
      <c r="L519" t="e">
        <f>NA()</f>
        <v>#N/A</v>
      </c>
      <c r="M519" t="e">
        <f>NA()</f>
        <v>#N/A</v>
      </c>
      <c r="N519" t="e">
        <f>NA()</f>
        <v>#N/A</v>
      </c>
      <c r="O519">
        <f t="shared" si="19"/>
        <v>5.3</v>
      </c>
    </row>
    <row r="520" spans="1:15" x14ac:dyDescent="0.25">
      <c r="A520" s="1">
        <v>45233</v>
      </c>
      <c r="B520">
        <f>-0.6</f>
        <v>-0.6</v>
      </c>
      <c r="C520">
        <f>0</f>
        <v>0</v>
      </c>
      <c r="D520" t="e">
        <f>NA()</f>
        <v>#N/A</v>
      </c>
      <c r="E520" t="e">
        <f>NA()</f>
        <v>#N/A</v>
      </c>
      <c r="F520" t="e">
        <f>NA()</f>
        <v>#N/A</v>
      </c>
      <c r="G520" t="e">
        <f>NA()</f>
        <v>#N/A</v>
      </c>
      <c r="H520" t="e">
        <f>NA()</f>
        <v>#N/A</v>
      </c>
      <c r="I520" t="e">
        <f>NA()</f>
        <v>#N/A</v>
      </c>
      <c r="J520" t="e">
        <f>NA()</f>
        <v>#N/A</v>
      </c>
      <c r="K520" t="e">
        <f>NA()</f>
        <v>#N/A</v>
      </c>
      <c r="L520" t="e">
        <f>NA()</f>
        <v>#N/A</v>
      </c>
      <c r="M520" t="e">
        <f>NA()</f>
        <v>#N/A</v>
      </c>
      <c r="N520" t="e">
        <f>NA()</f>
        <v>#N/A</v>
      </c>
      <c r="O520">
        <f t="shared" si="19"/>
        <v>5.3</v>
      </c>
    </row>
    <row r="521" spans="1:15" x14ac:dyDescent="0.25">
      <c r="A521" s="1">
        <v>45232</v>
      </c>
      <c r="B521" t="e">
        <f>NA()</f>
        <v>#N/A</v>
      </c>
      <c r="C521" t="e">
        <f>NA()</f>
        <v>#N/A</v>
      </c>
      <c r="D521" t="e">
        <f>NA()</f>
        <v>#N/A</v>
      </c>
      <c r="E521" t="e">
        <f>NA()</f>
        <v>#N/A</v>
      </c>
      <c r="F521" t="e">
        <f>NA()</f>
        <v>#N/A</v>
      </c>
      <c r="G521" t="e">
        <f>NA()</f>
        <v>#N/A</v>
      </c>
      <c r="H521" t="e">
        <f>NA()</f>
        <v>#N/A</v>
      </c>
      <c r="I521" t="e">
        <f>NA()</f>
        <v>#N/A</v>
      </c>
      <c r="J521" t="e">
        <f>NA()</f>
        <v>#N/A</v>
      </c>
      <c r="K521" t="e">
        <f>NA()</f>
        <v>#N/A</v>
      </c>
      <c r="L521" t="e">
        <f>NA()</f>
        <v>#N/A</v>
      </c>
      <c r="M521" t="e">
        <f>NA()</f>
        <v>#N/A</v>
      </c>
      <c r="N521" t="e">
        <f>NA()</f>
        <v>#N/A</v>
      </c>
      <c r="O521">
        <f t="shared" si="19"/>
        <v>5.3</v>
      </c>
    </row>
    <row r="522" spans="1:15" x14ac:dyDescent="0.25">
      <c r="A522" s="1">
        <v>45231</v>
      </c>
      <c r="B522" t="e">
        <f>NA()</f>
        <v>#N/A</v>
      </c>
      <c r="C522" t="e">
        <f>NA()</f>
        <v>#N/A</v>
      </c>
      <c r="D522" t="e">
        <f>NA()</f>
        <v>#N/A</v>
      </c>
      <c r="E522" t="e">
        <f>NA()</f>
        <v>#N/A</v>
      </c>
      <c r="F522" t="e">
        <f>NA()</f>
        <v>#N/A</v>
      </c>
      <c r="G522" t="e">
        <f>NA()</f>
        <v>#N/A</v>
      </c>
      <c r="H522" t="e">
        <f>NA()</f>
        <v>#N/A</v>
      </c>
      <c r="I522" t="e">
        <f>NA()</f>
        <v>#N/A</v>
      </c>
      <c r="J522" t="e">
        <f>NA()</f>
        <v>#N/A</v>
      </c>
      <c r="K522" t="e">
        <f>NA()</f>
        <v>#N/A</v>
      </c>
      <c r="L522" t="e">
        <f>NA()</f>
        <v>#N/A</v>
      </c>
      <c r="M522" t="e">
        <f>NA()</f>
        <v>#N/A</v>
      </c>
      <c r="N522" t="e">
        <f>NA()</f>
        <v>#N/A</v>
      </c>
      <c r="O522">
        <f t="shared" si="19"/>
        <v>5.3</v>
      </c>
    </row>
    <row r="523" spans="1:15" x14ac:dyDescent="0.25">
      <c r="A523" s="1">
        <v>45230</v>
      </c>
      <c r="B523" t="e">
        <f>NA()</f>
        <v>#N/A</v>
      </c>
      <c r="C523" t="e">
        <f>NA()</f>
        <v>#N/A</v>
      </c>
      <c r="D523">
        <f>0.2</f>
        <v>0.2</v>
      </c>
      <c r="E523">
        <f>0.9</f>
        <v>0.9</v>
      </c>
      <c r="F523">
        <f>8550</f>
        <v>8550</v>
      </c>
      <c r="G523">
        <f>62.7</f>
        <v>62.7</v>
      </c>
      <c r="H523">
        <f>5.5</f>
        <v>5.5</v>
      </c>
      <c r="I523">
        <f>307.7</f>
        <v>307.7</v>
      </c>
      <c r="J523">
        <f>3.2</f>
        <v>3.2</v>
      </c>
      <c r="K523">
        <f>47.3</f>
        <v>47.3</v>
      </c>
      <c r="L523">
        <f>-0.7</f>
        <v>-0.7</v>
      </c>
      <c r="M523" t="e">
        <f>NA()</f>
        <v>#N/A</v>
      </c>
      <c r="N523">
        <f>3.9</f>
        <v>3.9</v>
      </c>
      <c r="O523">
        <f t="shared" si="19"/>
        <v>5.3</v>
      </c>
    </row>
    <row r="524" spans="1:15" x14ac:dyDescent="0.25">
      <c r="A524" s="1">
        <v>45229</v>
      </c>
      <c r="B524" t="e">
        <f>NA()</f>
        <v>#N/A</v>
      </c>
      <c r="C524" t="e">
        <f>NA()</f>
        <v>#N/A</v>
      </c>
      <c r="D524" t="e">
        <f>NA()</f>
        <v>#N/A</v>
      </c>
      <c r="E524" t="e">
        <f>NA()</f>
        <v>#N/A</v>
      </c>
      <c r="F524" t="e">
        <f>NA()</f>
        <v>#N/A</v>
      </c>
      <c r="G524" t="e">
        <f>NA()</f>
        <v>#N/A</v>
      </c>
      <c r="H524" t="e">
        <f>NA()</f>
        <v>#N/A</v>
      </c>
      <c r="I524" t="e">
        <f>NA()</f>
        <v>#N/A</v>
      </c>
      <c r="J524" t="e">
        <f>NA()</f>
        <v>#N/A</v>
      </c>
      <c r="K524" t="e">
        <f>NA()</f>
        <v>#N/A</v>
      </c>
      <c r="L524" t="e">
        <f>NA()</f>
        <v>#N/A</v>
      </c>
      <c r="M524" t="e">
        <f>NA()</f>
        <v>#N/A</v>
      </c>
      <c r="N524" t="e">
        <f>NA()</f>
        <v>#N/A</v>
      </c>
      <c r="O524">
        <f t="shared" si="19"/>
        <v>5.3</v>
      </c>
    </row>
    <row r="525" spans="1:15" x14ac:dyDescent="0.25">
      <c r="A525" s="1">
        <v>45226</v>
      </c>
      <c r="B525">
        <f>-0.3</f>
        <v>-0.3</v>
      </c>
      <c r="C525">
        <f>0</f>
        <v>0</v>
      </c>
      <c r="D525" t="e">
        <f>NA()</f>
        <v>#N/A</v>
      </c>
      <c r="E525" t="e">
        <f>NA()</f>
        <v>#N/A</v>
      </c>
      <c r="F525" t="e">
        <f>NA()</f>
        <v>#N/A</v>
      </c>
      <c r="G525" t="e">
        <f>NA()</f>
        <v>#N/A</v>
      </c>
      <c r="H525" t="e">
        <f>NA()</f>
        <v>#N/A</v>
      </c>
      <c r="I525" t="e">
        <f>NA()</f>
        <v>#N/A</v>
      </c>
      <c r="J525" t="e">
        <f>NA()</f>
        <v>#N/A</v>
      </c>
      <c r="K525" t="e">
        <f>NA()</f>
        <v>#N/A</v>
      </c>
      <c r="L525" t="e">
        <f>NA()</f>
        <v>#N/A</v>
      </c>
      <c r="M525" t="e">
        <f>NA()</f>
        <v>#N/A</v>
      </c>
      <c r="N525" t="e">
        <f>NA()</f>
        <v>#N/A</v>
      </c>
      <c r="O525">
        <f t="shared" si="19"/>
        <v>5.3</v>
      </c>
    </row>
    <row r="526" spans="1:15" x14ac:dyDescent="0.25">
      <c r="A526" s="1">
        <v>45225</v>
      </c>
      <c r="B526" t="e">
        <f>NA()</f>
        <v>#N/A</v>
      </c>
      <c r="C526" t="e">
        <f>NA()</f>
        <v>#N/A</v>
      </c>
      <c r="D526" t="e">
        <f>NA()</f>
        <v>#N/A</v>
      </c>
      <c r="E526" t="e">
        <f>NA()</f>
        <v>#N/A</v>
      </c>
      <c r="F526" t="e">
        <f>NA()</f>
        <v>#N/A</v>
      </c>
      <c r="G526" t="e">
        <f>NA()</f>
        <v>#N/A</v>
      </c>
      <c r="H526" t="e">
        <f>NA()</f>
        <v>#N/A</v>
      </c>
      <c r="I526" t="e">
        <f>NA()</f>
        <v>#N/A</v>
      </c>
      <c r="J526" t="e">
        <f>NA()</f>
        <v>#N/A</v>
      </c>
      <c r="K526" t="e">
        <f>NA()</f>
        <v>#N/A</v>
      </c>
      <c r="L526" t="e">
        <f>NA()</f>
        <v>#N/A</v>
      </c>
      <c r="M526" t="e">
        <f>NA()</f>
        <v>#N/A</v>
      </c>
      <c r="N526" t="e">
        <f>NA()</f>
        <v>#N/A</v>
      </c>
      <c r="O526">
        <f t="shared" si="19"/>
        <v>5.3</v>
      </c>
    </row>
    <row r="527" spans="1:15" x14ac:dyDescent="0.25">
      <c r="A527" s="1">
        <v>45224</v>
      </c>
      <c r="B527" t="e">
        <f>NA()</f>
        <v>#N/A</v>
      </c>
      <c r="C527" t="e">
        <f>NA()</f>
        <v>#N/A</v>
      </c>
      <c r="D527" t="e">
        <f>NA()</f>
        <v>#N/A</v>
      </c>
      <c r="E527" t="e">
        <f>NA()</f>
        <v>#N/A</v>
      </c>
      <c r="F527" t="e">
        <f>NA()</f>
        <v>#N/A</v>
      </c>
      <c r="G527" t="e">
        <f>NA()</f>
        <v>#N/A</v>
      </c>
      <c r="H527" t="e">
        <f>NA()</f>
        <v>#N/A</v>
      </c>
      <c r="I527" t="e">
        <f>NA()</f>
        <v>#N/A</v>
      </c>
      <c r="J527" t="e">
        <f>NA()</f>
        <v>#N/A</v>
      </c>
      <c r="K527" t="e">
        <f>NA()</f>
        <v>#N/A</v>
      </c>
      <c r="L527" t="e">
        <f>NA()</f>
        <v>#N/A</v>
      </c>
      <c r="M527" t="e">
        <f>NA()</f>
        <v>#N/A</v>
      </c>
      <c r="N527" t="e">
        <f>NA()</f>
        <v>#N/A</v>
      </c>
      <c r="O527">
        <f t="shared" si="19"/>
        <v>5.3</v>
      </c>
    </row>
    <row r="528" spans="1:15" x14ac:dyDescent="0.25">
      <c r="A528" s="1">
        <v>45223</v>
      </c>
      <c r="B528" t="e">
        <f>NA()</f>
        <v>#N/A</v>
      </c>
      <c r="C528" t="e">
        <f>NA()</f>
        <v>#N/A</v>
      </c>
      <c r="D528" t="e">
        <f>NA()</f>
        <v>#N/A</v>
      </c>
      <c r="E528" t="e">
        <f>NA()</f>
        <v>#N/A</v>
      </c>
      <c r="F528" t="e">
        <f>NA()</f>
        <v>#N/A</v>
      </c>
      <c r="G528" t="e">
        <f>NA()</f>
        <v>#N/A</v>
      </c>
      <c r="H528" t="e">
        <f>NA()</f>
        <v>#N/A</v>
      </c>
      <c r="I528" t="e">
        <f>NA()</f>
        <v>#N/A</v>
      </c>
      <c r="J528" t="e">
        <f>NA()</f>
        <v>#N/A</v>
      </c>
      <c r="K528" t="e">
        <f>NA()</f>
        <v>#N/A</v>
      </c>
      <c r="L528" t="e">
        <f>NA()</f>
        <v>#N/A</v>
      </c>
      <c r="M528" t="e">
        <f>NA()</f>
        <v>#N/A</v>
      </c>
      <c r="N528" t="e">
        <f>NA()</f>
        <v>#N/A</v>
      </c>
      <c r="O528">
        <f t="shared" si="19"/>
        <v>5.3</v>
      </c>
    </row>
    <row r="529" spans="1:15" x14ac:dyDescent="0.25">
      <c r="A529" s="1">
        <v>45222</v>
      </c>
      <c r="B529" t="e">
        <f>NA()</f>
        <v>#N/A</v>
      </c>
      <c r="C529" t="e">
        <f>NA()</f>
        <v>#N/A</v>
      </c>
      <c r="D529" t="e">
        <f>NA()</f>
        <v>#N/A</v>
      </c>
      <c r="E529" t="e">
        <f>NA()</f>
        <v>#N/A</v>
      </c>
      <c r="F529" t="e">
        <f>NA()</f>
        <v>#N/A</v>
      </c>
      <c r="G529" t="e">
        <f>NA()</f>
        <v>#N/A</v>
      </c>
      <c r="H529" t="e">
        <f>NA()</f>
        <v>#N/A</v>
      </c>
      <c r="I529" t="e">
        <f>NA()</f>
        <v>#N/A</v>
      </c>
      <c r="J529" t="e">
        <f>NA()</f>
        <v>#N/A</v>
      </c>
      <c r="K529" t="e">
        <f>NA()</f>
        <v>#N/A</v>
      </c>
      <c r="L529" t="e">
        <f>NA()</f>
        <v>#N/A</v>
      </c>
      <c r="M529" t="e">
        <f>NA()</f>
        <v>#N/A</v>
      </c>
      <c r="N529" t="e">
        <f>NA()</f>
        <v>#N/A</v>
      </c>
      <c r="O529">
        <f t="shared" si="19"/>
        <v>5.3</v>
      </c>
    </row>
    <row r="530" spans="1:15" x14ac:dyDescent="0.25">
      <c r="A530" s="1">
        <v>45219</v>
      </c>
      <c r="B530">
        <f>-0.3</f>
        <v>-0.3</v>
      </c>
      <c r="C530">
        <f>0</f>
        <v>0</v>
      </c>
      <c r="D530" t="e">
        <f>NA()</f>
        <v>#N/A</v>
      </c>
      <c r="E530" t="e">
        <f>NA()</f>
        <v>#N/A</v>
      </c>
      <c r="F530" t="e">
        <f>NA()</f>
        <v>#N/A</v>
      </c>
      <c r="G530" t="e">
        <f>NA()</f>
        <v>#N/A</v>
      </c>
      <c r="H530" t="e">
        <f>NA()</f>
        <v>#N/A</v>
      </c>
      <c r="I530" t="e">
        <f>NA()</f>
        <v>#N/A</v>
      </c>
      <c r="J530" t="e">
        <f>NA()</f>
        <v>#N/A</v>
      </c>
      <c r="K530" t="e">
        <f>NA()</f>
        <v>#N/A</v>
      </c>
      <c r="L530" t="e">
        <f>NA()</f>
        <v>#N/A</v>
      </c>
      <c r="M530" t="e">
        <f>NA()</f>
        <v>#N/A</v>
      </c>
      <c r="N530" t="e">
        <f>NA()</f>
        <v>#N/A</v>
      </c>
      <c r="O530">
        <f t="shared" si="19"/>
        <v>5.3</v>
      </c>
    </row>
    <row r="531" spans="1:15" x14ac:dyDescent="0.25">
      <c r="A531" s="1">
        <v>45218</v>
      </c>
      <c r="B531" t="e">
        <f>NA()</f>
        <v>#N/A</v>
      </c>
      <c r="C531" t="e">
        <f>NA()</f>
        <v>#N/A</v>
      </c>
      <c r="D531" t="e">
        <f>NA()</f>
        <v>#N/A</v>
      </c>
      <c r="E531" t="e">
        <f>NA()</f>
        <v>#N/A</v>
      </c>
      <c r="F531" t="e">
        <f>NA()</f>
        <v>#N/A</v>
      </c>
      <c r="G531" t="e">
        <f>NA()</f>
        <v>#N/A</v>
      </c>
      <c r="H531" t="e">
        <f>NA()</f>
        <v>#N/A</v>
      </c>
      <c r="I531" t="e">
        <f>NA()</f>
        <v>#N/A</v>
      </c>
      <c r="J531" t="e">
        <f>NA()</f>
        <v>#N/A</v>
      </c>
      <c r="K531" t="e">
        <f>NA()</f>
        <v>#N/A</v>
      </c>
      <c r="L531" t="e">
        <f>NA()</f>
        <v>#N/A</v>
      </c>
      <c r="M531" t="e">
        <f>NA()</f>
        <v>#N/A</v>
      </c>
      <c r="N531" t="e">
        <f>NA()</f>
        <v>#N/A</v>
      </c>
      <c r="O531">
        <f t="shared" si="19"/>
        <v>5.3</v>
      </c>
    </row>
    <row r="532" spans="1:15" x14ac:dyDescent="0.25">
      <c r="A532" s="1">
        <v>45217</v>
      </c>
      <c r="B532" t="e">
        <f>NA()</f>
        <v>#N/A</v>
      </c>
      <c r="C532" t="e">
        <f>NA()</f>
        <v>#N/A</v>
      </c>
      <c r="D532" t="e">
        <f>NA()</f>
        <v>#N/A</v>
      </c>
      <c r="E532" t="e">
        <f>NA()</f>
        <v>#N/A</v>
      </c>
      <c r="F532" t="e">
        <f>NA()</f>
        <v>#N/A</v>
      </c>
      <c r="G532" t="e">
        <f>NA()</f>
        <v>#N/A</v>
      </c>
      <c r="H532" t="e">
        <f>NA()</f>
        <v>#N/A</v>
      </c>
      <c r="I532" t="e">
        <f>NA()</f>
        <v>#N/A</v>
      </c>
      <c r="J532" t="e">
        <f>NA()</f>
        <v>#N/A</v>
      </c>
      <c r="K532" t="e">
        <f>NA()</f>
        <v>#N/A</v>
      </c>
      <c r="L532" t="e">
        <f>NA()</f>
        <v>#N/A</v>
      </c>
      <c r="M532" t="e">
        <f>NA()</f>
        <v>#N/A</v>
      </c>
      <c r="N532" t="e">
        <f>NA()</f>
        <v>#N/A</v>
      </c>
      <c r="O532">
        <f t="shared" si="19"/>
        <v>5.3</v>
      </c>
    </row>
    <row r="533" spans="1:15" x14ac:dyDescent="0.25">
      <c r="A533" s="1">
        <v>45216</v>
      </c>
      <c r="B533" t="e">
        <f>NA()</f>
        <v>#N/A</v>
      </c>
      <c r="C533" t="e">
        <f>NA()</f>
        <v>#N/A</v>
      </c>
      <c r="D533" t="e">
        <f>NA()</f>
        <v>#N/A</v>
      </c>
      <c r="E533" t="e">
        <f>NA()</f>
        <v>#N/A</v>
      </c>
      <c r="F533" t="e">
        <f>NA()</f>
        <v>#N/A</v>
      </c>
      <c r="G533" t="e">
        <f>NA()</f>
        <v>#N/A</v>
      </c>
      <c r="H533" t="e">
        <f>NA()</f>
        <v>#N/A</v>
      </c>
      <c r="I533" t="e">
        <f>NA()</f>
        <v>#N/A</v>
      </c>
      <c r="J533" t="e">
        <f>NA()</f>
        <v>#N/A</v>
      </c>
      <c r="K533" t="e">
        <f>NA()</f>
        <v>#N/A</v>
      </c>
      <c r="L533" t="e">
        <f>NA()</f>
        <v>#N/A</v>
      </c>
      <c r="M533" t="e">
        <f>NA()</f>
        <v>#N/A</v>
      </c>
      <c r="N533" t="e">
        <f>NA()</f>
        <v>#N/A</v>
      </c>
      <c r="O533">
        <f t="shared" si="19"/>
        <v>5.3</v>
      </c>
    </row>
    <row r="534" spans="1:15" x14ac:dyDescent="0.25">
      <c r="A534" s="1">
        <v>45215</v>
      </c>
      <c r="B534" t="e">
        <f>NA()</f>
        <v>#N/A</v>
      </c>
      <c r="C534" t="e">
        <f>NA()</f>
        <v>#N/A</v>
      </c>
      <c r="D534" t="e">
        <f>NA()</f>
        <v>#N/A</v>
      </c>
      <c r="E534" t="e">
        <f>NA()</f>
        <v>#N/A</v>
      </c>
      <c r="F534" t="e">
        <f>NA()</f>
        <v>#N/A</v>
      </c>
      <c r="G534" t="e">
        <f>NA()</f>
        <v>#N/A</v>
      </c>
      <c r="H534" t="e">
        <f>NA()</f>
        <v>#N/A</v>
      </c>
      <c r="I534" t="e">
        <f>NA()</f>
        <v>#N/A</v>
      </c>
      <c r="J534" t="e">
        <f>NA()</f>
        <v>#N/A</v>
      </c>
      <c r="K534" t="e">
        <f>NA()</f>
        <v>#N/A</v>
      </c>
      <c r="L534" t="e">
        <f>NA()</f>
        <v>#N/A</v>
      </c>
      <c r="M534" t="e">
        <f>NA()</f>
        <v>#N/A</v>
      </c>
      <c r="N534" t="e">
        <f>NA()</f>
        <v>#N/A</v>
      </c>
      <c r="O534">
        <f t="shared" si="19"/>
        <v>5.3</v>
      </c>
    </row>
    <row r="535" spans="1:15" x14ac:dyDescent="0.25">
      <c r="A535" s="1">
        <v>45212</v>
      </c>
      <c r="B535">
        <f>-0.5</f>
        <v>-0.5</v>
      </c>
      <c r="C535">
        <f>0</f>
        <v>0</v>
      </c>
      <c r="D535" t="e">
        <f>NA()</f>
        <v>#N/A</v>
      </c>
      <c r="E535" t="e">
        <f>NA()</f>
        <v>#N/A</v>
      </c>
      <c r="F535" t="e">
        <f>NA()</f>
        <v>#N/A</v>
      </c>
      <c r="G535" t="e">
        <f>NA()</f>
        <v>#N/A</v>
      </c>
      <c r="H535" t="e">
        <f>NA()</f>
        <v>#N/A</v>
      </c>
      <c r="I535" t="e">
        <f>NA()</f>
        <v>#N/A</v>
      </c>
      <c r="J535" t="e">
        <f>NA()</f>
        <v>#N/A</v>
      </c>
      <c r="K535" t="e">
        <f>NA()</f>
        <v>#N/A</v>
      </c>
      <c r="L535" t="e">
        <f>NA()</f>
        <v>#N/A</v>
      </c>
      <c r="M535" t="e">
        <f>NA()</f>
        <v>#N/A</v>
      </c>
      <c r="N535" t="e">
        <f>NA()</f>
        <v>#N/A</v>
      </c>
      <c r="O535">
        <f t="shared" si="19"/>
        <v>5.3</v>
      </c>
    </row>
    <row r="536" spans="1:15" x14ac:dyDescent="0.25">
      <c r="A536" s="1">
        <v>45211</v>
      </c>
      <c r="B536" t="e">
        <f>NA()</f>
        <v>#N/A</v>
      </c>
      <c r="C536" t="e">
        <f>NA()</f>
        <v>#N/A</v>
      </c>
      <c r="D536" t="e">
        <f>NA()</f>
        <v>#N/A</v>
      </c>
      <c r="E536" t="e">
        <f>NA()</f>
        <v>#N/A</v>
      </c>
      <c r="F536" t="e">
        <f>NA()</f>
        <v>#N/A</v>
      </c>
      <c r="G536" t="e">
        <f>NA()</f>
        <v>#N/A</v>
      </c>
      <c r="H536" t="e">
        <f>NA()</f>
        <v>#N/A</v>
      </c>
      <c r="I536" t="e">
        <f>NA()</f>
        <v>#N/A</v>
      </c>
      <c r="J536" t="e">
        <f>NA()</f>
        <v>#N/A</v>
      </c>
      <c r="K536" t="e">
        <f>NA()</f>
        <v>#N/A</v>
      </c>
      <c r="L536" t="e">
        <f>NA()</f>
        <v>#N/A</v>
      </c>
      <c r="M536" t="e">
        <f>NA()</f>
        <v>#N/A</v>
      </c>
      <c r="N536" t="e">
        <f>NA()</f>
        <v>#N/A</v>
      </c>
      <c r="O536">
        <f t="shared" si="19"/>
        <v>5.3</v>
      </c>
    </row>
    <row r="537" spans="1:15" x14ac:dyDescent="0.25">
      <c r="A537" s="1">
        <v>45210</v>
      </c>
      <c r="B537" t="e">
        <f>NA()</f>
        <v>#N/A</v>
      </c>
      <c r="C537" t="e">
        <f>NA()</f>
        <v>#N/A</v>
      </c>
      <c r="D537" t="e">
        <f>NA()</f>
        <v>#N/A</v>
      </c>
      <c r="E537" t="e">
        <f>NA()</f>
        <v>#N/A</v>
      </c>
      <c r="F537" t="e">
        <f>NA()</f>
        <v>#N/A</v>
      </c>
      <c r="G537" t="e">
        <f>NA()</f>
        <v>#N/A</v>
      </c>
      <c r="H537" t="e">
        <f>NA()</f>
        <v>#N/A</v>
      </c>
      <c r="I537" t="e">
        <f>NA()</f>
        <v>#N/A</v>
      </c>
      <c r="J537" t="e">
        <f>NA()</f>
        <v>#N/A</v>
      </c>
      <c r="K537" t="e">
        <f>NA()</f>
        <v>#N/A</v>
      </c>
      <c r="L537" t="e">
        <f>NA()</f>
        <v>#N/A</v>
      </c>
      <c r="M537" t="e">
        <f>NA()</f>
        <v>#N/A</v>
      </c>
      <c r="N537" t="e">
        <f>NA()</f>
        <v>#N/A</v>
      </c>
      <c r="O537">
        <f t="shared" si="19"/>
        <v>5.3</v>
      </c>
    </row>
    <row r="538" spans="1:15" x14ac:dyDescent="0.25">
      <c r="A538" s="1">
        <v>45209</v>
      </c>
      <c r="B538" t="e">
        <f>NA()</f>
        <v>#N/A</v>
      </c>
      <c r="C538" t="e">
        <f>NA()</f>
        <v>#N/A</v>
      </c>
      <c r="D538" t="e">
        <f>NA()</f>
        <v>#N/A</v>
      </c>
      <c r="E538" t="e">
        <f>NA()</f>
        <v>#N/A</v>
      </c>
      <c r="F538" t="e">
        <f>NA()</f>
        <v>#N/A</v>
      </c>
      <c r="G538" t="e">
        <f>NA()</f>
        <v>#N/A</v>
      </c>
      <c r="H538" t="e">
        <f>NA()</f>
        <v>#N/A</v>
      </c>
      <c r="I538" t="e">
        <f>NA()</f>
        <v>#N/A</v>
      </c>
      <c r="J538" t="e">
        <f>NA()</f>
        <v>#N/A</v>
      </c>
      <c r="K538" t="e">
        <f>NA()</f>
        <v>#N/A</v>
      </c>
      <c r="L538" t="e">
        <f>NA()</f>
        <v>#N/A</v>
      </c>
      <c r="M538" t="e">
        <f>NA()</f>
        <v>#N/A</v>
      </c>
      <c r="N538" t="e">
        <f>NA()</f>
        <v>#N/A</v>
      </c>
      <c r="O538">
        <f t="shared" si="19"/>
        <v>5.3</v>
      </c>
    </row>
    <row r="539" spans="1:15" x14ac:dyDescent="0.25">
      <c r="A539" s="1">
        <v>45205</v>
      </c>
      <c r="B539">
        <f>-0.4</f>
        <v>-0.4</v>
      </c>
      <c r="C539">
        <f>0</f>
        <v>0</v>
      </c>
      <c r="D539" t="e">
        <f>NA()</f>
        <v>#N/A</v>
      </c>
      <c r="E539" t="e">
        <f>NA()</f>
        <v>#N/A</v>
      </c>
      <c r="F539" t="e">
        <f>NA()</f>
        <v>#N/A</v>
      </c>
      <c r="G539" t="e">
        <f>NA()</f>
        <v>#N/A</v>
      </c>
      <c r="H539" t="e">
        <f>NA()</f>
        <v>#N/A</v>
      </c>
      <c r="I539" t="e">
        <f>NA()</f>
        <v>#N/A</v>
      </c>
      <c r="J539" t="e">
        <f>NA()</f>
        <v>#N/A</v>
      </c>
      <c r="K539" t="e">
        <f>NA()</f>
        <v>#N/A</v>
      </c>
      <c r="L539" t="e">
        <f>NA()</f>
        <v>#N/A</v>
      </c>
      <c r="M539" t="e">
        <f>NA()</f>
        <v>#N/A</v>
      </c>
      <c r="N539" t="e">
        <f>NA()</f>
        <v>#N/A</v>
      </c>
      <c r="O539">
        <f t="shared" si="19"/>
        <v>5.3</v>
      </c>
    </row>
    <row r="540" spans="1:15" x14ac:dyDescent="0.25">
      <c r="A540" s="1">
        <v>45204</v>
      </c>
      <c r="B540" t="e">
        <f>NA()</f>
        <v>#N/A</v>
      </c>
      <c r="C540" t="e">
        <f>NA()</f>
        <v>#N/A</v>
      </c>
      <c r="D540" t="e">
        <f>NA()</f>
        <v>#N/A</v>
      </c>
      <c r="E540" t="e">
        <f>NA()</f>
        <v>#N/A</v>
      </c>
      <c r="F540" t="e">
        <f>NA()</f>
        <v>#N/A</v>
      </c>
      <c r="G540" t="e">
        <f>NA()</f>
        <v>#N/A</v>
      </c>
      <c r="H540" t="e">
        <f>NA()</f>
        <v>#N/A</v>
      </c>
      <c r="I540" t="e">
        <f>NA()</f>
        <v>#N/A</v>
      </c>
      <c r="J540" t="e">
        <f>NA()</f>
        <v>#N/A</v>
      </c>
      <c r="K540" t="e">
        <f>NA()</f>
        <v>#N/A</v>
      </c>
      <c r="L540" t="e">
        <f>NA()</f>
        <v>#N/A</v>
      </c>
      <c r="M540" t="e">
        <f>NA()</f>
        <v>#N/A</v>
      </c>
      <c r="N540" t="e">
        <f>NA()</f>
        <v>#N/A</v>
      </c>
      <c r="O540">
        <f t="shared" si="19"/>
        <v>5.3</v>
      </c>
    </row>
    <row r="541" spans="1:15" x14ac:dyDescent="0.25">
      <c r="A541" s="1">
        <v>45203</v>
      </c>
      <c r="B541" t="e">
        <f>NA()</f>
        <v>#N/A</v>
      </c>
      <c r="C541" t="e">
        <f>NA()</f>
        <v>#N/A</v>
      </c>
      <c r="D541" t="e">
        <f>NA()</f>
        <v>#N/A</v>
      </c>
      <c r="E541" t="e">
        <f>NA()</f>
        <v>#N/A</v>
      </c>
      <c r="F541" t="e">
        <f>NA()</f>
        <v>#N/A</v>
      </c>
      <c r="G541" t="e">
        <f>NA()</f>
        <v>#N/A</v>
      </c>
      <c r="H541" t="e">
        <f>NA()</f>
        <v>#N/A</v>
      </c>
      <c r="I541" t="e">
        <f>NA()</f>
        <v>#N/A</v>
      </c>
      <c r="J541" t="e">
        <f>NA()</f>
        <v>#N/A</v>
      </c>
      <c r="K541" t="e">
        <f>NA()</f>
        <v>#N/A</v>
      </c>
      <c r="L541" t="e">
        <f>NA()</f>
        <v>#N/A</v>
      </c>
      <c r="M541" t="e">
        <f>NA()</f>
        <v>#N/A</v>
      </c>
      <c r="N541" t="e">
        <f>NA()</f>
        <v>#N/A</v>
      </c>
      <c r="O541">
        <f t="shared" si="19"/>
        <v>5.3</v>
      </c>
    </row>
    <row r="542" spans="1:15" x14ac:dyDescent="0.25">
      <c r="A542" s="1">
        <v>45202</v>
      </c>
      <c r="B542" t="e">
        <f>NA()</f>
        <v>#N/A</v>
      </c>
      <c r="C542" t="e">
        <f>NA()</f>
        <v>#N/A</v>
      </c>
      <c r="D542" t="e">
        <f>NA()</f>
        <v>#N/A</v>
      </c>
      <c r="E542" t="e">
        <f>NA()</f>
        <v>#N/A</v>
      </c>
      <c r="F542" t="e">
        <f>NA()</f>
        <v>#N/A</v>
      </c>
      <c r="G542" t="e">
        <f>NA()</f>
        <v>#N/A</v>
      </c>
      <c r="H542" t="e">
        <f>NA()</f>
        <v>#N/A</v>
      </c>
      <c r="I542" t="e">
        <f>NA()</f>
        <v>#N/A</v>
      </c>
      <c r="J542" t="e">
        <f>NA()</f>
        <v>#N/A</v>
      </c>
      <c r="K542" t="e">
        <f>NA()</f>
        <v>#N/A</v>
      </c>
      <c r="L542" t="e">
        <f>NA()</f>
        <v>#N/A</v>
      </c>
      <c r="M542" t="e">
        <f>NA()</f>
        <v>#N/A</v>
      </c>
      <c r="N542" t="e">
        <f>NA()</f>
        <v>#N/A</v>
      </c>
      <c r="O542">
        <f t="shared" si="19"/>
        <v>5.3</v>
      </c>
    </row>
    <row r="543" spans="1:15" x14ac:dyDescent="0.25">
      <c r="A543" s="1">
        <v>45201</v>
      </c>
      <c r="B543" t="e">
        <f>NA()</f>
        <v>#N/A</v>
      </c>
      <c r="C543" t="e">
        <f>NA()</f>
        <v>#N/A</v>
      </c>
      <c r="D543" t="e">
        <f>NA()</f>
        <v>#N/A</v>
      </c>
      <c r="E543" t="e">
        <f>NA()</f>
        <v>#N/A</v>
      </c>
      <c r="F543" t="e">
        <f>NA()</f>
        <v>#N/A</v>
      </c>
      <c r="G543" t="e">
        <f>NA()</f>
        <v>#N/A</v>
      </c>
      <c r="H543" t="e">
        <f>NA()</f>
        <v>#N/A</v>
      </c>
      <c r="I543" t="e">
        <f>NA()</f>
        <v>#N/A</v>
      </c>
      <c r="J543" t="e">
        <f>NA()</f>
        <v>#N/A</v>
      </c>
      <c r="K543" t="e">
        <f>NA()</f>
        <v>#N/A</v>
      </c>
      <c r="L543" t="e">
        <f>NA()</f>
        <v>#N/A</v>
      </c>
      <c r="M543" t="e">
        <f>NA()</f>
        <v>#N/A</v>
      </c>
      <c r="N543" t="e">
        <f>NA()</f>
        <v>#N/A</v>
      </c>
      <c r="O543">
        <f t="shared" si="19"/>
        <v>5.3</v>
      </c>
    </row>
    <row r="544" spans="1:15" x14ac:dyDescent="0.25">
      <c r="A544" s="1">
        <v>45199</v>
      </c>
      <c r="B544" t="e">
        <f>NA()</f>
        <v>#N/A</v>
      </c>
      <c r="C544" t="e">
        <f>NA()</f>
        <v>#N/A</v>
      </c>
      <c r="D544">
        <f>0.3</f>
        <v>0.3</v>
      </c>
      <c r="E544">
        <f>0.7</f>
        <v>0.7</v>
      </c>
      <c r="F544">
        <f>9279</f>
        <v>9279</v>
      </c>
      <c r="G544">
        <f>62.7</f>
        <v>62.7</v>
      </c>
      <c r="H544">
        <f>5.9</f>
        <v>5.9</v>
      </c>
      <c r="I544">
        <f>307.8</f>
        <v>307.8</v>
      </c>
      <c r="J544">
        <f>3.7</f>
        <v>3.7</v>
      </c>
      <c r="K544">
        <f>48.9</f>
        <v>48.9</v>
      </c>
      <c r="L544">
        <f>0.2</f>
        <v>0.2</v>
      </c>
      <c r="M544">
        <f>4.7</f>
        <v>4.7</v>
      </c>
      <c r="N544">
        <f>3.8</f>
        <v>3.8</v>
      </c>
      <c r="O544" t="e">
        <f>NA()</f>
        <v>#N/A</v>
      </c>
    </row>
    <row r="545" spans="1:15" x14ac:dyDescent="0.25">
      <c r="A545" s="1">
        <v>45198</v>
      </c>
      <c r="B545">
        <f>-0.5</f>
        <v>-0.5</v>
      </c>
      <c r="C545">
        <f>0</f>
        <v>0</v>
      </c>
      <c r="D545" t="e">
        <f>NA()</f>
        <v>#N/A</v>
      </c>
      <c r="E545" t="e">
        <f>NA()</f>
        <v>#N/A</v>
      </c>
      <c r="F545" t="e">
        <f>NA()</f>
        <v>#N/A</v>
      </c>
      <c r="G545" t="e">
        <f>NA()</f>
        <v>#N/A</v>
      </c>
      <c r="H545" t="e">
        <f>NA()</f>
        <v>#N/A</v>
      </c>
      <c r="I545" t="e">
        <f>NA()</f>
        <v>#N/A</v>
      </c>
      <c r="J545" t="e">
        <f>NA()</f>
        <v>#N/A</v>
      </c>
      <c r="K545" t="e">
        <f>NA()</f>
        <v>#N/A</v>
      </c>
      <c r="L545" t="e">
        <f>NA()</f>
        <v>#N/A</v>
      </c>
      <c r="M545" t="e">
        <f>NA()</f>
        <v>#N/A</v>
      </c>
      <c r="N545" t="e">
        <f>NA()</f>
        <v>#N/A</v>
      </c>
      <c r="O545">
        <f t="shared" ref="O545:O590" si="20">5.3</f>
        <v>5.3</v>
      </c>
    </row>
    <row r="546" spans="1:15" x14ac:dyDescent="0.25">
      <c r="A546" s="1">
        <v>45197</v>
      </c>
      <c r="B546" t="e">
        <f>NA()</f>
        <v>#N/A</v>
      </c>
      <c r="C546" t="e">
        <f>NA()</f>
        <v>#N/A</v>
      </c>
      <c r="D546" t="e">
        <f>NA()</f>
        <v>#N/A</v>
      </c>
      <c r="E546" t="e">
        <f>NA()</f>
        <v>#N/A</v>
      </c>
      <c r="F546" t="e">
        <f>NA()</f>
        <v>#N/A</v>
      </c>
      <c r="G546" t="e">
        <f>NA()</f>
        <v>#N/A</v>
      </c>
      <c r="H546" t="e">
        <f>NA()</f>
        <v>#N/A</v>
      </c>
      <c r="I546" t="e">
        <f>NA()</f>
        <v>#N/A</v>
      </c>
      <c r="J546" t="e">
        <f>NA()</f>
        <v>#N/A</v>
      </c>
      <c r="K546" t="e">
        <f>NA()</f>
        <v>#N/A</v>
      </c>
      <c r="L546" t="e">
        <f>NA()</f>
        <v>#N/A</v>
      </c>
      <c r="M546" t="e">
        <f>NA()</f>
        <v>#N/A</v>
      </c>
      <c r="N546" t="e">
        <f>NA()</f>
        <v>#N/A</v>
      </c>
      <c r="O546">
        <f t="shared" si="20"/>
        <v>5.3</v>
      </c>
    </row>
    <row r="547" spans="1:15" x14ac:dyDescent="0.25">
      <c r="A547" s="1">
        <v>45196</v>
      </c>
      <c r="B547" t="e">
        <f>NA()</f>
        <v>#N/A</v>
      </c>
      <c r="C547" t="e">
        <f>NA()</f>
        <v>#N/A</v>
      </c>
      <c r="D547" t="e">
        <f>NA()</f>
        <v>#N/A</v>
      </c>
      <c r="E547" t="e">
        <f>NA()</f>
        <v>#N/A</v>
      </c>
      <c r="F547" t="e">
        <f>NA()</f>
        <v>#N/A</v>
      </c>
      <c r="G547" t="e">
        <f>NA()</f>
        <v>#N/A</v>
      </c>
      <c r="H547" t="e">
        <f>NA()</f>
        <v>#N/A</v>
      </c>
      <c r="I547" t="e">
        <f>NA()</f>
        <v>#N/A</v>
      </c>
      <c r="J547" t="e">
        <f>NA()</f>
        <v>#N/A</v>
      </c>
      <c r="K547" t="e">
        <f>NA()</f>
        <v>#N/A</v>
      </c>
      <c r="L547" t="e">
        <f>NA()</f>
        <v>#N/A</v>
      </c>
      <c r="M547" t="e">
        <f>NA()</f>
        <v>#N/A</v>
      </c>
      <c r="N547" t="e">
        <f>NA()</f>
        <v>#N/A</v>
      </c>
      <c r="O547">
        <f t="shared" si="20"/>
        <v>5.3</v>
      </c>
    </row>
    <row r="548" spans="1:15" x14ac:dyDescent="0.25">
      <c r="A548" s="1">
        <v>45195</v>
      </c>
      <c r="B548" t="e">
        <f>NA()</f>
        <v>#N/A</v>
      </c>
      <c r="C548" t="e">
        <f>NA()</f>
        <v>#N/A</v>
      </c>
      <c r="D548" t="e">
        <f>NA()</f>
        <v>#N/A</v>
      </c>
      <c r="E548" t="e">
        <f>NA()</f>
        <v>#N/A</v>
      </c>
      <c r="F548" t="e">
        <f>NA()</f>
        <v>#N/A</v>
      </c>
      <c r="G548" t="e">
        <f>NA()</f>
        <v>#N/A</v>
      </c>
      <c r="H548" t="e">
        <f>NA()</f>
        <v>#N/A</v>
      </c>
      <c r="I548" t="e">
        <f>NA()</f>
        <v>#N/A</v>
      </c>
      <c r="J548" t="e">
        <f>NA()</f>
        <v>#N/A</v>
      </c>
      <c r="K548" t="e">
        <f>NA()</f>
        <v>#N/A</v>
      </c>
      <c r="L548" t="e">
        <f>NA()</f>
        <v>#N/A</v>
      </c>
      <c r="M548" t="e">
        <f>NA()</f>
        <v>#N/A</v>
      </c>
      <c r="N548" t="e">
        <f>NA()</f>
        <v>#N/A</v>
      </c>
      <c r="O548">
        <f t="shared" si="20"/>
        <v>5.3</v>
      </c>
    </row>
    <row r="549" spans="1:15" x14ac:dyDescent="0.25">
      <c r="A549" s="1">
        <v>45194</v>
      </c>
      <c r="B549" t="e">
        <f>NA()</f>
        <v>#N/A</v>
      </c>
      <c r="C549" t="e">
        <f>NA()</f>
        <v>#N/A</v>
      </c>
      <c r="D549" t="e">
        <f>NA()</f>
        <v>#N/A</v>
      </c>
      <c r="E549" t="e">
        <f>NA()</f>
        <v>#N/A</v>
      </c>
      <c r="F549" t="e">
        <f>NA()</f>
        <v>#N/A</v>
      </c>
      <c r="G549" t="e">
        <f>NA()</f>
        <v>#N/A</v>
      </c>
      <c r="H549" t="e">
        <f>NA()</f>
        <v>#N/A</v>
      </c>
      <c r="I549" t="e">
        <f>NA()</f>
        <v>#N/A</v>
      </c>
      <c r="J549" t="e">
        <f>NA()</f>
        <v>#N/A</v>
      </c>
      <c r="K549" t="e">
        <f>NA()</f>
        <v>#N/A</v>
      </c>
      <c r="L549" t="e">
        <f>NA()</f>
        <v>#N/A</v>
      </c>
      <c r="M549" t="e">
        <f>NA()</f>
        <v>#N/A</v>
      </c>
      <c r="N549" t="e">
        <f>NA()</f>
        <v>#N/A</v>
      </c>
      <c r="O549">
        <f t="shared" si="20"/>
        <v>5.3</v>
      </c>
    </row>
    <row r="550" spans="1:15" x14ac:dyDescent="0.25">
      <c r="A550" s="1">
        <v>45191</v>
      </c>
      <c r="B550">
        <f>-0.7</f>
        <v>-0.7</v>
      </c>
      <c r="C550">
        <f>0</f>
        <v>0</v>
      </c>
      <c r="D550" t="e">
        <f>NA()</f>
        <v>#N/A</v>
      </c>
      <c r="E550" t="e">
        <f>NA()</f>
        <v>#N/A</v>
      </c>
      <c r="F550" t="e">
        <f>NA()</f>
        <v>#N/A</v>
      </c>
      <c r="G550" t="e">
        <f>NA()</f>
        <v>#N/A</v>
      </c>
      <c r="H550" t="e">
        <f>NA()</f>
        <v>#N/A</v>
      </c>
      <c r="I550" t="e">
        <f>NA()</f>
        <v>#N/A</v>
      </c>
      <c r="J550" t="e">
        <f>NA()</f>
        <v>#N/A</v>
      </c>
      <c r="K550" t="e">
        <f>NA()</f>
        <v>#N/A</v>
      </c>
      <c r="L550" t="e">
        <f>NA()</f>
        <v>#N/A</v>
      </c>
      <c r="M550" t="e">
        <f>NA()</f>
        <v>#N/A</v>
      </c>
      <c r="N550" t="e">
        <f>NA()</f>
        <v>#N/A</v>
      </c>
      <c r="O550">
        <f t="shared" si="20"/>
        <v>5.3</v>
      </c>
    </row>
    <row r="551" spans="1:15" x14ac:dyDescent="0.25">
      <c r="A551" s="1">
        <v>45190</v>
      </c>
      <c r="B551" t="e">
        <f>NA()</f>
        <v>#N/A</v>
      </c>
      <c r="C551" t="e">
        <f>NA()</f>
        <v>#N/A</v>
      </c>
      <c r="D551" t="e">
        <f>NA()</f>
        <v>#N/A</v>
      </c>
      <c r="E551" t="e">
        <f>NA()</f>
        <v>#N/A</v>
      </c>
      <c r="F551" t="e">
        <f>NA()</f>
        <v>#N/A</v>
      </c>
      <c r="G551" t="e">
        <f>NA()</f>
        <v>#N/A</v>
      </c>
      <c r="H551" t="e">
        <f>NA()</f>
        <v>#N/A</v>
      </c>
      <c r="I551" t="e">
        <f>NA()</f>
        <v>#N/A</v>
      </c>
      <c r="J551" t="e">
        <f>NA()</f>
        <v>#N/A</v>
      </c>
      <c r="K551" t="e">
        <f>NA()</f>
        <v>#N/A</v>
      </c>
      <c r="L551" t="e">
        <f>NA()</f>
        <v>#N/A</v>
      </c>
      <c r="M551" t="e">
        <f>NA()</f>
        <v>#N/A</v>
      </c>
      <c r="N551" t="e">
        <f>NA()</f>
        <v>#N/A</v>
      </c>
      <c r="O551">
        <f t="shared" si="20"/>
        <v>5.3</v>
      </c>
    </row>
    <row r="552" spans="1:15" x14ac:dyDescent="0.25">
      <c r="A552" s="1">
        <v>45189</v>
      </c>
      <c r="B552" t="e">
        <f>NA()</f>
        <v>#N/A</v>
      </c>
      <c r="C552" t="e">
        <f>NA()</f>
        <v>#N/A</v>
      </c>
      <c r="D552" t="e">
        <f>NA()</f>
        <v>#N/A</v>
      </c>
      <c r="E552" t="e">
        <f>NA()</f>
        <v>#N/A</v>
      </c>
      <c r="F552" t="e">
        <f>NA()</f>
        <v>#N/A</v>
      </c>
      <c r="G552" t="e">
        <f>NA()</f>
        <v>#N/A</v>
      </c>
      <c r="H552" t="e">
        <f>NA()</f>
        <v>#N/A</v>
      </c>
      <c r="I552" t="e">
        <f>NA()</f>
        <v>#N/A</v>
      </c>
      <c r="J552" t="e">
        <f>NA()</f>
        <v>#N/A</v>
      </c>
      <c r="K552" t="e">
        <f>NA()</f>
        <v>#N/A</v>
      </c>
      <c r="L552" t="e">
        <f>NA()</f>
        <v>#N/A</v>
      </c>
      <c r="M552" t="e">
        <f>NA()</f>
        <v>#N/A</v>
      </c>
      <c r="N552" t="e">
        <f>NA()</f>
        <v>#N/A</v>
      </c>
      <c r="O552">
        <f t="shared" si="20"/>
        <v>5.3</v>
      </c>
    </row>
    <row r="553" spans="1:15" x14ac:dyDescent="0.25">
      <c r="A553" s="1">
        <v>45188</v>
      </c>
      <c r="B553" t="e">
        <f>NA()</f>
        <v>#N/A</v>
      </c>
      <c r="C553" t="e">
        <f>NA()</f>
        <v>#N/A</v>
      </c>
      <c r="D553" t="e">
        <f>NA()</f>
        <v>#N/A</v>
      </c>
      <c r="E553" t="e">
        <f>NA()</f>
        <v>#N/A</v>
      </c>
      <c r="F553" t="e">
        <f>NA()</f>
        <v>#N/A</v>
      </c>
      <c r="G553" t="e">
        <f>NA()</f>
        <v>#N/A</v>
      </c>
      <c r="H553" t="e">
        <f>NA()</f>
        <v>#N/A</v>
      </c>
      <c r="I553" t="e">
        <f>NA()</f>
        <v>#N/A</v>
      </c>
      <c r="J553" t="e">
        <f>NA()</f>
        <v>#N/A</v>
      </c>
      <c r="K553" t="e">
        <f>NA()</f>
        <v>#N/A</v>
      </c>
      <c r="L553" t="e">
        <f>NA()</f>
        <v>#N/A</v>
      </c>
      <c r="M553" t="e">
        <f>NA()</f>
        <v>#N/A</v>
      </c>
      <c r="N553" t="e">
        <f>NA()</f>
        <v>#N/A</v>
      </c>
      <c r="O553">
        <f t="shared" si="20"/>
        <v>5.3</v>
      </c>
    </row>
    <row r="554" spans="1:15" x14ac:dyDescent="0.25">
      <c r="A554" s="1">
        <v>45187</v>
      </c>
      <c r="B554" t="e">
        <f>NA()</f>
        <v>#N/A</v>
      </c>
      <c r="C554" t="e">
        <f>NA()</f>
        <v>#N/A</v>
      </c>
      <c r="D554" t="e">
        <f>NA()</f>
        <v>#N/A</v>
      </c>
      <c r="E554" t="e">
        <f>NA()</f>
        <v>#N/A</v>
      </c>
      <c r="F554" t="e">
        <f>NA()</f>
        <v>#N/A</v>
      </c>
      <c r="G554" t="e">
        <f>NA()</f>
        <v>#N/A</v>
      </c>
      <c r="H554" t="e">
        <f>NA()</f>
        <v>#N/A</v>
      </c>
      <c r="I554" t="e">
        <f>NA()</f>
        <v>#N/A</v>
      </c>
      <c r="J554" t="e">
        <f>NA()</f>
        <v>#N/A</v>
      </c>
      <c r="K554" t="e">
        <f>NA()</f>
        <v>#N/A</v>
      </c>
      <c r="L554" t="e">
        <f>NA()</f>
        <v>#N/A</v>
      </c>
      <c r="M554" t="e">
        <f>NA()</f>
        <v>#N/A</v>
      </c>
      <c r="N554" t="e">
        <f>NA()</f>
        <v>#N/A</v>
      </c>
      <c r="O554">
        <f t="shared" si="20"/>
        <v>5.3</v>
      </c>
    </row>
    <row r="555" spans="1:15" x14ac:dyDescent="0.25">
      <c r="A555" s="1">
        <v>45184</v>
      </c>
      <c r="B555">
        <f>-0.7</f>
        <v>-0.7</v>
      </c>
      <c r="C555">
        <f>0</f>
        <v>0</v>
      </c>
      <c r="D555" t="e">
        <f>NA()</f>
        <v>#N/A</v>
      </c>
      <c r="E555" t="e">
        <f>NA()</f>
        <v>#N/A</v>
      </c>
      <c r="F555" t="e">
        <f>NA()</f>
        <v>#N/A</v>
      </c>
      <c r="G555" t="e">
        <f>NA()</f>
        <v>#N/A</v>
      </c>
      <c r="H555" t="e">
        <f>NA()</f>
        <v>#N/A</v>
      </c>
      <c r="I555" t="e">
        <f>NA()</f>
        <v>#N/A</v>
      </c>
      <c r="J555" t="e">
        <f>NA()</f>
        <v>#N/A</v>
      </c>
      <c r="K555" t="e">
        <f>NA()</f>
        <v>#N/A</v>
      </c>
      <c r="L555" t="e">
        <f>NA()</f>
        <v>#N/A</v>
      </c>
      <c r="M555" t="e">
        <f>NA()</f>
        <v>#N/A</v>
      </c>
      <c r="N555" t="e">
        <f>NA()</f>
        <v>#N/A</v>
      </c>
      <c r="O555">
        <f t="shared" si="20"/>
        <v>5.3</v>
      </c>
    </row>
    <row r="556" spans="1:15" x14ac:dyDescent="0.25">
      <c r="A556" s="1">
        <v>45183</v>
      </c>
      <c r="B556" t="e">
        <f>NA()</f>
        <v>#N/A</v>
      </c>
      <c r="C556" t="e">
        <f>NA()</f>
        <v>#N/A</v>
      </c>
      <c r="D556" t="e">
        <f>NA()</f>
        <v>#N/A</v>
      </c>
      <c r="E556" t="e">
        <f>NA()</f>
        <v>#N/A</v>
      </c>
      <c r="F556" t="e">
        <f>NA()</f>
        <v>#N/A</v>
      </c>
      <c r="G556" t="e">
        <f>NA()</f>
        <v>#N/A</v>
      </c>
      <c r="H556" t="e">
        <f>NA()</f>
        <v>#N/A</v>
      </c>
      <c r="I556" t="e">
        <f>NA()</f>
        <v>#N/A</v>
      </c>
      <c r="J556" t="e">
        <f>NA()</f>
        <v>#N/A</v>
      </c>
      <c r="K556" t="e">
        <f>NA()</f>
        <v>#N/A</v>
      </c>
      <c r="L556" t="e">
        <f>NA()</f>
        <v>#N/A</v>
      </c>
      <c r="M556" t="e">
        <f>NA()</f>
        <v>#N/A</v>
      </c>
      <c r="N556" t="e">
        <f>NA()</f>
        <v>#N/A</v>
      </c>
      <c r="O556">
        <f t="shared" si="20"/>
        <v>5.3</v>
      </c>
    </row>
    <row r="557" spans="1:15" x14ac:dyDescent="0.25">
      <c r="A557" s="1">
        <v>45182</v>
      </c>
      <c r="B557" t="e">
        <f>NA()</f>
        <v>#N/A</v>
      </c>
      <c r="C557" t="e">
        <f>NA()</f>
        <v>#N/A</v>
      </c>
      <c r="D557" t="e">
        <f>NA()</f>
        <v>#N/A</v>
      </c>
      <c r="E557" t="e">
        <f>NA()</f>
        <v>#N/A</v>
      </c>
      <c r="F557" t="e">
        <f>NA()</f>
        <v>#N/A</v>
      </c>
      <c r="G557" t="e">
        <f>NA()</f>
        <v>#N/A</v>
      </c>
      <c r="H557" t="e">
        <f>NA()</f>
        <v>#N/A</v>
      </c>
      <c r="I557" t="e">
        <f>NA()</f>
        <v>#N/A</v>
      </c>
      <c r="J557" t="e">
        <f>NA()</f>
        <v>#N/A</v>
      </c>
      <c r="K557" t="e">
        <f>NA()</f>
        <v>#N/A</v>
      </c>
      <c r="L557" t="e">
        <f>NA()</f>
        <v>#N/A</v>
      </c>
      <c r="M557" t="e">
        <f>NA()</f>
        <v>#N/A</v>
      </c>
      <c r="N557" t="e">
        <f>NA()</f>
        <v>#N/A</v>
      </c>
      <c r="O557">
        <f t="shared" si="20"/>
        <v>5.3</v>
      </c>
    </row>
    <row r="558" spans="1:15" x14ac:dyDescent="0.25">
      <c r="A558" s="1">
        <v>45181</v>
      </c>
      <c r="B558" t="e">
        <f>NA()</f>
        <v>#N/A</v>
      </c>
      <c r="C558" t="e">
        <f>NA()</f>
        <v>#N/A</v>
      </c>
      <c r="D558" t="e">
        <f>NA()</f>
        <v>#N/A</v>
      </c>
      <c r="E558" t="e">
        <f>NA()</f>
        <v>#N/A</v>
      </c>
      <c r="F558" t="e">
        <f>NA()</f>
        <v>#N/A</v>
      </c>
      <c r="G558" t="e">
        <f>NA()</f>
        <v>#N/A</v>
      </c>
      <c r="H558" t="e">
        <f>NA()</f>
        <v>#N/A</v>
      </c>
      <c r="I558" t="e">
        <f>NA()</f>
        <v>#N/A</v>
      </c>
      <c r="J558" t="e">
        <f>NA()</f>
        <v>#N/A</v>
      </c>
      <c r="K558" t="e">
        <f>NA()</f>
        <v>#N/A</v>
      </c>
      <c r="L558" t="e">
        <f>NA()</f>
        <v>#N/A</v>
      </c>
      <c r="M558" t="e">
        <f>NA()</f>
        <v>#N/A</v>
      </c>
      <c r="N558" t="e">
        <f>NA()</f>
        <v>#N/A</v>
      </c>
      <c r="O558">
        <f t="shared" si="20"/>
        <v>5.3</v>
      </c>
    </row>
    <row r="559" spans="1:15" x14ac:dyDescent="0.25">
      <c r="A559" s="1">
        <v>45180</v>
      </c>
      <c r="B559" t="e">
        <f>NA()</f>
        <v>#N/A</v>
      </c>
      <c r="C559" t="e">
        <f>NA()</f>
        <v>#N/A</v>
      </c>
      <c r="D559" t="e">
        <f>NA()</f>
        <v>#N/A</v>
      </c>
      <c r="E559" t="e">
        <f>NA()</f>
        <v>#N/A</v>
      </c>
      <c r="F559" t="e">
        <f>NA()</f>
        <v>#N/A</v>
      </c>
      <c r="G559" t="e">
        <f>NA()</f>
        <v>#N/A</v>
      </c>
      <c r="H559" t="e">
        <f>NA()</f>
        <v>#N/A</v>
      </c>
      <c r="I559" t="e">
        <f>NA()</f>
        <v>#N/A</v>
      </c>
      <c r="J559" t="e">
        <f>NA()</f>
        <v>#N/A</v>
      </c>
      <c r="K559" t="e">
        <f>NA()</f>
        <v>#N/A</v>
      </c>
      <c r="L559" t="e">
        <f>NA()</f>
        <v>#N/A</v>
      </c>
      <c r="M559" t="e">
        <f>NA()</f>
        <v>#N/A</v>
      </c>
      <c r="N559" t="e">
        <f>NA()</f>
        <v>#N/A</v>
      </c>
      <c r="O559">
        <f t="shared" si="20"/>
        <v>5.3</v>
      </c>
    </row>
    <row r="560" spans="1:15" x14ac:dyDescent="0.25">
      <c r="A560" s="1">
        <v>45177</v>
      </c>
      <c r="B560">
        <f>-0.7</f>
        <v>-0.7</v>
      </c>
      <c r="C560">
        <f>0</f>
        <v>0</v>
      </c>
      <c r="D560" t="e">
        <f>NA()</f>
        <v>#N/A</v>
      </c>
      <c r="E560" t="e">
        <f>NA()</f>
        <v>#N/A</v>
      </c>
      <c r="F560" t="e">
        <f>NA()</f>
        <v>#N/A</v>
      </c>
      <c r="G560" t="e">
        <f>NA()</f>
        <v>#N/A</v>
      </c>
      <c r="H560" t="e">
        <f>NA()</f>
        <v>#N/A</v>
      </c>
      <c r="I560" t="e">
        <f>NA()</f>
        <v>#N/A</v>
      </c>
      <c r="J560" t="e">
        <f>NA()</f>
        <v>#N/A</v>
      </c>
      <c r="K560" t="e">
        <f>NA()</f>
        <v>#N/A</v>
      </c>
      <c r="L560" t="e">
        <f>NA()</f>
        <v>#N/A</v>
      </c>
      <c r="M560" t="e">
        <f>NA()</f>
        <v>#N/A</v>
      </c>
      <c r="N560" t="e">
        <f>NA()</f>
        <v>#N/A</v>
      </c>
      <c r="O560">
        <f t="shared" si="20"/>
        <v>5.3</v>
      </c>
    </row>
    <row r="561" spans="1:15" x14ac:dyDescent="0.25">
      <c r="A561" s="1">
        <v>45176</v>
      </c>
      <c r="B561" t="e">
        <f>NA()</f>
        <v>#N/A</v>
      </c>
      <c r="C561" t="e">
        <f>NA()</f>
        <v>#N/A</v>
      </c>
      <c r="D561" t="e">
        <f>NA()</f>
        <v>#N/A</v>
      </c>
      <c r="E561" t="e">
        <f>NA()</f>
        <v>#N/A</v>
      </c>
      <c r="F561" t="e">
        <f>NA()</f>
        <v>#N/A</v>
      </c>
      <c r="G561" t="e">
        <f>NA()</f>
        <v>#N/A</v>
      </c>
      <c r="H561" t="e">
        <f>NA()</f>
        <v>#N/A</v>
      </c>
      <c r="I561" t="e">
        <f>NA()</f>
        <v>#N/A</v>
      </c>
      <c r="J561" t="e">
        <f>NA()</f>
        <v>#N/A</v>
      </c>
      <c r="K561" t="e">
        <f>NA()</f>
        <v>#N/A</v>
      </c>
      <c r="L561" t="e">
        <f>NA()</f>
        <v>#N/A</v>
      </c>
      <c r="M561" t="e">
        <f>NA()</f>
        <v>#N/A</v>
      </c>
      <c r="N561" t="e">
        <f>NA()</f>
        <v>#N/A</v>
      </c>
      <c r="O561">
        <f t="shared" si="20"/>
        <v>5.3</v>
      </c>
    </row>
    <row r="562" spans="1:15" x14ac:dyDescent="0.25">
      <c r="A562" s="1">
        <v>45175</v>
      </c>
      <c r="B562" t="e">
        <f>NA()</f>
        <v>#N/A</v>
      </c>
      <c r="C562" t="e">
        <f>NA()</f>
        <v>#N/A</v>
      </c>
      <c r="D562" t="e">
        <f>NA()</f>
        <v>#N/A</v>
      </c>
      <c r="E562" t="e">
        <f>NA()</f>
        <v>#N/A</v>
      </c>
      <c r="F562" t="e">
        <f>NA()</f>
        <v>#N/A</v>
      </c>
      <c r="G562" t="e">
        <f>NA()</f>
        <v>#N/A</v>
      </c>
      <c r="H562" t="e">
        <f>NA()</f>
        <v>#N/A</v>
      </c>
      <c r="I562" t="e">
        <f>NA()</f>
        <v>#N/A</v>
      </c>
      <c r="J562" t="e">
        <f>NA()</f>
        <v>#N/A</v>
      </c>
      <c r="K562" t="e">
        <f>NA()</f>
        <v>#N/A</v>
      </c>
      <c r="L562" t="e">
        <f>NA()</f>
        <v>#N/A</v>
      </c>
      <c r="M562" t="e">
        <f>NA()</f>
        <v>#N/A</v>
      </c>
      <c r="N562" t="e">
        <f>NA()</f>
        <v>#N/A</v>
      </c>
      <c r="O562">
        <f t="shared" si="20"/>
        <v>5.3</v>
      </c>
    </row>
    <row r="563" spans="1:15" x14ac:dyDescent="0.25">
      <c r="A563" s="1">
        <v>45174</v>
      </c>
      <c r="B563" t="e">
        <f>NA()</f>
        <v>#N/A</v>
      </c>
      <c r="C563" t="e">
        <f>NA()</f>
        <v>#N/A</v>
      </c>
      <c r="D563" t="e">
        <f>NA()</f>
        <v>#N/A</v>
      </c>
      <c r="E563" t="e">
        <f>NA()</f>
        <v>#N/A</v>
      </c>
      <c r="F563" t="e">
        <f>NA()</f>
        <v>#N/A</v>
      </c>
      <c r="G563" t="e">
        <f>NA()</f>
        <v>#N/A</v>
      </c>
      <c r="H563" t="e">
        <f>NA()</f>
        <v>#N/A</v>
      </c>
      <c r="I563" t="e">
        <f>NA()</f>
        <v>#N/A</v>
      </c>
      <c r="J563" t="e">
        <f>NA()</f>
        <v>#N/A</v>
      </c>
      <c r="K563" t="e">
        <f>NA()</f>
        <v>#N/A</v>
      </c>
      <c r="L563" t="e">
        <f>NA()</f>
        <v>#N/A</v>
      </c>
      <c r="M563" t="e">
        <f>NA()</f>
        <v>#N/A</v>
      </c>
      <c r="N563" t="e">
        <f>NA()</f>
        <v>#N/A</v>
      </c>
      <c r="O563">
        <f t="shared" si="20"/>
        <v>5.3</v>
      </c>
    </row>
    <row r="564" spans="1:15" x14ac:dyDescent="0.25">
      <c r="A564" s="1">
        <v>45170</v>
      </c>
      <c r="B564">
        <f>-0.7</f>
        <v>-0.7</v>
      </c>
      <c r="C564">
        <f>0</f>
        <v>0</v>
      </c>
      <c r="D564" t="e">
        <f>NA()</f>
        <v>#N/A</v>
      </c>
      <c r="E564" t="e">
        <f>NA()</f>
        <v>#N/A</v>
      </c>
      <c r="F564" t="e">
        <f>NA()</f>
        <v>#N/A</v>
      </c>
      <c r="G564" t="e">
        <f>NA()</f>
        <v>#N/A</v>
      </c>
      <c r="H564" t="e">
        <f>NA()</f>
        <v>#N/A</v>
      </c>
      <c r="I564" t="e">
        <f>NA()</f>
        <v>#N/A</v>
      </c>
      <c r="J564" t="e">
        <f>NA()</f>
        <v>#N/A</v>
      </c>
      <c r="K564" t="e">
        <f>NA()</f>
        <v>#N/A</v>
      </c>
      <c r="L564" t="e">
        <f>NA()</f>
        <v>#N/A</v>
      </c>
      <c r="M564" t="e">
        <f>NA()</f>
        <v>#N/A</v>
      </c>
      <c r="N564" t="e">
        <f>NA()</f>
        <v>#N/A</v>
      </c>
      <c r="O564">
        <f t="shared" si="20"/>
        <v>5.3</v>
      </c>
    </row>
    <row r="565" spans="1:15" x14ac:dyDescent="0.25">
      <c r="A565" s="1">
        <v>45169</v>
      </c>
      <c r="B565" t="e">
        <f>NA()</f>
        <v>#N/A</v>
      </c>
      <c r="C565" t="e">
        <f>NA()</f>
        <v>#N/A</v>
      </c>
      <c r="D565">
        <f>0.1</f>
        <v>0.1</v>
      </c>
      <c r="E565">
        <f>0.7</f>
        <v>0.7</v>
      </c>
      <c r="F565">
        <f>9287</f>
        <v>9287</v>
      </c>
      <c r="G565">
        <f>62.8</f>
        <v>62.8</v>
      </c>
      <c r="H565">
        <f>5.8</f>
        <v>5.8</v>
      </c>
      <c r="I565">
        <f>307</f>
        <v>307</v>
      </c>
      <c r="J565">
        <f>3.7</f>
        <v>3.7</v>
      </c>
      <c r="K565">
        <f>47.9</f>
        <v>47.9</v>
      </c>
      <c r="L565">
        <f>0</f>
        <v>0</v>
      </c>
      <c r="M565" t="e">
        <f>NA()</f>
        <v>#N/A</v>
      </c>
      <c r="N565">
        <f>3.7</f>
        <v>3.7</v>
      </c>
      <c r="O565">
        <f t="shared" si="20"/>
        <v>5.3</v>
      </c>
    </row>
    <row r="566" spans="1:15" x14ac:dyDescent="0.25">
      <c r="A566" s="1">
        <v>45168</v>
      </c>
      <c r="B566" t="e">
        <f>NA()</f>
        <v>#N/A</v>
      </c>
      <c r="C566" t="e">
        <f>NA()</f>
        <v>#N/A</v>
      </c>
      <c r="D566" t="e">
        <f>NA()</f>
        <v>#N/A</v>
      </c>
      <c r="E566" t="e">
        <f>NA()</f>
        <v>#N/A</v>
      </c>
      <c r="F566" t="e">
        <f>NA()</f>
        <v>#N/A</v>
      </c>
      <c r="G566" t="e">
        <f>NA()</f>
        <v>#N/A</v>
      </c>
      <c r="H566" t="e">
        <f>NA()</f>
        <v>#N/A</v>
      </c>
      <c r="I566" t="e">
        <f>NA()</f>
        <v>#N/A</v>
      </c>
      <c r="J566" t="e">
        <f>NA()</f>
        <v>#N/A</v>
      </c>
      <c r="K566" t="e">
        <f>NA()</f>
        <v>#N/A</v>
      </c>
      <c r="L566" t="e">
        <f>NA()</f>
        <v>#N/A</v>
      </c>
      <c r="M566" t="e">
        <f>NA()</f>
        <v>#N/A</v>
      </c>
      <c r="N566" t="e">
        <f>NA()</f>
        <v>#N/A</v>
      </c>
      <c r="O566">
        <f t="shared" si="20"/>
        <v>5.3</v>
      </c>
    </row>
    <row r="567" spans="1:15" x14ac:dyDescent="0.25">
      <c r="A567" s="1">
        <v>45167</v>
      </c>
      <c r="B567" t="e">
        <f>NA()</f>
        <v>#N/A</v>
      </c>
      <c r="C567" t="e">
        <f>NA()</f>
        <v>#N/A</v>
      </c>
      <c r="D567" t="e">
        <f>NA()</f>
        <v>#N/A</v>
      </c>
      <c r="E567" t="e">
        <f>NA()</f>
        <v>#N/A</v>
      </c>
      <c r="F567" t="e">
        <f>NA()</f>
        <v>#N/A</v>
      </c>
      <c r="G567" t="e">
        <f>NA()</f>
        <v>#N/A</v>
      </c>
      <c r="H567" t="e">
        <f>NA()</f>
        <v>#N/A</v>
      </c>
      <c r="I567" t="e">
        <f>NA()</f>
        <v>#N/A</v>
      </c>
      <c r="J567" t="e">
        <f>NA()</f>
        <v>#N/A</v>
      </c>
      <c r="K567" t="e">
        <f>NA()</f>
        <v>#N/A</v>
      </c>
      <c r="L567" t="e">
        <f>NA()</f>
        <v>#N/A</v>
      </c>
      <c r="M567" t="e">
        <f>NA()</f>
        <v>#N/A</v>
      </c>
      <c r="N567" t="e">
        <f>NA()</f>
        <v>#N/A</v>
      </c>
      <c r="O567">
        <f t="shared" si="20"/>
        <v>5.3</v>
      </c>
    </row>
    <row r="568" spans="1:15" x14ac:dyDescent="0.25">
      <c r="A568" s="1">
        <v>45166</v>
      </c>
      <c r="B568" t="e">
        <f>NA()</f>
        <v>#N/A</v>
      </c>
      <c r="C568" t="e">
        <f>NA()</f>
        <v>#N/A</v>
      </c>
      <c r="D568" t="e">
        <f>NA()</f>
        <v>#N/A</v>
      </c>
      <c r="E568" t="e">
        <f>NA()</f>
        <v>#N/A</v>
      </c>
      <c r="F568" t="e">
        <f>NA()</f>
        <v>#N/A</v>
      </c>
      <c r="G568" t="e">
        <f>NA()</f>
        <v>#N/A</v>
      </c>
      <c r="H568" t="e">
        <f>NA()</f>
        <v>#N/A</v>
      </c>
      <c r="I568" t="e">
        <f>NA()</f>
        <v>#N/A</v>
      </c>
      <c r="J568" t="e">
        <f>NA()</f>
        <v>#N/A</v>
      </c>
      <c r="K568" t="e">
        <f>NA()</f>
        <v>#N/A</v>
      </c>
      <c r="L568" t="e">
        <f>NA()</f>
        <v>#N/A</v>
      </c>
      <c r="M568" t="e">
        <f>NA()</f>
        <v>#N/A</v>
      </c>
      <c r="N568" t="e">
        <f>NA()</f>
        <v>#N/A</v>
      </c>
      <c r="O568">
        <f t="shared" si="20"/>
        <v>5.3</v>
      </c>
    </row>
    <row r="569" spans="1:15" x14ac:dyDescent="0.25">
      <c r="A569" s="1">
        <v>45163</v>
      </c>
      <c r="B569">
        <f>-0.7</f>
        <v>-0.7</v>
      </c>
      <c r="C569">
        <f>0</f>
        <v>0</v>
      </c>
      <c r="D569" t="e">
        <f>NA()</f>
        <v>#N/A</v>
      </c>
      <c r="E569" t="e">
        <f>NA()</f>
        <v>#N/A</v>
      </c>
      <c r="F569" t="e">
        <f>NA()</f>
        <v>#N/A</v>
      </c>
      <c r="G569" t="e">
        <f>NA()</f>
        <v>#N/A</v>
      </c>
      <c r="H569" t="e">
        <f>NA()</f>
        <v>#N/A</v>
      </c>
      <c r="I569" t="e">
        <f>NA()</f>
        <v>#N/A</v>
      </c>
      <c r="J569" t="e">
        <f>NA()</f>
        <v>#N/A</v>
      </c>
      <c r="K569" t="e">
        <f>NA()</f>
        <v>#N/A</v>
      </c>
      <c r="L569" t="e">
        <f>NA()</f>
        <v>#N/A</v>
      </c>
      <c r="M569" t="e">
        <f>NA()</f>
        <v>#N/A</v>
      </c>
      <c r="N569" t="e">
        <f>NA()</f>
        <v>#N/A</v>
      </c>
      <c r="O569">
        <f t="shared" si="20"/>
        <v>5.3</v>
      </c>
    </row>
    <row r="570" spans="1:15" x14ac:dyDescent="0.25">
      <c r="A570" s="1">
        <v>45162</v>
      </c>
      <c r="B570" t="e">
        <f>NA()</f>
        <v>#N/A</v>
      </c>
      <c r="C570" t="e">
        <f>NA()</f>
        <v>#N/A</v>
      </c>
      <c r="D570" t="e">
        <f>NA()</f>
        <v>#N/A</v>
      </c>
      <c r="E570" t="e">
        <f>NA()</f>
        <v>#N/A</v>
      </c>
      <c r="F570" t="e">
        <f>NA()</f>
        <v>#N/A</v>
      </c>
      <c r="G570" t="e">
        <f>NA()</f>
        <v>#N/A</v>
      </c>
      <c r="H570" t="e">
        <f>NA()</f>
        <v>#N/A</v>
      </c>
      <c r="I570" t="e">
        <f>NA()</f>
        <v>#N/A</v>
      </c>
      <c r="J570" t="e">
        <f>NA()</f>
        <v>#N/A</v>
      </c>
      <c r="K570" t="e">
        <f>NA()</f>
        <v>#N/A</v>
      </c>
      <c r="L570" t="e">
        <f>NA()</f>
        <v>#N/A</v>
      </c>
      <c r="M570" t="e">
        <f>NA()</f>
        <v>#N/A</v>
      </c>
      <c r="N570" t="e">
        <f>NA()</f>
        <v>#N/A</v>
      </c>
      <c r="O570">
        <f t="shared" si="20"/>
        <v>5.3</v>
      </c>
    </row>
    <row r="571" spans="1:15" x14ac:dyDescent="0.25">
      <c r="A571" s="1">
        <v>45161</v>
      </c>
      <c r="B571" t="e">
        <f>NA()</f>
        <v>#N/A</v>
      </c>
      <c r="C571" t="e">
        <f>NA()</f>
        <v>#N/A</v>
      </c>
      <c r="D571" t="e">
        <f>NA()</f>
        <v>#N/A</v>
      </c>
      <c r="E571" t="e">
        <f>NA()</f>
        <v>#N/A</v>
      </c>
      <c r="F571" t="e">
        <f>NA()</f>
        <v>#N/A</v>
      </c>
      <c r="G571" t="e">
        <f>NA()</f>
        <v>#N/A</v>
      </c>
      <c r="H571" t="e">
        <f>NA()</f>
        <v>#N/A</v>
      </c>
      <c r="I571" t="e">
        <f>NA()</f>
        <v>#N/A</v>
      </c>
      <c r="J571" t="e">
        <f>NA()</f>
        <v>#N/A</v>
      </c>
      <c r="K571" t="e">
        <f>NA()</f>
        <v>#N/A</v>
      </c>
      <c r="L571" t="e">
        <f>NA()</f>
        <v>#N/A</v>
      </c>
      <c r="M571" t="e">
        <f>NA()</f>
        <v>#N/A</v>
      </c>
      <c r="N571" t="e">
        <f>NA()</f>
        <v>#N/A</v>
      </c>
      <c r="O571">
        <f t="shared" si="20"/>
        <v>5.3</v>
      </c>
    </row>
    <row r="572" spans="1:15" x14ac:dyDescent="0.25">
      <c r="A572" s="1">
        <v>45160</v>
      </c>
      <c r="B572" t="e">
        <f>NA()</f>
        <v>#N/A</v>
      </c>
      <c r="C572" t="e">
        <f>NA()</f>
        <v>#N/A</v>
      </c>
      <c r="D572" t="e">
        <f>NA()</f>
        <v>#N/A</v>
      </c>
      <c r="E572" t="e">
        <f>NA()</f>
        <v>#N/A</v>
      </c>
      <c r="F572" t="e">
        <f>NA()</f>
        <v>#N/A</v>
      </c>
      <c r="G572" t="e">
        <f>NA()</f>
        <v>#N/A</v>
      </c>
      <c r="H572" t="e">
        <f>NA()</f>
        <v>#N/A</v>
      </c>
      <c r="I572" t="e">
        <f>NA()</f>
        <v>#N/A</v>
      </c>
      <c r="J572" t="e">
        <f>NA()</f>
        <v>#N/A</v>
      </c>
      <c r="K572" t="e">
        <f>NA()</f>
        <v>#N/A</v>
      </c>
      <c r="L572" t="e">
        <f>NA()</f>
        <v>#N/A</v>
      </c>
      <c r="M572" t="e">
        <f>NA()</f>
        <v>#N/A</v>
      </c>
      <c r="N572" t="e">
        <f>NA()</f>
        <v>#N/A</v>
      </c>
      <c r="O572">
        <f t="shared" si="20"/>
        <v>5.3</v>
      </c>
    </row>
    <row r="573" spans="1:15" x14ac:dyDescent="0.25">
      <c r="A573" s="1">
        <v>45159</v>
      </c>
      <c r="B573" t="e">
        <f>NA()</f>
        <v>#N/A</v>
      </c>
      <c r="C573" t="e">
        <f>NA()</f>
        <v>#N/A</v>
      </c>
      <c r="D573" t="e">
        <f>NA()</f>
        <v>#N/A</v>
      </c>
      <c r="E573" t="e">
        <f>NA()</f>
        <v>#N/A</v>
      </c>
      <c r="F573" t="e">
        <f>NA()</f>
        <v>#N/A</v>
      </c>
      <c r="G573" t="e">
        <f>NA()</f>
        <v>#N/A</v>
      </c>
      <c r="H573" t="e">
        <f>NA()</f>
        <v>#N/A</v>
      </c>
      <c r="I573" t="e">
        <f>NA()</f>
        <v>#N/A</v>
      </c>
      <c r="J573" t="e">
        <f>NA()</f>
        <v>#N/A</v>
      </c>
      <c r="K573" t="e">
        <f>NA()</f>
        <v>#N/A</v>
      </c>
      <c r="L573" t="e">
        <f>NA()</f>
        <v>#N/A</v>
      </c>
      <c r="M573" t="e">
        <f>NA()</f>
        <v>#N/A</v>
      </c>
      <c r="N573" t="e">
        <f>NA()</f>
        <v>#N/A</v>
      </c>
      <c r="O573">
        <f t="shared" si="20"/>
        <v>5.3</v>
      </c>
    </row>
    <row r="574" spans="1:15" x14ac:dyDescent="0.25">
      <c r="A574" s="1">
        <v>45156</v>
      </c>
      <c r="B574">
        <f>-0.6</f>
        <v>-0.6</v>
      </c>
      <c r="C574">
        <f>0</f>
        <v>0</v>
      </c>
      <c r="D574" t="e">
        <f>NA()</f>
        <v>#N/A</v>
      </c>
      <c r="E574" t="e">
        <f>NA()</f>
        <v>#N/A</v>
      </c>
      <c r="F574" t="e">
        <f>NA()</f>
        <v>#N/A</v>
      </c>
      <c r="G574" t="e">
        <f>NA()</f>
        <v>#N/A</v>
      </c>
      <c r="H574" t="e">
        <f>NA()</f>
        <v>#N/A</v>
      </c>
      <c r="I574" t="e">
        <f>NA()</f>
        <v>#N/A</v>
      </c>
      <c r="J574" t="e">
        <f>NA()</f>
        <v>#N/A</v>
      </c>
      <c r="K574" t="e">
        <f>NA()</f>
        <v>#N/A</v>
      </c>
      <c r="L574" t="e">
        <f>NA()</f>
        <v>#N/A</v>
      </c>
      <c r="M574" t="e">
        <f>NA()</f>
        <v>#N/A</v>
      </c>
      <c r="N574" t="e">
        <f>NA()</f>
        <v>#N/A</v>
      </c>
      <c r="O574">
        <f t="shared" si="20"/>
        <v>5.3</v>
      </c>
    </row>
    <row r="575" spans="1:15" x14ac:dyDescent="0.25">
      <c r="A575" s="1">
        <v>45155</v>
      </c>
      <c r="B575" t="e">
        <f>NA()</f>
        <v>#N/A</v>
      </c>
      <c r="C575" t="e">
        <f>NA()</f>
        <v>#N/A</v>
      </c>
      <c r="D575" t="e">
        <f>NA()</f>
        <v>#N/A</v>
      </c>
      <c r="E575" t="e">
        <f>NA()</f>
        <v>#N/A</v>
      </c>
      <c r="F575" t="e">
        <f>NA()</f>
        <v>#N/A</v>
      </c>
      <c r="G575" t="e">
        <f>NA()</f>
        <v>#N/A</v>
      </c>
      <c r="H575" t="e">
        <f>NA()</f>
        <v>#N/A</v>
      </c>
      <c r="I575" t="e">
        <f>NA()</f>
        <v>#N/A</v>
      </c>
      <c r="J575" t="e">
        <f>NA()</f>
        <v>#N/A</v>
      </c>
      <c r="K575" t="e">
        <f>NA()</f>
        <v>#N/A</v>
      </c>
      <c r="L575" t="e">
        <f>NA()</f>
        <v>#N/A</v>
      </c>
      <c r="M575" t="e">
        <f>NA()</f>
        <v>#N/A</v>
      </c>
      <c r="N575" t="e">
        <f>NA()</f>
        <v>#N/A</v>
      </c>
      <c r="O575">
        <f t="shared" si="20"/>
        <v>5.3</v>
      </c>
    </row>
    <row r="576" spans="1:15" x14ac:dyDescent="0.25">
      <c r="A576" s="1">
        <v>45154</v>
      </c>
      <c r="B576" t="e">
        <f>NA()</f>
        <v>#N/A</v>
      </c>
      <c r="C576" t="e">
        <f>NA()</f>
        <v>#N/A</v>
      </c>
      <c r="D576" t="e">
        <f>NA()</f>
        <v>#N/A</v>
      </c>
      <c r="E576" t="e">
        <f>NA()</f>
        <v>#N/A</v>
      </c>
      <c r="F576" t="e">
        <f>NA()</f>
        <v>#N/A</v>
      </c>
      <c r="G576" t="e">
        <f>NA()</f>
        <v>#N/A</v>
      </c>
      <c r="H576" t="e">
        <f>NA()</f>
        <v>#N/A</v>
      </c>
      <c r="I576" t="e">
        <f>NA()</f>
        <v>#N/A</v>
      </c>
      <c r="J576" t="e">
        <f>NA()</f>
        <v>#N/A</v>
      </c>
      <c r="K576" t="e">
        <f>NA()</f>
        <v>#N/A</v>
      </c>
      <c r="L576" t="e">
        <f>NA()</f>
        <v>#N/A</v>
      </c>
      <c r="M576" t="e">
        <f>NA()</f>
        <v>#N/A</v>
      </c>
      <c r="N576" t="e">
        <f>NA()</f>
        <v>#N/A</v>
      </c>
      <c r="O576">
        <f t="shared" si="20"/>
        <v>5.3</v>
      </c>
    </row>
    <row r="577" spans="1:15" x14ac:dyDescent="0.25">
      <c r="A577" s="1">
        <v>45153</v>
      </c>
      <c r="B577" t="e">
        <f>NA()</f>
        <v>#N/A</v>
      </c>
      <c r="C577" t="e">
        <f>NA()</f>
        <v>#N/A</v>
      </c>
      <c r="D577" t="e">
        <f>NA()</f>
        <v>#N/A</v>
      </c>
      <c r="E577" t="e">
        <f>NA()</f>
        <v>#N/A</v>
      </c>
      <c r="F577" t="e">
        <f>NA()</f>
        <v>#N/A</v>
      </c>
      <c r="G577" t="e">
        <f>NA()</f>
        <v>#N/A</v>
      </c>
      <c r="H577" t="e">
        <f>NA()</f>
        <v>#N/A</v>
      </c>
      <c r="I577" t="e">
        <f>NA()</f>
        <v>#N/A</v>
      </c>
      <c r="J577" t="e">
        <f>NA()</f>
        <v>#N/A</v>
      </c>
      <c r="K577" t="e">
        <f>NA()</f>
        <v>#N/A</v>
      </c>
      <c r="L577" t="e">
        <f>NA()</f>
        <v>#N/A</v>
      </c>
      <c r="M577" t="e">
        <f>NA()</f>
        <v>#N/A</v>
      </c>
      <c r="N577" t="e">
        <f>NA()</f>
        <v>#N/A</v>
      </c>
      <c r="O577">
        <f t="shared" si="20"/>
        <v>5.3</v>
      </c>
    </row>
    <row r="578" spans="1:15" x14ac:dyDescent="0.25">
      <c r="A578" s="1">
        <v>45152</v>
      </c>
      <c r="B578" t="e">
        <f>NA()</f>
        <v>#N/A</v>
      </c>
      <c r="C578" t="e">
        <f>NA()</f>
        <v>#N/A</v>
      </c>
      <c r="D578" t="e">
        <f>NA()</f>
        <v>#N/A</v>
      </c>
      <c r="E578" t="e">
        <f>NA()</f>
        <v>#N/A</v>
      </c>
      <c r="F578" t="e">
        <f>NA()</f>
        <v>#N/A</v>
      </c>
      <c r="G578" t="e">
        <f>NA()</f>
        <v>#N/A</v>
      </c>
      <c r="H578" t="e">
        <f>NA()</f>
        <v>#N/A</v>
      </c>
      <c r="I578" t="e">
        <f>NA()</f>
        <v>#N/A</v>
      </c>
      <c r="J578" t="e">
        <f>NA()</f>
        <v>#N/A</v>
      </c>
      <c r="K578" t="e">
        <f>NA()</f>
        <v>#N/A</v>
      </c>
      <c r="L578" t="e">
        <f>NA()</f>
        <v>#N/A</v>
      </c>
      <c r="M578" t="e">
        <f>NA()</f>
        <v>#N/A</v>
      </c>
      <c r="N578" t="e">
        <f>NA()</f>
        <v>#N/A</v>
      </c>
      <c r="O578">
        <f t="shared" si="20"/>
        <v>5.3</v>
      </c>
    </row>
    <row r="579" spans="1:15" x14ac:dyDescent="0.25">
      <c r="A579" s="1">
        <v>45149</v>
      </c>
      <c r="B579">
        <f>-0.7</f>
        <v>-0.7</v>
      </c>
      <c r="C579">
        <f>0</f>
        <v>0</v>
      </c>
      <c r="D579" t="e">
        <f>NA()</f>
        <v>#N/A</v>
      </c>
      <c r="E579" t="e">
        <f>NA()</f>
        <v>#N/A</v>
      </c>
      <c r="F579" t="e">
        <f>NA()</f>
        <v>#N/A</v>
      </c>
      <c r="G579" t="e">
        <f>NA()</f>
        <v>#N/A</v>
      </c>
      <c r="H579" t="e">
        <f>NA()</f>
        <v>#N/A</v>
      </c>
      <c r="I579" t="e">
        <f>NA()</f>
        <v>#N/A</v>
      </c>
      <c r="J579" t="e">
        <f>NA()</f>
        <v>#N/A</v>
      </c>
      <c r="K579" t="e">
        <f>NA()</f>
        <v>#N/A</v>
      </c>
      <c r="L579" t="e">
        <f>NA()</f>
        <v>#N/A</v>
      </c>
      <c r="M579" t="e">
        <f>NA()</f>
        <v>#N/A</v>
      </c>
      <c r="N579" t="e">
        <f>NA()</f>
        <v>#N/A</v>
      </c>
      <c r="O579">
        <f t="shared" si="20"/>
        <v>5.3</v>
      </c>
    </row>
    <row r="580" spans="1:15" x14ac:dyDescent="0.25">
      <c r="A580" s="1">
        <v>45148</v>
      </c>
      <c r="B580" t="e">
        <f>NA()</f>
        <v>#N/A</v>
      </c>
      <c r="C580" t="e">
        <f>NA()</f>
        <v>#N/A</v>
      </c>
      <c r="D580" t="e">
        <f>NA()</f>
        <v>#N/A</v>
      </c>
      <c r="E580" t="e">
        <f>NA()</f>
        <v>#N/A</v>
      </c>
      <c r="F580" t="e">
        <f>NA()</f>
        <v>#N/A</v>
      </c>
      <c r="G580" t="e">
        <f>NA()</f>
        <v>#N/A</v>
      </c>
      <c r="H580" t="e">
        <f>NA()</f>
        <v>#N/A</v>
      </c>
      <c r="I580" t="e">
        <f>NA()</f>
        <v>#N/A</v>
      </c>
      <c r="J580" t="e">
        <f>NA()</f>
        <v>#N/A</v>
      </c>
      <c r="K580" t="e">
        <f>NA()</f>
        <v>#N/A</v>
      </c>
      <c r="L580" t="e">
        <f>NA()</f>
        <v>#N/A</v>
      </c>
      <c r="M580" t="e">
        <f>NA()</f>
        <v>#N/A</v>
      </c>
      <c r="N580" t="e">
        <f>NA()</f>
        <v>#N/A</v>
      </c>
      <c r="O580">
        <f t="shared" si="20"/>
        <v>5.3</v>
      </c>
    </row>
    <row r="581" spans="1:15" x14ac:dyDescent="0.25">
      <c r="A581" s="1">
        <v>45147</v>
      </c>
      <c r="B581" t="e">
        <f>NA()</f>
        <v>#N/A</v>
      </c>
      <c r="C581" t="e">
        <f>NA()</f>
        <v>#N/A</v>
      </c>
      <c r="D581" t="e">
        <f>NA()</f>
        <v>#N/A</v>
      </c>
      <c r="E581" t="e">
        <f>NA()</f>
        <v>#N/A</v>
      </c>
      <c r="F581" t="e">
        <f>NA()</f>
        <v>#N/A</v>
      </c>
      <c r="G581" t="e">
        <f>NA()</f>
        <v>#N/A</v>
      </c>
      <c r="H581" t="e">
        <f>NA()</f>
        <v>#N/A</v>
      </c>
      <c r="I581" t="e">
        <f>NA()</f>
        <v>#N/A</v>
      </c>
      <c r="J581" t="e">
        <f>NA()</f>
        <v>#N/A</v>
      </c>
      <c r="K581" t="e">
        <f>NA()</f>
        <v>#N/A</v>
      </c>
      <c r="L581" t="e">
        <f>NA()</f>
        <v>#N/A</v>
      </c>
      <c r="M581" t="e">
        <f>NA()</f>
        <v>#N/A</v>
      </c>
      <c r="N581" t="e">
        <f>NA()</f>
        <v>#N/A</v>
      </c>
      <c r="O581">
        <f t="shared" si="20"/>
        <v>5.3</v>
      </c>
    </row>
    <row r="582" spans="1:15" x14ac:dyDescent="0.25">
      <c r="A582" s="1">
        <v>45146</v>
      </c>
      <c r="B582" t="e">
        <f>NA()</f>
        <v>#N/A</v>
      </c>
      <c r="C582" t="e">
        <f>NA()</f>
        <v>#N/A</v>
      </c>
      <c r="D582" t="e">
        <f>NA()</f>
        <v>#N/A</v>
      </c>
      <c r="E582" t="e">
        <f>NA()</f>
        <v>#N/A</v>
      </c>
      <c r="F582" t="e">
        <f>NA()</f>
        <v>#N/A</v>
      </c>
      <c r="G582" t="e">
        <f>NA()</f>
        <v>#N/A</v>
      </c>
      <c r="H582" t="e">
        <f>NA()</f>
        <v>#N/A</v>
      </c>
      <c r="I582" t="e">
        <f>NA()</f>
        <v>#N/A</v>
      </c>
      <c r="J582" t="e">
        <f>NA()</f>
        <v>#N/A</v>
      </c>
      <c r="K582" t="e">
        <f>NA()</f>
        <v>#N/A</v>
      </c>
      <c r="L582" t="e">
        <f>NA()</f>
        <v>#N/A</v>
      </c>
      <c r="M582" t="e">
        <f>NA()</f>
        <v>#N/A</v>
      </c>
      <c r="N582" t="e">
        <f>NA()</f>
        <v>#N/A</v>
      </c>
      <c r="O582">
        <f t="shared" si="20"/>
        <v>5.3</v>
      </c>
    </row>
    <row r="583" spans="1:15" x14ac:dyDescent="0.25">
      <c r="A583" s="1">
        <v>45145</v>
      </c>
      <c r="B583" t="e">
        <f>NA()</f>
        <v>#N/A</v>
      </c>
      <c r="C583" t="e">
        <f>NA()</f>
        <v>#N/A</v>
      </c>
      <c r="D583" t="e">
        <f>NA()</f>
        <v>#N/A</v>
      </c>
      <c r="E583" t="e">
        <f>NA()</f>
        <v>#N/A</v>
      </c>
      <c r="F583" t="e">
        <f>NA()</f>
        <v>#N/A</v>
      </c>
      <c r="G583" t="e">
        <f>NA()</f>
        <v>#N/A</v>
      </c>
      <c r="H583" t="e">
        <f>NA()</f>
        <v>#N/A</v>
      </c>
      <c r="I583" t="e">
        <f>NA()</f>
        <v>#N/A</v>
      </c>
      <c r="J583" t="e">
        <f>NA()</f>
        <v>#N/A</v>
      </c>
      <c r="K583" t="e">
        <f>NA()</f>
        <v>#N/A</v>
      </c>
      <c r="L583" t="e">
        <f>NA()</f>
        <v>#N/A</v>
      </c>
      <c r="M583" t="e">
        <f>NA()</f>
        <v>#N/A</v>
      </c>
      <c r="N583" t="e">
        <f>NA()</f>
        <v>#N/A</v>
      </c>
      <c r="O583">
        <f t="shared" si="20"/>
        <v>5.3</v>
      </c>
    </row>
    <row r="584" spans="1:15" x14ac:dyDescent="0.25">
      <c r="A584" s="1">
        <v>45142</v>
      </c>
      <c r="B584">
        <f>-0.7</f>
        <v>-0.7</v>
      </c>
      <c r="C584">
        <f>0</f>
        <v>0</v>
      </c>
      <c r="D584" t="e">
        <f>NA()</f>
        <v>#N/A</v>
      </c>
      <c r="E584" t="e">
        <f>NA()</f>
        <v>#N/A</v>
      </c>
      <c r="F584" t="e">
        <f>NA()</f>
        <v>#N/A</v>
      </c>
      <c r="G584" t="e">
        <f>NA()</f>
        <v>#N/A</v>
      </c>
      <c r="H584" t="e">
        <f>NA()</f>
        <v>#N/A</v>
      </c>
      <c r="I584" t="e">
        <f>NA()</f>
        <v>#N/A</v>
      </c>
      <c r="J584" t="e">
        <f>NA()</f>
        <v>#N/A</v>
      </c>
      <c r="K584" t="e">
        <f>NA()</f>
        <v>#N/A</v>
      </c>
      <c r="L584" t="e">
        <f>NA()</f>
        <v>#N/A</v>
      </c>
      <c r="M584" t="e">
        <f>NA()</f>
        <v>#N/A</v>
      </c>
      <c r="N584" t="e">
        <f>NA()</f>
        <v>#N/A</v>
      </c>
      <c r="O584">
        <f t="shared" si="20"/>
        <v>5.3</v>
      </c>
    </row>
    <row r="585" spans="1:15" x14ac:dyDescent="0.25">
      <c r="A585" s="1">
        <v>45141</v>
      </c>
      <c r="B585" t="e">
        <f>NA()</f>
        <v>#N/A</v>
      </c>
      <c r="C585" t="e">
        <f>NA()</f>
        <v>#N/A</v>
      </c>
      <c r="D585" t="e">
        <f>NA()</f>
        <v>#N/A</v>
      </c>
      <c r="E585" t="e">
        <f>NA()</f>
        <v>#N/A</v>
      </c>
      <c r="F585" t="e">
        <f>NA()</f>
        <v>#N/A</v>
      </c>
      <c r="G585" t="e">
        <f>NA()</f>
        <v>#N/A</v>
      </c>
      <c r="H585" t="e">
        <f>NA()</f>
        <v>#N/A</v>
      </c>
      <c r="I585" t="e">
        <f>NA()</f>
        <v>#N/A</v>
      </c>
      <c r="J585" t="e">
        <f>NA()</f>
        <v>#N/A</v>
      </c>
      <c r="K585" t="e">
        <f>NA()</f>
        <v>#N/A</v>
      </c>
      <c r="L585" t="e">
        <f>NA()</f>
        <v>#N/A</v>
      </c>
      <c r="M585" t="e">
        <f>NA()</f>
        <v>#N/A</v>
      </c>
      <c r="N585" t="e">
        <f>NA()</f>
        <v>#N/A</v>
      </c>
      <c r="O585">
        <f t="shared" si="20"/>
        <v>5.3</v>
      </c>
    </row>
    <row r="586" spans="1:15" x14ac:dyDescent="0.25">
      <c r="A586" s="1">
        <v>45140</v>
      </c>
      <c r="B586" t="e">
        <f>NA()</f>
        <v>#N/A</v>
      </c>
      <c r="C586" t="e">
        <f>NA()</f>
        <v>#N/A</v>
      </c>
      <c r="D586" t="e">
        <f>NA()</f>
        <v>#N/A</v>
      </c>
      <c r="E586" t="e">
        <f>NA()</f>
        <v>#N/A</v>
      </c>
      <c r="F586" t="e">
        <f>NA()</f>
        <v>#N/A</v>
      </c>
      <c r="G586" t="e">
        <f>NA()</f>
        <v>#N/A</v>
      </c>
      <c r="H586" t="e">
        <f>NA()</f>
        <v>#N/A</v>
      </c>
      <c r="I586" t="e">
        <f>NA()</f>
        <v>#N/A</v>
      </c>
      <c r="J586" t="e">
        <f>NA()</f>
        <v>#N/A</v>
      </c>
      <c r="K586" t="e">
        <f>NA()</f>
        <v>#N/A</v>
      </c>
      <c r="L586" t="e">
        <f>NA()</f>
        <v>#N/A</v>
      </c>
      <c r="M586" t="e">
        <f>NA()</f>
        <v>#N/A</v>
      </c>
      <c r="N586" t="e">
        <f>NA()</f>
        <v>#N/A</v>
      </c>
      <c r="O586">
        <f t="shared" si="20"/>
        <v>5.3</v>
      </c>
    </row>
    <row r="587" spans="1:15" x14ac:dyDescent="0.25">
      <c r="A587" s="1">
        <v>45139</v>
      </c>
      <c r="B587" t="e">
        <f>NA()</f>
        <v>#N/A</v>
      </c>
      <c r="C587" t="e">
        <f>NA()</f>
        <v>#N/A</v>
      </c>
      <c r="D587" t="e">
        <f>NA()</f>
        <v>#N/A</v>
      </c>
      <c r="E587" t="e">
        <f>NA()</f>
        <v>#N/A</v>
      </c>
      <c r="F587" t="e">
        <f>NA()</f>
        <v>#N/A</v>
      </c>
      <c r="G587" t="e">
        <f>NA()</f>
        <v>#N/A</v>
      </c>
      <c r="H587" t="e">
        <f>NA()</f>
        <v>#N/A</v>
      </c>
      <c r="I587" t="e">
        <f>NA()</f>
        <v>#N/A</v>
      </c>
      <c r="J587" t="e">
        <f>NA()</f>
        <v>#N/A</v>
      </c>
      <c r="K587" t="e">
        <f>NA()</f>
        <v>#N/A</v>
      </c>
      <c r="L587" t="e">
        <f>NA()</f>
        <v>#N/A</v>
      </c>
      <c r="M587" t="e">
        <f>NA()</f>
        <v>#N/A</v>
      </c>
      <c r="N587" t="e">
        <f>NA()</f>
        <v>#N/A</v>
      </c>
      <c r="O587">
        <f t="shared" si="20"/>
        <v>5.3</v>
      </c>
    </row>
    <row r="588" spans="1:15" x14ac:dyDescent="0.25">
      <c r="A588" s="1">
        <v>45138</v>
      </c>
      <c r="B588" t="e">
        <f>NA()</f>
        <v>#N/A</v>
      </c>
      <c r="C588" t="e">
        <f>NA()</f>
        <v>#N/A</v>
      </c>
      <c r="D588">
        <f>0.4</f>
        <v>0.4</v>
      </c>
      <c r="E588">
        <f>1.3</f>
        <v>1.3</v>
      </c>
      <c r="F588">
        <f>8606</f>
        <v>8606</v>
      </c>
      <c r="G588">
        <f>62.6</f>
        <v>62.6</v>
      </c>
      <c r="H588">
        <f>6.3</f>
        <v>6.3</v>
      </c>
      <c r="I588">
        <f>305.7</f>
        <v>305.7</v>
      </c>
      <c r="J588">
        <f>3.2</f>
        <v>3.2</v>
      </c>
      <c r="K588">
        <f>46.7</f>
        <v>46.7</v>
      </c>
      <c r="L588">
        <f>0.7</f>
        <v>0.7</v>
      </c>
      <c r="M588" t="e">
        <f>NA()</f>
        <v>#N/A</v>
      </c>
      <c r="N588">
        <f>3.5</f>
        <v>3.5</v>
      </c>
      <c r="O588">
        <f t="shared" si="20"/>
        <v>5.3</v>
      </c>
    </row>
    <row r="589" spans="1:15" x14ac:dyDescent="0.25">
      <c r="A589" s="1">
        <v>45135</v>
      </c>
      <c r="B589">
        <f>-0.8</f>
        <v>-0.8</v>
      </c>
      <c r="C589">
        <f>0</f>
        <v>0</v>
      </c>
      <c r="D589" t="e">
        <f>NA()</f>
        <v>#N/A</v>
      </c>
      <c r="E589" t="e">
        <f>NA()</f>
        <v>#N/A</v>
      </c>
      <c r="F589" t="e">
        <f>NA()</f>
        <v>#N/A</v>
      </c>
      <c r="G589" t="e">
        <f>NA()</f>
        <v>#N/A</v>
      </c>
      <c r="H589" t="e">
        <f>NA()</f>
        <v>#N/A</v>
      </c>
      <c r="I589" t="e">
        <f>NA()</f>
        <v>#N/A</v>
      </c>
      <c r="J589" t="e">
        <f>NA()</f>
        <v>#N/A</v>
      </c>
      <c r="K589" t="e">
        <f>NA()</f>
        <v>#N/A</v>
      </c>
      <c r="L589" t="e">
        <f>NA()</f>
        <v>#N/A</v>
      </c>
      <c r="M589" t="e">
        <f>NA()</f>
        <v>#N/A</v>
      </c>
      <c r="N589" t="e">
        <f>NA()</f>
        <v>#N/A</v>
      </c>
      <c r="O589">
        <f t="shared" si="20"/>
        <v>5.3</v>
      </c>
    </row>
    <row r="590" spans="1:15" x14ac:dyDescent="0.25">
      <c r="A590" s="1">
        <v>45134</v>
      </c>
      <c r="B590" t="e">
        <f>NA()</f>
        <v>#N/A</v>
      </c>
      <c r="C590" t="e">
        <f>NA()</f>
        <v>#N/A</v>
      </c>
      <c r="D590" t="e">
        <f>NA()</f>
        <v>#N/A</v>
      </c>
      <c r="E590" t="e">
        <f>NA()</f>
        <v>#N/A</v>
      </c>
      <c r="F590" t="e">
        <f>NA()</f>
        <v>#N/A</v>
      </c>
      <c r="G590" t="e">
        <f>NA()</f>
        <v>#N/A</v>
      </c>
      <c r="H590" t="e">
        <f>NA()</f>
        <v>#N/A</v>
      </c>
      <c r="I590" t="e">
        <f>NA()</f>
        <v>#N/A</v>
      </c>
      <c r="J590" t="e">
        <f>NA()</f>
        <v>#N/A</v>
      </c>
      <c r="K590" t="e">
        <f>NA()</f>
        <v>#N/A</v>
      </c>
      <c r="L590" t="e">
        <f>NA()</f>
        <v>#N/A</v>
      </c>
      <c r="M590" t="e">
        <f>NA()</f>
        <v>#N/A</v>
      </c>
      <c r="N590" t="e">
        <f>NA()</f>
        <v>#N/A</v>
      </c>
      <c r="O590">
        <f t="shared" si="20"/>
        <v>5.3</v>
      </c>
    </row>
    <row r="591" spans="1:15" x14ac:dyDescent="0.25">
      <c r="A591" s="1">
        <v>45133</v>
      </c>
      <c r="B591" t="e">
        <f>NA()</f>
        <v>#N/A</v>
      </c>
      <c r="C591" t="e">
        <f>NA()</f>
        <v>#N/A</v>
      </c>
      <c r="D591" t="e">
        <f>NA()</f>
        <v>#N/A</v>
      </c>
      <c r="E591" t="e">
        <f>NA()</f>
        <v>#N/A</v>
      </c>
      <c r="F591" t="e">
        <f>NA()</f>
        <v>#N/A</v>
      </c>
      <c r="G591" t="e">
        <f>NA()</f>
        <v>#N/A</v>
      </c>
      <c r="H591" t="e">
        <f>NA()</f>
        <v>#N/A</v>
      </c>
      <c r="I591" t="e">
        <f>NA()</f>
        <v>#N/A</v>
      </c>
      <c r="J591" t="e">
        <f>NA()</f>
        <v>#N/A</v>
      </c>
      <c r="K591" t="e">
        <f>NA()</f>
        <v>#N/A</v>
      </c>
      <c r="L591" t="e">
        <f>NA()</f>
        <v>#N/A</v>
      </c>
      <c r="M591" t="e">
        <f>NA()</f>
        <v>#N/A</v>
      </c>
      <c r="N591" t="e">
        <f>NA()</f>
        <v>#N/A</v>
      </c>
      <c r="O591">
        <f t="shared" ref="O591:O622" si="21">5.1</f>
        <v>5.0999999999999996</v>
      </c>
    </row>
    <row r="592" spans="1:15" x14ac:dyDescent="0.25">
      <c r="A592" s="1">
        <v>45132</v>
      </c>
      <c r="B592" t="e">
        <f>NA()</f>
        <v>#N/A</v>
      </c>
      <c r="C592" t="e">
        <f>NA()</f>
        <v>#N/A</v>
      </c>
      <c r="D592" t="e">
        <f>NA()</f>
        <v>#N/A</v>
      </c>
      <c r="E592" t="e">
        <f>NA()</f>
        <v>#N/A</v>
      </c>
      <c r="F592" t="e">
        <f>NA()</f>
        <v>#N/A</v>
      </c>
      <c r="G592" t="e">
        <f>NA()</f>
        <v>#N/A</v>
      </c>
      <c r="H592" t="e">
        <f>NA()</f>
        <v>#N/A</v>
      </c>
      <c r="I592" t="e">
        <f>NA()</f>
        <v>#N/A</v>
      </c>
      <c r="J592" t="e">
        <f>NA()</f>
        <v>#N/A</v>
      </c>
      <c r="K592" t="e">
        <f>NA()</f>
        <v>#N/A</v>
      </c>
      <c r="L592" t="e">
        <f>NA()</f>
        <v>#N/A</v>
      </c>
      <c r="M592" t="e">
        <f>NA()</f>
        <v>#N/A</v>
      </c>
      <c r="N592" t="e">
        <f>NA()</f>
        <v>#N/A</v>
      </c>
      <c r="O592">
        <f t="shared" si="21"/>
        <v>5.0999999999999996</v>
      </c>
    </row>
    <row r="593" spans="1:15" x14ac:dyDescent="0.25">
      <c r="A593" s="1">
        <v>45131</v>
      </c>
      <c r="B593" t="e">
        <f>NA()</f>
        <v>#N/A</v>
      </c>
      <c r="C593" t="e">
        <f>NA()</f>
        <v>#N/A</v>
      </c>
      <c r="D593" t="e">
        <f>NA()</f>
        <v>#N/A</v>
      </c>
      <c r="E593" t="e">
        <f>NA()</f>
        <v>#N/A</v>
      </c>
      <c r="F593" t="e">
        <f>NA()</f>
        <v>#N/A</v>
      </c>
      <c r="G593" t="e">
        <f>NA()</f>
        <v>#N/A</v>
      </c>
      <c r="H593" t="e">
        <f>NA()</f>
        <v>#N/A</v>
      </c>
      <c r="I593" t="e">
        <f>NA()</f>
        <v>#N/A</v>
      </c>
      <c r="J593" t="e">
        <f>NA()</f>
        <v>#N/A</v>
      </c>
      <c r="K593" t="e">
        <f>NA()</f>
        <v>#N/A</v>
      </c>
      <c r="L593" t="e">
        <f>NA()</f>
        <v>#N/A</v>
      </c>
      <c r="M593" t="e">
        <f>NA()</f>
        <v>#N/A</v>
      </c>
      <c r="N593" t="e">
        <f>NA()</f>
        <v>#N/A</v>
      </c>
      <c r="O593">
        <f t="shared" si="21"/>
        <v>5.0999999999999996</v>
      </c>
    </row>
    <row r="594" spans="1:15" x14ac:dyDescent="0.25">
      <c r="A594" s="1">
        <v>45128</v>
      </c>
      <c r="B594">
        <f>-0.7</f>
        <v>-0.7</v>
      </c>
      <c r="C594">
        <f>0</f>
        <v>0</v>
      </c>
      <c r="D594" t="e">
        <f>NA()</f>
        <v>#N/A</v>
      </c>
      <c r="E594" t="e">
        <f>NA()</f>
        <v>#N/A</v>
      </c>
      <c r="F594" t="e">
        <f>NA()</f>
        <v>#N/A</v>
      </c>
      <c r="G594" t="e">
        <f>NA()</f>
        <v>#N/A</v>
      </c>
      <c r="H594" t="e">
        <f>NA()</f>
        <v>#N/A</v>
      </c>
      <c r="I594" t="e">
        <f>NA()</f>
        <v>#N/A</v>
      </c>
      <c r="J594" t="e">
        <f>NA()</f>
        <v>#N/A</v>
      </c>
      <c r="K594" t="e">
        <f>NA()</f>
        <v>#N/A</v>
      </c>
      <c r="L594" t="e">
        <f>NA()</f>
        <v>#N/A</v>
      </c>
      <c r="M594" t="e">
        <f>NA()</f>
        <v>#N/A</v>
      </c>
      <c r="N594" t="e">
        <f>NA()</f>
        <v>#N/A</v>
      </c>
      <c r="O594">
        <f t="shared" si="21"/>
        <v>5.0999999999999996</v>
      </c>
    </row>
    <row r="595" spans="1:15" x14ac:dyDescent="0.25">
      <c r="A595" s="1">
        <v>45127</v>
      </c>
      <c r="B595" t="e">
        <f>NA()</f>
        <v>#N/A</v>
      </c>
      <c r="C595" t="e">
        <f>NA()</f>
        <v>#N/A</v>
      </c>
      <c r="D595" t="e">
        <f>NA()</f>
        <v>#N/A</v>
      </c>
      <c r="E595" t="e">
        <f>NA()</f>
        <v>#N/A</v>
      </c>
      <c r="F595" t="e">
        <f>NA()</f>
        <v>#N/A</v>
      </c>
      <c r="G595" t="e">
        <f>NA()</f>
        <v>#N/A</v>
      </c>
      <c r="H595" t="e">
        <f>NA()</f>
        <v>#N/A</v>
      </c>
      <c r="I595" t="e">
        <f>NA()</f>
        <v>#N/A</v>
      </c>
      <c r="J595" t="e">
        <f>NA()</f>
        <v>#N/A</v>
      </c>
      <c r="K595" t="e">
        <f>NA()</f>
        <v>#N/A</v>
      </c>
      <c r="L595" t="e">
        <f>NA()</f>
        <v>#N/A</v>
      </c>
      <c r="M595" t="e">
        <f>NA()</f>
        <v>#N/A</v>
      </c>
      <c r="N595" t="e">
        <f>NA()</f>
        <v>#N/A</v>
      </c>
      <c r="O595">
        <f t="shared" si="21"/>
        <v>5.0999999999999996</v>
      </c>
    </row>
    <row r="596" spans="1:15" x14ac:dyDescent="0.25">
      <c r="A596" s="1">
        <v>45126</v>
      </c>
      <c r="B596" t="e">
        <f>NA()</f>
        <v>#N/A</v>
      </c>
      <c r="C596" t="e">
        <f>NA()</f>
        <v>#N/A</v>
      </c>
      <c r="D596" t="e">
        <f>NA()</f>
        <v>#N/A</v>
      </c>
      <c r="E596" t="e">
        <f>NA()</f>
        <v>#N/A</v>
      </c>
      <c r="F596" t="e">
        <f>NA()</f>
        <v>#N/A</v>
      </c>
      <c r="G596" t="e">
        <f>NA()</f>
        <v>#N/A</v>
      </c>
      <c r="H596" t="e">
        <f>NA()</f>
        <v>#N/A</v>
      </c>
      <c r="I596" t="e">
        <f>NA()</f>
        <v>#N/A</v>
      </c>
      <c r="J596" t="e">
        <f>NA()</f>
        <v>#N/A</v>
      </c>
      <c r="K596" t="e">
        <f>NA()</f>
        <v>#N/A</v>
      </c>
      <c r="L596" t="e">
        <f>NA()</f>
        <v>#N/A</v>
      </c>
      <c r="M596" t="e">
        <f>NA()</f>
        <v>#N/A</v>
      </c>
      <c r="N596" t="e">
        <f>NA()</f>
        <v>#N/A</v>
      </c>
      <c r="O596">
        <f t="shared" si="21"/>
        <v>5.0999999999999996</v>
      </c>
    </row>
    <row r="597" spans="1:15" x14ac:dyDescent="0.25">
      <c r="A597" s="1">
        <v>45125</v>
      </c>
      <c r="B597" t="e">
        <f>NA()</f>
        <v>#N/A</v>
      </c>
      <c r="C597" t="e">
        <f>NA()</f>
        <v>#N/A</v>
      </c>
      <c r="D597" t="e">
        <f>NA()</f>
        <v>#N/A</v>
      </c>
      <c r="E597" t="e">
        <f>NA()</f>
        <v>#N/A</v>
      </c>
      <c r="F597" t="e">
        <f>NA()</f>
        <v>#N/A</v>
      </c>
      <c r="G597" t="e">
        <f>NA()</f>
        <v>#N/A</v>
      </c>
      <c r="H597" t="e">
        <f>NA()</f>
        <v>#N/A</v>
      </c>
      <c r="I597" t="e">
        <f>NA()</f>
        <v>#N/A</v>
      </c>
      <c r="J597" t="e">
        <f>NA()</f>
        <v>#N/A</v>
      </c>
      <c r="K597" t="e">
        <f>NA()</f>
        <v>#N/A</v>
      </c>
      <c r="L597" t="e">
        <f>NA()</f>
        <v>#N/A</v>
      </c>
      <c r="M597" t="e">
        <f>NA()</f>
        <v>#N/A</v>
      </c>
      <c r="N597" t="e">
        <f>NA()</f>
        <v>#N/A</v>
      </c>
      <c r="O597">
        <f t="shared" si="21"/>
        <v>5.0999999999999996</v>
      </c>
    </row>
    <row r="598" spans="1:15" x14ac:dyDescent="0.25">
      <c r="A598" s="1">
        <v>45124</v>
      </c>
      <c r="B598" t="e">
        <f>NA()</f>
        <v>#N/A</v>
      </c>
      <c r="C598" t="e">
        <f>NA()</f>
        <v>#N/A</v>
      </c>
      <c r="D598" t="e">
        <f>NA()</f>
        <v>#N/A</v>
      </c>
      <c r="E598" t="e">
        <f>NA()</f>
        <v>#N/A</v>
      </c>
      <c r="F598" t="e">
        <f>NA()</f>
        <v>#N/A</v>
      </c>
      <c r="G598" t="e">
        <f>NA()</f>
        <v>#N/A</v>
      </c>
      <c r="H598" t="e">
        <f>NA()</f>
        <v>#N/A</v>
      </c>
      <c r="I598" t="e">
        <f>NA()</f>
        <v>#N/A</v>
      </c>
      <c r="J598" t="e">
        <f>NA()</f>
        <v>#N/A</v>
      </c>
      <c r="K598" t="e">
        <f>NA()</f>
        <v>#N/A</v>
      </c>
      <c r="L598" t="e">
        <f>NA()</f>
        <v>#N/A</v>
      </c>
      <c r="M598" t="e">
        <f>NA()</f>
        <v>#N/A</v>
      </c>
      <c r="N598" t="e">
        <f>NA()</f>
        <v>#N/A</v>
      </c>
      <c r="O598">
        <f t="shared" si="21"/>
        <v>5.0999999999999996</v>
      </c>
    </row>
    <row r="599" spans="1:15" x14ac:dyDescent="0.25">
      <c r="A599" s="1">
        <v>45121</v>
      </c>
      <c r="B599">
        <f>-0.7</f>
        <v>-0.7</v>
      </c>
      <c r="C599">
        <f>0</f>
        <v>0</v>
      </c>
      <c r="D599" t="e">
        <f>NA()</f>
        <v>#N/A</v>
      </c>
      <c r="E599" t="e">
        <f>NA()</f>
        <v>#N/A</v>
      </c>
      <c r="F599" t="e">
        <f>NA()</f>
        <v>#N/A</v>
      </c>
      <c r="G599" t="e">
        <f>NA()</f>
        <v>#N/A</v>
      </c>
      <c r="H599" t="e">
        <f>NA()</f>
        <v>#N/A</v>
      </c>
      <c r="I599" t="e">
        <f>NA()</f>
        <v>#N/A</v>
      </c>
      <c r="J599" t="e">
        <f>NA()</f>
        <v>#N/A</v>
      </c>
      <c r="K599" t="e">
        <f>NA()</f>
        <v>#N/A</v>
      </c>
      <c r="L599" t="e">
        <f>NA()</f>
        <v>#N/A</v>
      </c>
      <c r="M599" t="e">
        <f>NA()</f>
        <v>#N/A</v>
      </c>
      <c r="N599" t="e">
        <f>NA()</f>
        <v>#N/A</v>
      </c>
      <c r="O599">
        <f t="shared" si="21"/>
        <v>5.0999999999999996</v>
      </c>
    </row>
    <row r="600" spans="1:15" x14ac:dyDescent="0.25">
      <c r="A600" s="1">
        <v>45120</v>
      </c>
      <c r="B600" t="e">
        <f>NA()</f>
        <v>#N/A</v>
      </c>
      <c r="C600" t="e">
        <f>NA()</f>
        <v>#N/A</v>
      </c>
      <c r="D600" t="e">
        <f>NA()</f>
        <v>#N/A</v>
      </c>
      <c r="E600" t="e">
        <f>NA()</f>
        <v>#N/A</v>
      </c>
      <c r="F600" t="e">
        <f>NA()</f>
        <v>#N/A</v>
      </c>
      <c r="G600" t="e">
        <f>NA()</f>
        <v>#N/A</v>
      </c>
      <c r="H600" t="e">
        <f>NA()</f>
        <v>#N/A</v>
      </c>
      <c r="I600" t="e">
        <f>NA()</f>
        <v>#N/A</v>
      </c>
      <c r="J600" t="e">
        <f>NA()</f>
        <v>#N/A</v>
      </c>
      <c r="K600" t="e">
        <f>NA()</f>
        <v>#N/A</v>
      </c>
      <c r="L600" t="e">
        <f>NA()</f>
        <v>#N/A</v>
      </c>
      <c r="M600" t="e">
        <f>NA()</f>
        <v>#N/A</v>
      </c>
      <c r="N600" t="e">
        <f>NA()</f>
        <v>#N/A</v>
      </c>
      <c r="O600">
        <f t="shared" si="21"/>
        <v>5.0999999999999996</v>
      </c>
    </row>
    <row r="601" spans="1:15" x14ac:dyDescent="0.25">
      <c r="A601" s="1">
        <v>45119</v>
      </c>
      <c r="B601" t="e">
        <f>NA()</f>
        <v>#N/A</v>
      </c>
      <c r="C601" t="e">
        <f>NA()</f>
        <v>#N/A</v>
      </c>
      <c r="D601" t="e">
        <f>NA()</f>
        <v>#N/A</v>
      </c>
      <c r="E601" t="e">
        <f>NA()</f>
        <v>#N/A</v>
      </c>
      <c r="F601" t="e">
        <f>NA()</f>
        <v>#N/A</v>
      </c>
      <c r="G601" t="e">
        <f>NA()</f>
        <v>#N/A</v>
      </c>
      <c r="H601" t="e">
        <f>NA()</f>
        <v>#N/A</v>
      </c>
      <c r="I601" t="e">
        <f>NA()</f>
        <v>#N/A</v>
      </c>
      <c r="J601" t="e">
        <f>NA()</f>
        <v>#N/A</v>
      </c>
      <c r="K601" t="e">
        <f>NA()</f>
        <v>#N/A</v>
      </c>
      <c r="L601" t="e">
        <f>NA()</f>
        <v>#N/A</v>
      </c>
      <c r="M601" t="e">
        <f>NA()</f>
        <v>#N/A</v>
      </c>
      <c r="N601" t="e">
        <f>NA()</f>
        <v>#N/A</v>
      </c>
      <c r="O601">
        <f t="shared" si="21"/>
        <v>5.0999999999999996</v>
      </c>
    </row>
    <row r="602" spans="1:15" x14ac:dyDescent="0.25">
      <c r="A602" s="1">
        <v>45118</v>
      </c>
      <c r="B602" t="e">
        <f>NA()</f>
        <v>#N/A</v>
      </c>
      <c r="C602" t="e">
        <f>NA()</f>
        <v>#N/A</v>
      </c>
      <c r="D602" t="e">
        <f>NA()</f>
        <v>#N/A</v>
      </c>
      <c r="E602" t="e">
        <f>NA()</f>
        <v>#N/A</v>
      </c>
      <c r="F602" t="e">
        <f>NA()</f>
        <v>#N/A</v>
      </c>
      <c r="G602" t="e">
        <f>NA()</f>
        <v>#N/A</v>
      </c>
      <c r="H602" t="e">
        <f>NA()</f>
        <v>#N/A</v>
      </c>
      <c r="I602" t="e">
        <f>NA()</f>
        <v>#N/A</v>
      </c>
      <c r="J602" t="e">
        <f>NA()</f>
        <v>#N/A</v>
      </c>
      <c r="K602" t="e">
        <f>NA()</f>
        <v>#N/A</v>
      </c>
      <c r="L602" t="e">
        <f>NA()</f>
        <v>#N/A</v>
      </c>
      <c r="M602" t="e">
        <f>NA()</f>
        <v>#N/A</v>
      </c>
      <c r="N602" t="e">
        <f>NA()</f>
        <v>#N/A</v>
      </c>
      <c r="O602">
        <f t="shared" si="21"/>
        <v>5.0999999999999996</v>
      </c>
    </row>
    <row r="603" spans="1:15" x14ac:dyDescent="0.25">
      <c r="A603" s="1">
        <v>45117</v>
      </c>
      <c r="B603" t="e">
        <f>NA()</f>
        <v>#N/A</v>
      </c>
      <c r="C603" t="e">
        <f>NA()</f>
        <v>#N/A</v>
      </c>
      <c r="D603" t="e">
        <f>NA()</f>
        <v>#N/A</v>
      </c>
      <c r="E603" t="e">
        <f>NA()</f>
        <v>#N/A</v>
      </c>
      <c r="F603" t="e">
        <f>NA()</f>
        <v>#N/A</v>
      </c>
      <c r="G603" t="e">
        <f>NA()</f>
        <v>#N/A</v>
      </c>
      <c r="H603" t="e">
        <f>NA()</f>
        <v>#N/A</v>
      </c>
      <c r="I603" t="e">
        <f>NA()</f>
        <v>#N/A</v>
      </c>
      <c r="J603" t="e">
        <f>NA()</f>
        <v>#N/A</v>
      </c>
      <c r="K603" t="e">
        <f>NA()</f>
        <v>#N/A</v>
      </c>
      <c r="L603" t="e">
        <f>NA()</f>
        <v>#N/A</v>
      </c>
      <c r="M603" t="e">
        <f>NA()</f>
        <v>#N/A</v>
      </c>
      <c r="N603" t="e">
        <f>NA()</f>
        <v>#N/A</v>
      </c>
      <c r="O603">
        <f t="shared" si="21"/>
        <v>5.0999999999999996</v>
      </c>
    </row>
    <row r="604" spans="1:15" x14ac:dyDescent="0.25">
      <c r="A604" s="1">
        <v>45114</v>
      </c>
      <c r="B604">
        <f>-0.7</f>
        <v>-0.7</v>
      </c>
      <c r="C604">
        <f>0</f>
        <v>0</v>
      </c>
      <c r="D604" t="e">
        <f>NA()</f>
        <v>#N/A</v>
      </c>
      <c r="E604" t="e">
        <f>NA()</f>
        <v>#N/A</v>
      </c>
      <c r="F604" t="e">
        <f>NA()</f>
        <v>#N/A</v>
      </c>
      <c r="G604" t="e">
        <f>NA()</f>
        <v>#N/A</v>
      </c>
      <c r="H604" t="e">
        <f>NA()</f>
        <v>#N/A</v>
      </c>
      <c r="I604" t="e">
        <f>NA()</f>
        <v>#N/A</v>
      </c>
      <c r="J604" t="e">
        <f>NA()</f>
        <v>#N/A</v>
      </c>
      <c r="K604" t="e">
        <f>NA()</f>
        <v>#N/A</v>
      </c>
      <c r="L604" t="e">
        <f>NA()</f>
        <v>#N/A</v>
      </c>
      <c r="M604" t="e">
        <f>NA()</f>
        <v>#N/A</v>
      </c>
      <c r="N604" t="e">
        <f>NA()</f>
        <v>#N/A</v>
      </c>
      <c r="O604">
        <f t="shared" si="21"/>
        <v>5.0999999999999996</v>
      </c>
    </row>
    <row r="605" spans="1:15" x14ac:dyDescent="0.25">
      <c r="A605" s="1">
        <v>45113</v>
      </c>
      <c r="B605" t="e">
        <f>NA()</f>
        <v>#N/A</v>
      </c>
      <c r="C605" t="e">
        <f>NA()</f>
        <v>#N/A</v>
      </c>
      <c r="D605" t="e">
        <f>NA()</f>
        <v>#N/A</v>
      </c>
      <c r="E605" t="e">
        <f>NA()</f>
        <v>#N/A</v>
      </c>
      <c r="F605" t="e">
        <f>NA()</f>
        <v>#N/A</v>
      </c>
      <c r="G605" t="e">
        <f>NA()</f>
        <v>#N/A</v>
      </c>
      <c r="H605" t="e">
        <f>NA()</f>
        <v>#N/A</v>
      </c>
      <c r="I605" t="e">
        <f>NA()</f>
        <v>#N/A</v>
      </c>
      <c r="J605" t="e">
        <f>NA()</f>
        <v>#N/A</v>
      </c>
      <c r="K605" t="e">
        <f>NA()</f>
        <v>#N/A</v>
      </c>
      <c r="L605" t="e">
        <f>NA()</f>
        <v>#N/A</v>
      </c>
      <c r="M605" t="e">
        <f>NA()</f>
        <v>#N/A</v>
      </c>
      <c r="N605" t="e">
        <f>NA()</f>
        <v>#N/A</v>
      </c>
      <c r="O605">
        <f t="shared" si="21"/>
        <v>5.0999999999999996</v>
      </c>
    </row>
    <row r="606" spans="1:15" x14ac:dyDescent="0.25">
      <c r="A606" s="1">
        <v>45112</v>
      </c>
      <c r="B606" t="e">
        <f>NA()</f>
        <v>#N/A</v>
      </c>
      <c r="C606" t="e">
        <f>NA()</f>
        <v>#N/A</v>
      </c>
      <c r="D606" t="e">
        <f>NA()</f>
        <v>#N/A</v>
      </c>
      <c r="E606" t="e">
        <f>NA()</f>
        <v>#N/A</v>
      </c>
      <c r="F606" t="e">
        <f>NA()</f>
        <v>#N/A</v>
      </c>
      <c r="G606" t="e">
        <f>NA()</f>
        <v>#N/A</v>
      </c>
      <c r="H606" t="e">
        <f>NA()</f>
        <v>#N/A</v>
      </c>
      <c r="I606" t="e">
        <f>NA()</f>
        <v>#N/A</v>
      </c>
      <c r="J606" t="e">
        <f>NA()</f>
        <v>#N/A</v>
      </c>
      <c r="K606" t="e">
        <f>NA()</f>
        <v>#N/A</v>
      </c>
      <c r="L606" t="e">
        <f>NA()</f>
        <v>#N/A</v>
      </c>
      <c r="M606" t="e">
        <f>NA()</f>
        <v>#N/A</v>
      </c>
      <c r="N606" t="e">
        <f>NA()</f>
        <v>#N/A</v>
      </c>
      <c r="O606">
        <f t="shared" si="21"/>
        <v>5.0999999999999996</v>
      </c>
    </row>
    <row r="607" spans="1:15" x14ac:dyDescent="0.25">
      <c r="A607" s="1">
        <v>45110</v>
      </c>
      <c r="B607" t="e">
        <f>NA()</f>
        <v>#N/A</v>
      </c>
      <c r="C607" t="e">
        <f>NA()</f>
        <v>#N/A</v>
      </c>
      <c r="D607" t="e">
        <f>NA()</f>
        <v>#N/A</v>
      </c>
      <c r="E607" t="e">
        <f>NA()</f>
        <v>#N/A</v>
      </c>
      <c r="F607" t="e">
        <f>NA()</f>
        <v>#N/A</v>
      </c>
      <c r="G607" t="e">
        <f>NA()</f>
        <v>#N/A</v>
      </c>
      <c r="H607" t="e">
        <f>NA()</f>
        <v>#N/A</v>
      </c>
      <c r="I607" t="e">
        <f>NA()</f>
        <v>#N/A</v>
      </c>
      <c r="J607" t="e">
        <f>NA()</f>
        <v>#N/A</v>
      </c>
      <c r="K607" t="e">
        <f>NA()</f>
        <v>#N/A</v>
      </c>
      <c r="L607" t="e">
        <f>NA()</f>
        <v>#N/A</v>
      </c>
      <c r="M607" t="e">
        <f>NA()</f>
        <v>#N/A</v>
      </c>
      <c r="N607" t="e">
        <f>NA()</f>
        <v>#N/A</v>
      </c>
      <c r="O607">
        <f t="shared" si="21"/>
        <v>5.0999999999999996</v>
      </c>
    </row>
    <row r="608" spans="1:15" x14ac:dyDescent="0.25">
      <c r="A608" s="1">
        <v>45107</v>
      </c>
      <c r="B608">
        <f>-0.7</f>
        <v>-0.7</v>
      </c>
      <c r="C608">
        <f>0</f>
        <v>0</v>
      </c>
      <c r="D608">
        <f>0.5</f>
        <v>0.5</v>
      </c>
      <c r="E608">
        <f>1.6</f>
        <v>1.6</v>
      </c>
      <c r="F608">
        <f>9191</f>
        <v>9191</v>
      </c>
      <c r="G608">
        <f>62.6</f>
        <v>62.6</v>
      </c>
      <c r="H608">
        <f>5.7</f>
        <v>5.7</v>
      </c>
      <c r="I608">
        <f>305.1</f>
        <v>305.10000000000002</v>
      </c>
      <c r="J608">
        <f>3</f>
        <v>3</v>
      </c>
      <c r="K608">
        <f>46.3</f>
        <v>46.3</v>
      </c>
      <c r="L608">
        <f>-0.6</f>
        <v>-0.6</v>
      </c>
      <c r="M608">
        <f>2.5</f>
        <v>2.5</v>
      </c>
      <c r="N608">
        <f>3.6</f>
        <v>3.6</v>
      </c>
      <c r="O608">
        <f t="shared" si="21"/>
        <v>5.0999999999999996</v>
      </c>
    </row>
    <row r="609" spans="1:15" x14ac:dyDescent="0.25">
      <c r="A609" s="1">
        <v>45106</v>
      </c>
      <c r="B609" t="e">
        <f>NA()</f>
        <v>#N/A</v>
      </c>
      <c r="C609" t="e">
        <f>NA()</f>
        <v>#N/A</v>
      </c>
      <c r="D609" t="e">
        <f>NA()</f>
        <v>#N/A</v>
      </c>
      <c r="E609" t="e">
        <f>NA()</f>
        <v>#N/A</v>
      </c>
      <c r="F609" t="e">
        <f>NA()</f>
        <v>#N/A</v>
      </c>
      <c r="G609" t="e">
        <f>NA()</f>
        <v>#N/A</v>
      </c>
      <c r="H609" t="e">
        <f>NA()</f>
        <v>#N/A</v>
      </c>
      <c r="I609" t="e">
        <f>NA()</f>
        <v>#N/A</v>
      </c>
      <c r="J609" t="e">
        <f>NA()</f>
        <v>#N/A</v>
      </c>
      <c r="K609" t="e">
        <f>NA()</f>
        <v>#N/A</v>
      </c>
      <c r="L609" t="e">
        <f>NA()</f>
        <v>#N/A</v>
      </c>
      <c r="M609" t="e">
        <f>NA()</f>
        <v>#N/A</v>
      </c>
      <c r="N609" t="e">
        <f>NA()</f>
        <v>#N/A</v>
      </c>
      <c r="O609">
        <f t="shared" si="21"/>
        <v>5.0999999999999996</v>
      </c>
    </row>
    <row r="610" spans="1:15" x14ac:dyDescent="0.25">
      <c r="A610" s="1">
        <v>45105</v>
      </c>
      <c r="B610" t="e">
        <f>NA()</f>
        <v>#N/A</v>
      </c>
      <c r="C610" t="e">
        <f>NA()</f>
        <v>#N/A</v>
      </c>
      <c r="D610" t="e">
        <f>NA()</f>
        <v>#N/A</v>
      </c>
      <c r="E610" t="e">
        <f>NA()</f>
        <v>#N/A</v>
      </c>
      <c r="F610" t="e">
        <f>NA()</f>
        <v>#N/A</v>
      </c>
      <c r="G610" t="e">
        <f>NA()</f>
        <v>#N/A</v>
      </c>
      <c r="H610" t="e">
        <f>NA()</f>
        <v>#N/A</v>
      </c>
      <c r="I610" t="e">
        <f>NA()</f>
        <v>#N/A</v>
      </c>
      <c r="J610" t="e">
        <f>NA()</f>
        <v>#N/A</v>
      </c>
      <c r="K610" t="e">
        <f>NA()</f>
        <v>#N/A</v>
      </c>
      <c r="L610" t="e">
        <f>NA()</f>
        <v>#N/A</v>
      </c>
      <c r="M610" t="e">
        <f>NA()</f>
        <v>#N/A</v>
      </c>
      <c r="N610" t="e">
        <f>NA()</f>
        <v>#N/A</v>
      </c>
      <c r="O610">
        <f t="shared" si="21"/>
        <v>5.0999999999999996</v>
      </c>
    </row>
    <row r="611" spans="1:15" x14ac:dyDescent="0.25">
      <c r="A611" s="1">
        <v>45104</v>
      </c>
      <c r="B611" t="e">
        <f>NA()</f>
        <v>#N/A</v>
      </c>
      <c r="C611" t="e">
        <f>NA()</f>
        <v>#N/A</v>
      </c>
      <c r="D611" t="e">
        <f>NA()</f>
        <v>#N/A</v>
      </c>
      <c r="E611" t="e">
        <f>NA()</f>
        <v>#N/A</v>
      </c>
      <c r="F611" t="e">
        <f>NA()</f>
        <v>#N/A</v>
      </c>
      <c r="G611" t="e">
        <f>NA()</f>
        <v>#N/A</v>
      </c>
      <c r="H611" t="e">
        <f>NA()</f>
        <v>#N/A</v>
      </c>
      <c r="I611" t="e">
        <f>NA()</f>
        <v>#N/A</v>
      </c>
      <c r="J611" t="e">
        <f>NA()</f>
        <v>#N/A</v>
      </c>
      <c r="K611" t="e">
        <f>NA()</f>
        <v>#N/A</v>
      </c>
      <c r="L611" t="e">
        <f>NA()</f>
        <v>#N/A</v>
      </c>
      <c r="M611" t="e">
        <f>NA()</f>
        <v>#N/A</v>
      </c>
      <c r="N611" t="e">
        <f>NA()</f>
        <v>#N/A</v>
      </c>
      <c r="O611">
        <f t="shared" si="21"/>
        <v>5.0999999999999996</v>
      </c>
    </row>
    <row r="612" spans="1:15" x14ac:dyDescent="0.25">
      <c r="A612" s="1">
        <v>45103</v>
      </c>
      <c r="B612" t="e">
        <f>NA()</f>
        <v>#N/A</v>
      </c>
      <c r="C612" t="e">
        <f>NA()</f>
        <v>#N/A</v>
      </c>
      <c r="D612" t="e">
        <f>NA()</f>
        <v>#N/A</v>
      </c>
      <c r="E612" t="e">
        <f>NA()</f>
        <v>#N/A</v>
      </c>
      <c r="F612" t="e">
        <f>NA()</f>
        <v>#N/A</v>
      </c>
      <c r="G612" t="e">
        <f>NA()</f>
        <v>#N/A</v>
      </c>
      <c r="H612" t="e">
        <f>NA()</f>
        <v>#N/A</v>
      </c>
      <c r="I612" t="e">
        <f>NA()</f>
        <v>#N/A</v>
      </c>
      <c r="J612" t="e">
        <f>NA()</f>
        <v>#N/A</v>
      </c>
      <c r="K612" t="e">
        <f>NA()</f>
        <v>#N/A</v>
      </c>
      <c r="L612" t="e">
        <f>NA()</f>
        <v>#N/A</v>
      </c>
      <c r="M612" t="e">
        <f>NA()</f>
        <v>#N/A</v>
      </c>
      <c r="N612" t="e">
        <f>NA()</f>
        <v>#N/A</v>
      </c>
      <c r="O612">
        <f t="shared" si="21"/>
        <v>5.0999999999999996</v>
      </c>
    </row>
    <row r="613" spans="1:15" x14ac:dyDescent="0.25">
      <c r="A613" s="1">
        <v>45100</v>
      </c>
      <c r="B613">
        <f>-0.6</f>
        <v>-0.6</v>
      </c>
      <c r="C613">
        <f>0</f>
        <v>0</v>
      </c>
      <c r="D613" t="e">
        <f>NA()</f>
        <v>#N/A</v>
      </c>
      <c r="E613" t="e">
        <f>NA()</f>
        <v>#N/A</v>
      </c>
      <c r="F613" t="e">
        <f>NA()</f>
        <v>#N/A</v>
      </c>
      <c r="G613" t="e">
        <f>NA()</f>
        <v>#N/A</v>
      </c>
      <c r="H613" t="e">
        <f>NA()</f>
        <v>#N/A</v>
      </c>
      <c r="I613" t="e">
        <f>NA()</f>
        <v>#N/A</v>
      </c>
      <c r="J613" t="e">
        <f>NA()</f>
        <v>#N/A</v>
      </c>
      <c r="K613" t="e">
        <f>NA()</f>
        <v>#N/A</v>
      </c>
      <c r="L613" t="e">
        <f>NA()</f>
        <v>#N/A</v>
      </c>
      <c r="M613" t="e">
        <f>NA()</f>
        <v>#N/A</v>
      </c>
      <c r="N613" t="e">
        <f>NA()</f>
        <v>#N/A</v>
      </c>
      <c r="O613">
        <f t="shared" si="21"/>
        <v>5.0999999999999996</v>
      </c>
    </row>
    <row r="614" spans="1:15" x14ac:dyDescent="0.25">
      <c r="A614" s="1">
        <v>45099</v>
      </c>
      <c r="B614" t="e">
        <f>NA()</f>
        <v>#N/A</v>
      </c>
      <c r="C614" t="e">
        <f>NA()</f>
        <v>#N/A</v>
      </c>
      <c r="D614" t="e">
        <f>NA()</f>
        <v>#N/A</v>
      </c>
      <c r="E614" t="e">
        <f>NA()</f>
        <v>#N/A</v>
      </c>
      <c r="F614" t="e">
        <f>NA()</f>
        <v>#N/A</v>
      </c>
      <c r="G614" t="e">
        <f>NA()</f>
        <v>#N/A</v>
      </c>
      <c r="H614" t="e">
        <f>NA()</f>
        <v>#N/A</v>
      </c>
      <c r="I614" t="e">
        <f>NA()</f>
        <v>#N/A</v>
      </c>
      <c r="J614" t="e">
        <f>NA()</f>
        <v>#N/A</v>
      </c>
      <c r="K614" t="e">
        <f>NA()</f>
        <v>#N/A</v>
      </c>
      <c r="L614" t="e">
        <f>NA()</f>
        <v>#N/A</v>
      </c>
      <c r="M614" t="e">
        <f>NA()</f>
        <v>#N/A</v>
      </c>
      <c r="N614" t="e">
        <f>NA()</f>
        <v>#N/A</v>
      </c>
      <c r="O614">
        <f t="shared" si="21"/>
        <v>5.0999999999999996</v>
      </c>
    </row>
    <row r="615" spans="1:15" x14ac:dyDescent="0.25">
      <c r="A615" s="1">
        <v>45098</v>
      </c>
      <c r="B615" t="e">
        <f>NA()</f>
        <v>#N/A</v>
      </c>
      <c r="C615" t="e">
        <f>NA()</f>
        <v>#N/A</v>
      </c>
      <c r="D615" t="e">
        <f>NA()</f>
        <v>#N/A</v>
      </c>
      <c r="E615" t="e">
        <f>NA()</f>
        <v>#N/A</v>
      </c>
      <c r="F615" t="e">
        <f>NA()</f>
        <v>#N/A</v>
      </c>
      <c r="G615" t="e">
        <f>NA()</f>
        <v>#N/A</v>
      </c>
      <c r="H615" t="e">
        <f>NA()</f>
        <v>#N/A</v>
      </c>
      <c r="I615" t="e">
        <f>NA()</f>
        <v>#N/A</v>
      </c>
      <c r="J615" t="e">
        <f>NA()</f>
        <v>#N/A</v>
      </c>
      <c r="K615" t="e">
        <f>NA()</f>
        <v>#N/A</v>
      </c>
      <c r="L615" t="e">
        <f>NA()</f>
        <v>#N/A</v>
      </c>
      <c r="M615" t="e">
        <f>NA()</f>
        <v>#N/A</v>
      </c>
      <c r="N615" t="e">
        <f>NA()</f>
        <v>#N/A</v>
      </c>
      <c r="O615">
        <f t="shared" si="21"/>
        <v>5.0999999999999996</v>
      </c>
    </row>
    <row r="616" spans="1:15" x14ac:dyDescent="0.25">
      <c r="A616" s="1">
        <v>45097</v>
      </c>
      <c r="B616" t="e">
        <f>NA()</f>
        <v>#N/A</v>
      </c>
      <c r="C616" t="e">
        <f>NA()</f>
        <v>#N/A</v>
      </c>
      <c r="D616" t="e">
        <f>NA()</f>
        <v>#N/A</v>
      </c>
      <c r="E616" t="e">
        <f>NA()</f>
        <v>#N/A</v>
      </c>
      <c r="F616" t="e">
        <f>NA()</f>
        <v>#N/A</v>
      </c>
      <c r="G616" t="e">
        <f>NA()</f>
        <v>#N/A</v>
      </c>
      <c r="H616" t="e">
        <f>NA()</f>
        <v>#N/A</v>
      </c>
      <c r="I616" t="e">
        <f>NA()</f>
        <v>#N/A</v>
      </c>
      <c r="J616" t="e">
        <f>NA()</f>
        <v>#N/A</v>
      </c>
      <c r="K616" t="e">
        <f>NA()</f>
        <v>#N/A</v>
      </c>
      <c r="L616" t="e">
        <f>NA()</f>
        <v>#N/A</v>
      </c>
      <c r="M616" t="e">
        <f>NA()</f>
        <v>#N/A</v>
      </c>
      <c r="N616" t="e">
        <f>NA()</f>
        <v>#N/A</v>
      </c>
      <c r="O616">
        <f t="shared" si="21"/>
        <v>5.0999999999999996</v>
      </c>
    </row>
    <row r="617" spans="1:15" x14ac:dyDescent="0.25">
      <c r="A617" s="1">
        <v>45093</v>
      </c>
      <c r="B617">
        <f>-0.6</f>
        <v>-0.6</v>
      </c>
      <c r="C617">
        <f>0</f>
        <v>0</v>
      </c>
      <c r="D617" t="e">
        <f>NA()</f>
        <v>#N/A</v>
      </c>
      <c r="E617" t="e">
        <f>NA()</f>
        <v>#N/A</v>
      </c>
      <c r="F617" t="e">
        <f>NA()</f>
        <v>#N/A</v>
      </c>
      <c r="G617" t="e">
        <f>NA()</f>
        <v>#N/A</v>
      </c>
      <c r="H617" t="e">
        <f>NA()</f>
        <v>#N/A</v>
      </c>
      <c r="I617" t="e">
        <f>NA()</f>
        <v>#N/A</v>
      </c>
      <c r="J617" t="e">
        <f>NA()</f>
        <v>#N/A</v>
      </c>
      <c r="K617" t="e">
        <f>NA()</f>
        <v>#N/A</v>
      </c>
      <c r="L617" t="e">
        <f>NA()</f>
        <v>#N/A</v>
      </c>
      <c r="M617" t="e">
        <f>NA()</f>
        <v>#N/A</v>
      </c>
      <c r="N617" t="e">
        <f>NA()</f>
        <v>#N/A</v>
      </c>
      <c r="O617">
        <f t="shared" si="21"/>
        <v>5.0999999999999996</v>
      </c>
    </row>
    <row r="618" spans="1:15" x14ac:dyDescent="0.25">
      <c r="A618" s="1">
        <v>45092</v>
      </c>
      <c r="B618" t="e">
        <f>NA()</f>
        <v>#N/A</v>
      </c>
      <c r="C618" t="e">
        <f>NA()</f>
        <v>#N/A</v>
      </c>
      <c r="D618" t="e">
        <f>NA()</f>
        <v>#N/A</v>
      </c>
      <c r="E618" t="e">
        <f>NA()</f>
        <v>#N/A</v>
      </c>
      <c r="F618" t="e">
        <f>NA()</f>
        <v>#N/A</v>
      </c>
      <c r="G618" t="e">
        <f>NA()</f>
        <v>#N/A</v>
      </c>
      <c r="H618" t="e">
        <f>NA()</f>
        <v>#N/A</v>
      </c>
      <c r="I618" t="e">
        <f>NA()</f>
        <v>#N/A</v>
      </c>
      <c r="J618" t="e">
        <f>NA()</f>
        <v>#N/A</v>
      </c>
      <c r="K618" t="e">
        <f>NA()</f>
        <v>#N/A</v>
      </c>
      <c r="L618" t="e">
        <f>NA()</f>
        <v>#N/A</v>
      </c>
      <c r="M618" t="e">
        <f>NA()</f>
        <v>#N/A</v>
      </c>
      <c r="N618" t="e">
        <f>NA()</f>
        <v>#N/A</v>
      </c>
      <c r="O618">
        <f t="shared" si="21"/>
        <v>5.0999999999999996</v>
      </c>
    </row>
    <row r="619" spans="1:15" x14ac:dyDescent="0.25">
      <c r="A619" s="1">
        <v>45091</v>
      </c>
      <c r="B619" t="e">
        <f>NA()</f>
        <v>#N/A</v>
      </c>
      <c r="C619" t="e">
        <f>NA()</f>
        <v>#N/A</v>
      </c>
      <c r="D619" t="e">
        <f>NA()</f>
        <v>#N/A</v>
      </c>
      <c r="E619" t="e">
        <f>NA()</f>
        <v>#N/A</v>
      </c>
      <c r="F619" t="e">
        <f>NA()</f>
        <v>#N/A</v>
      </c>
      <c r="G619" t="e">
        <f>NA()</f>
        <v>#N/A</v>
      </c>
      <c r="H619" t="e">
        <f>NA()</f>
        <v>#N/A</v>
      </c>
      <c r="I619" t="e">
        <f>NA()</f>
        <v>#N/A</v>
      </c>
      <c r="J619" t="e">
        <f>NA()</f>
        <v>#N/A</v>
      </c>
      <c r="K619" t="e">
        <f>NA()</f>
        <v>#N/A</v>
      </c>
      <c r="L619" t="e">
        <f>NA()</f>
        <v>#N/A</v>
      </c>
      <c r="M619" t="e">
        <f>NA()</f>
        <v>#N/A</v>
      </c>
      <c r="N619" t="e">
        <f>NA()</f>
        <v>#N/A</v>
      </c>
      <c r="O619">
        <f t="shared" si="21"/>
        <v>5.0999999999999996</v>
      </c>
    </row>
    <row r="620" spans="1:15" x14ac:dyDescent="0.25">
      <c r="A620" s="1">
        <v>45090</v>
      </c>
      <c r="B620" t="e">
        <f>NA()</f>
        <v>#N/A</v>
      </c>
      <c r="C620" t="e">
        <f>NA()</f>
        <v>#N/A</v>
      </c>
      <c r="D620" t="e">
        <f>NA()</f>
        <v>#N/A</v>
      </c>
      <c r="E620" t="e">
        <f>NA()</f>
        <v>#N/A</v>
      </c>
      <c r="F620" t="e">
        <f>NA()</f>
        <v>#N/A</v>
      </c>
      <c r="G620" t="e">
        <f>NA()</f>
        <v>#N/A</v>
      </c>
      <c r="H620" t="e">
        <f>NA()</f>
        <v>#N/A</v>
      </c>
      <c r="I620" t="e">
        <f>NA()</f>
        <v>#N/A</v>
      </c>
      <c r="J620" t="e">
        <f>NA()</f>
        <v>#N/A</v>
      </c>
      <c r="K620" t="e">
        <f>NA()</f>
        <v>#N/A</v>
      </c>
      <c r="L620" t="e">
        <f>NA()</f>
        <v>#N/A</v>
      </c>
      <c r="M620" t="e">
        <f>NA()</f>
        <v>#N/A</v>
      </c>
      <c r="N620" t="e">
        <f>NA()</f>
        <v>#N/A</v>
      </c>
      <c r="O620">
        <f t="shared" si="21"/>
        <v>5.0999999999999996</v>
      </c>
    </row>
    <row r="621" spans="1:15" x14ac:dyDescent="0.25">
      <c r="A621" s="1">
        <v>45089</v>
      </c>
      <c r="B621" t="e">
        <f>NA()</f>
        <v>#N/A</v>
      </c>
      <c r="C621" t="e">
        <f>NA()</f>
        <v>#N/A</v>
      </c>
      <c r="D621" t="e">
        <f>NA()</f>
        <v>#N/A</v>
      </c>
      <c r="E621" t="e">
        <f>NA()</f>
        <v>#N/A</v>
      </c>
      <c r="F621" t="e">
        <f>NA()</f>
        <v>#N/A</v>
      </c>
      <c r="G621" t="e">
        <f>NA()</f>
        <v>#N/A</v>
      </c>
      <c r="H621" t="e">
        <f>NA()</f>
        <v>#N/A</v>
      </c>
      <c r="I621" t="e">
        <f>NA()</f>
        <v>#N/A</v>
      </c>
      <c r="J621" t="e">
        <f>NA()</f>
        <v>#N/A</v>
      </c>
      <c r="K621" t="e">
        <f>NA()</f>
        <v>#N/A</v>
      </c>
      <c r="L621" t="e">
        <f>NA()</f>
        <v>#N/A</v>
      </c>
      <c r="M621" t="e">
        <f>NA()</f>
        <v>#N/A</v>
      </c>
      <c r="N621" t="e">
        <f>NA()</f>
        <v>#N/A</v>
      </c>
      <c r="O621">
        <f t="shared" si="21"/>
        <v>5.0999999999999996</v>
      </c>
    </row>
    <row r="622" spans="1:15" x14ac:dyDescent="0.25">
      <c r="A622" s="1">
        <v>45086</v>
      </c>
      <c r="B622">
        <f>-0.7</f>
        <v>-0.7</v>
      </c>
      <c r="C622">
        <f>0</f>
        <v>0</v>
      </c>
      <c r="D622" t="e">
        <f>NA()</f>
        <v>#N/A</v>
      </c>
      <c r="E622" t="e">
        <f>NA()</f>
        <v>#N/A</v>
      </c>
      <c r="F622" t="e">
        <f>NA()</f>
        <v>#N/A</v>
      </c>
      <c r="G622" t="e">
        <f>NA()</f>
        <v>#N/A</v>
      </c>
      <c r="H622" t="e">
        <f>NA()</f>
        <v>#N/A</v>
      </c>
      <c r="I622" t="e">
        <f>NA()</f>
        <v>#N/A</v>
      </c>
      <c r="J622" t="e">
        <f>NA()</f>
        <v>#N/A</v>
      </c>
      <c r="K622" t="e">
        <f>NA()</f>
        <v>#N/A</v>
      </c>
      <c r="L622" t="e">
        <f>NA()</f>
        <v>#N/A</v>
      </c>
      <c r="M622" t="e">
        <f>NA()</f>
        <v>#N/A</v>
      </c>
      <c r="N622" t="e">
        <f>NA()</f>
        <v>#N/A</v>
      </c>
      <c r="O622">
        <f t="shared" si="21"/>
        <v>5.0999999999999996</v>
      </c>
    </row>
    <row r="623" spans="1:15" x14ac:dyDescent="0.25">
      <c r="A623" s="1">
        <v>45085</v>
      </c>
      <c r="B623" t="e">
        <f>NA()</f>
        <v>#N/A</v>
      </c>
      <c r="C623" t="e">
        <f>NA()</f>
        <v>#N/A</v>
      </c>
      <c r="D623" t="e">
        <f>NA()</f>
        <v>#N/A</v>
      </c>
      <c r="E623" t="e">
        <f>NA()</f>
        <v>#N/A</v>
      </c>
      <c r="F623" t="e">
        <f>NA()</f>
        <v>#N/A</v>
      </c>
      <c r="G623" t="e">
        <f>NA()</f>
        <v>#N/A</v>
      </c>
      <c r="H623" t="e">
        <f>NA()</f>
        <v>#N/A</v>
      </c>
      <c r="I623" t="e">
        <f>NA()</f>
        <v>#N/A</v>
      </c>
      <c r="J623" t="e">
        <f>NA()</f>
        <v>#N/A</v>
      </c>
      <c r="K623" t="e">
        <f>NA()</f>
        <v>#N/A</v>
      </c>
      <c r="L623" t="e">
        <f>NA()</f>
        <v>#N/A</v>
      </c>
      <c r="M623" t="e">
        <f>NA()</f>
        <v>#N/A</v>
      </c>
      <c r="N623" t="e">
        <f>NA()</f>
        <v>#N/A</v>
      </c>
      <c r="O623">
        <f t="shared" ref="O623:O647" si="22">5.1</f>
        <v>5.0999999999999996</v>
      </c>
    </row>
    <row r="624" spans="1:15" x14ac:dyDescent="0.25">
      <c r="A624" s="1">
        <v>45084</v>
      </c>
      <c r="B624" t="e">
        <f>NA()</f>
        <v>#N/A</v>
      </c>
      <c r="C624" t="e">
        <f>NA()</f>
        <v>#N/A</v>
      </c>
      <c r="D624" t="e">
        <f>NA()</f>
        <v>#N/A</v>
      </c>
      <c r="E624" t="e">
        <f>NA()</f>
        <v>#N/A</v>
      </c>
      <c r="F624" t="e">
        <f>NA()</f>
        <v>#N/A</v>
      </c>
      <c r="G624" t="e">
        <f>NA()</f>
        <v>#N/A</v>
      </c>
      <c r="H624" t="e">
        <f>NA()</f>
        <v>#N/A</v>
      </c>
      <c r="I624" t="e">
        <f>NA()</f>
        <v>#N/A</v>
      </c>
      <c r="J624" t="e">
        <f>NA()</f>
        <v>#N/A</v>
      </c>
      <c r="K624" t="e">
        <f>NA()</f>
        <v>#N/A</v>
      </c>
      <c r="L624" t="e">
        <f>NA()</f>
        <v>#N/A</v>
      </c>
      <c r="M624" t="e">
        <f>NA()</f>
        <v>#N/A</v>
      </c>
      <c r="N624" t="e">
        <f>NA()</f>
        <v>#N/A</v>
      </c>
      <c r="O624">
        <f t="shared" si="22"/>
        <v>5.0999999999999996</v>
      </c>
    </row>
    <row r="625" spans="1:15" x14ac:dyDescent="0.25">
      <c r="A625" s="1">
        <v>45083</v>
      </c>
      <c r="B625" t="e">
        <f>NA()</f>
        <v>#N/A</v>
      </c>
      <c r="C625" t="e">
        <f>NA()</f>
        <v>#N/A</v>
      </c>
      <c r="D625" t="e">
        <f>NA()</f>
        <v>#N/A</v>
      </c>
      <c r="E625" t="e">
        <f>NA()</f>
        <v>#N/A</v>
      </c>
      <c r="F625" t="e">
        <f>NA()</f>
        <v>#N/A</v>
      </c>
      <c r="G625" t="e">
        <f>NA()</f>
        <v>#N/A</v>
      </c>
      <c r="H625" t="e">
        <f>NA()</f>
        <v>#N/A</v>
      </c>
      <c r="I625" t="e">
        <f>NA()</f>
        <v>#N/A</v>
      </c>
      <c r="J625" t="e">
        <f>NA()</f>
        <v>#N/A</v>
      </c>
      <c r="K625" t="e">
        <f>NA()</f>
        <v>#N/A</v>
      </c>
      <c r="L625" t="e">
        <f>NA()</f>
        <v>#N/A</v>
      </c>
      <c r="M625" t="e">
        <f>NA()</f>
        <v>#N/A</v>
      </c>
      <c r="N625" t="e">
        <f>NA()</f>
        <v>#N/A</v>
      </c>
      <c r="O625">
        <f t="shared" si="22"/>
        <v>5.0999999999999996</v>
      </c>
    </row>
    <row r="626" spans="1:15" x14ac:dyDescent="0.25">
      <c r="A626" s="1">
        <v>45082</v>
      </c>
      <c r="B626" t="e">
        <f>NA()</f>
        <v>#N/A</v>
      </c>
      <c r="C626" t="e">
        <f>NA()</f>
        <v>#N/A</v>
      </c>
      <c r="D626" t="e">
        <f>NA()</f>
        <v>#N/A</v>
      </c>
      <c r="E626" t="e">
        <f>NA()</f>
        <v>#N/A</v>
      </c>
      <c r="F626" t="e">
        <f>NA()</f>
        <v>#N/A</v>
      </c>
      <c r="G626" t="e">
        <f>NA()</f>
        <v>#N/A</v>
      </c>
      <c r="H626" t="e">
        <f>NA()</f>
        <v>#N/A</v>
      </c>
      <c r="I626" t="e">
        <f>NA()</f>
        <v>#N/A</v>
      </c>
      <c r="J626" t="e">
        <f>NA()</f>
        <v>#N/A</v>
      </c>
      <c r="K626" t="e">
        <f>NA()</f>
        <v>#N/A</v>
      </c>
      <c r="L626" t="e">
        <f>NA()</f>
        <v>#N/A</v>
      </c>
      <c r="M626" t="e">
        <f>NA()</f>
        <v>#N/A</v>
      </c>
      <c r="N626" t="e">
        <f>NA()</f>
        <v>#N/A</v>
      </c>
      <c r="O626">
        <f t="shared" si="22"/>
        <v>5.0999999999999996</v>
      </c>
    </row>
    <row r="627" spans="1:15" x14ac:dyDescent="0.25">
      <c r="A627" s="1">
        <v>45079</v>
      </c>
      <c r="B627">
        <f>-0.5</f>
        <v>-0.5</v>
      </c>
      <c r="C627">
        <f>0</f>
        <v>0</v>
      </c>
      <c r="D627" t="e">
        <f>NA()</f>
        <v>#N/A</v>
      </c>
      <c r="E627" t="e">
        <f>NA()</f>
        <v>#N/A</v>
      </c>
      <c r="F627" t="e">
        <f>NA()</f>
        <v>#N/A</v>
      </c>
      <c r="G627" t="e">
        <f>NA()</f>
        <v>#N/A</v>
      </c>
      <c r="H627" t="e">
        <f>NA()</f>
        <v>#N/A</v>
      </c>
      <c r="I627" t="e">
        <f>NA()</f>
        <v>#N/A</v>
      </c>
      <c r="J627" t="e">
        <f>NA()</f>
        <v>#N/A</v>
      </c>
      <c r="K627" t="e">
        <f>NA()</f>
        <v>#N/A</v>
      </c>
      <c r="L627" t="e">
        <f>NA()</f>
        <v>#N/A</v>
      </c>
      <c r="M627" t="e">
        <f>NA()</f>
        <v>#N/A</v>
      </c>
      <c r="N627" t="e">
        <f>NA()</f>
        <v>#N/A</v>
      </c>
      <c r="O627">
        <f t="shared" si="22"/>
        <v>5.0999999999999996</v>
      </c>
    </row>
    <row r="628" spans="1:15" x14ac:dyDescent="0.25">
      <c r="A628" s="1">
        <v>45078</v>
      </c>
      <c r="B628" t="e">
        <f>NA()</f>
        <v>#N/A</v>
      </c>
      <c r="C628" t="e">
        <f>NA()</f>
        <v>#N/A</v>
      </c>
      <c r="D628" t="e">
        <f>NA()</f>
        <v>#N/A</v>
      </c>
      <c r="E628" t="e">
        <f>NA()</f>
        <v>#N/A</v>
      </c>
      <c r="F628" t="e">
        <f>NA()</f>
        <v>#N/A</v>
      </c>
      <c r="G628" t="e">
        <f>NA()</f>
        <v>#N/A</v>
      </c>
      <c r="H628" t="e">
        <f>NA()</f>
        <v>#N/A</v>
      </c>
      <c r="I628" t="e">
        <f>NA()</f>
        <v>#N/A</v>
      </c>
      <c r="J628" t="e">
        <f>NA()</f>
        <v>#N/A</v>
      </c>
      <c r="K628" t="e">
        <f>NA()</f>
        <v>#N/A</v>
      </c>
      <c r="L628" t="e">
        <f>NA()</f>
        <v>#N/A</v>
      </c>
      <c r="M628" t="e">
        <f>NA()</f>
        <v>#N/A</v>
      </c>
      <c r="N628" t="e">
        <f>NA()</f>
        <v>#N/A</v>
      </c>
      <c r="O628">
        <f t="shared" si="22"/>
        <v>5.0999999999999996</v>
      </c>
    </row>
    <row r="629" spans="1:15" x14ac:dyDescent="0.25">
      <c r="A629" s="1">
        <v>45077</v>
      </c>
      <c r="B629" t="e">
        <f>NA()</f>
        <v>#N/A</v>
      </c>
      <c r="C629" t="e">
        <f>NA()</f>
        <v>#N/A</v>
      </c>
      <c r="D629">
        <f>0.3</f>
        <v>0.3</v>
      </c>
      <c r="E629">
        <f>0.3</f>
        <v>0.3</v>
      </c>
      <c r="F629">
        <f>9310</f>
        <v>9310</v>
      </c>
      <c r="G629">
        <f>62.6</f>
        <v>62.6</v>
      </c>
      <c r="H629">
        <f>6.2</f>
        <v>6.2</v>
      </c>
      <c r="I629">
        <f>304.1</f>
        <v>304.10000000000002</v>
      </c>
      <c r="J629">
        <f>4</f>
        <v>4</v>
      </c>
      <c r="K629">
        <f>46.4</f>
        <v>46.4</v>
      </c>
      <c r="L629">
        <f>-0.2</f>
        <v>-0.2</v>
      </c>
      <c r="M629" t="e">
        <f>NA()</f>
        <v>#N/A</v>
      </c>
      <c r="N629">
        <f>3.6</f>
        <v>3.6</v>
      </c>
      <c r="O629">
        <f t="shared" si="22"/>
        <v>5.0999999999999996</v>
      </c>
    </row>
    <row r="630" spans="1:15" x14ac:dyDescent="0.25">
      <c r="A630" s="1">
        <v>45076</v>
      </c>
      <c r="B630" t="e">
        <f>NA()</f>
        <v>#N/A</v>
      </c>
      <c r="C630" t="e">
        <f>NA()</f>
        <v>#N/A</v>
      </c>
      <c r="D630" t="e">
        <f>NA()</f>
        <v>#N/A</v>
      </c>
      <c r="E630" t="e">
        <f>NA()</f>
        <v>#N/A</v>
      </c>
      <c r="F630" t="e">
        <f>NA()</f>
        <v>#N/A</v>
      </c>
      <c r="G630" t="e">
        <f>NA()</f>
        <v>#N/A</v>
      </c>
      <c r="H630" t="e">
        <f>NA()</f>
        <v>#N/A</v>
      </c>
      <c r="I630" t="e">
        <f>NA()</f>
        <v>#N/A</v>
      </c>
      <c r="J630" t="e">
        <f>NA()</f>
        <v>#N/A</v>
      </c>
      <c r="K630" t="e">
        <f>NA()</f>
        <v>#N/A</v>
      </c>
      <c r="L630" t="e">
        <f>NA()</f>
        <v>#N/A</v>
      </c>
      <c r="M630" t="e">
        <f>NA()</f>
        <v>#N/A</v>
      </c>
      <c r="N630" t="e">
        <f>NA()</f>
        <v>#N/A</v>
      </c>
      <c r="O630">
        <f t="shared" si="22"/>
        <v>5.0999999999999996</v>
      </c>
    </row>
    <row r="631" spans="1:15" x14ac:dyDescent="0.25">
      <c r="A631" s="1">
        <v>45072</v>
      </c>
      <c r="B631">
        <f>-0.3</f>
        <v>-0.3</v>
      </c>
      <c r="C631">
        <f>0</f>
        <v>0</v>
      </c>
      <c r="D631" t="e">
        <f>NA()</f>
        <v>#N/A</v>
      </c>
      <c r="E631" t="e">
        <f>NA()</f>
        <v>#N/A</v>
      </c>
      <c r="F631" t="e">
        <f>NA()</f>
        <v>#N/A</v>
      </c>
      <c r="G631" t="e">
        <f>NA()</f>
        <v>#N/A</v>
      </c>
      <c r="H631" t="e">
        <f>NA()</f>
        <v>#N/A</v>
      </c>
      <c r="I631" t="e">
        <f>NA()</f>
        <v>#N/A</v>
      </c>
      <c r="J631" t="e">
        <f>NA()</f>
        <v>#N/A</v>
      </c>
      <c r="K631" t="e">
        <f>NA()</f>
        <v>#N/A</v>
      </c>
      <c r="L631" t="e">
        <f>NA()</f>
        <v>#N/A</v>
      </c>
      <c r="M631" t="e">
        <f>NA()</f>
        <v>#N/A</v>
      </c>
      <c r="N631" t="e">
        <f>NA()</f>
        <v>#N/A</v>
      </c>
      <c r="O631">
        <f t="shared" si="22"/>
        <v>5.0999999999999996</v>
      </c>
    </row>
    <row r="632" spans="1:15" x14ac:dyDescent="0.25">
      <c r="A632" s="1">
        <v>45071</v>
      </c>
      <c r="B632" t="e">
        <f>NA()</f>
        <v>#N/A</v>
      </c>
      <c r="C632" t="e">
        <f>NA()</f>
        <v>#N/A</v>
      </c>
      <c r="D632" t="e">
        <f>NA()</f>
        <v>#N/A</v>
      </c>
      <c r="E632" t="e">
        <f>NA()</f>
        <v>#N/A</v>
      </c>
      <c r="F632" t="e">
        <f>NA()</f>
        <v>#N/A</v>
      </c>
      <c r="G632" t="e">
        <f>NA()</f>
        <v>#N/A</v>
      </c>
      <c r="H632" t="e">
        <f>NA()</f>
        <v>#N/A</v>
      </c>
      <c r="I632" t="e">
        <f>NA()</f>
        <v>#N/A</v>
      </c>
      <c r="J632" t="e">
        <f>NA()</f>
        <v>#N/A</v>
      </c>
      <c r="K632" t="e">
        <f>NA()</f>
        <v>#N/A</v>
      </c>
      <c r="L632" t="e">
        <f>NA()</f>
        <v>#N/A</v>
      </c>
      <c r="M632" t="e">
        <f>NA()</f>
        <v>#N/A</v>
      </c>
      <c r="N632" t="e">
        <f>NA()</f>
        <v>#N/A</v>
      </c>
      <c r="O632">
        <f t="shared" si="22"/>
        <v>5.0999999999999996</v>
      </c>
    </row>
    <row r="633" spans="1:15" x14ac:dyDescent="0.25">
      <c r="A633" s="1">
        <v>45070</v>
      </c>
      <c r="B633" t="e">
        <f>NA()</f>
        <v>#N/A</v>
      </c>
      <c r="C633" t="e">
        <f>NA()</f>
        <v>#N/A</v>
      </c>
      <c r="D633" t="e">
        <f>NA()</f>
        <v>#N/A</v>
      </c>
      <c r="E633" t="e">
        <f>NA()</f>
        <v>#N/A</v>
      </c>
      <c r="F633" t="e">
        <f>NA()</f>
        <v>#N/A</v>
      </c>
      <c r="G633" t="e">
        <f>NA()</f>
        <v>#N/A</v>
      </c>
      <c r="H633" t="e">
        <f>NA()</f>
        <v>#N/A</v>
      </c>
      <c r="I633" t="e">
        <f>NA()</f>
        <v>#N/A</v>
      </c>
      <c r="J633" t="e">
        <f>NA()</f>
        <v>#N/A</v>
      </c>
      <c r="K633" t="e">
        <f>NA()</f>
        <v>#N/A</v>
      </c>
      <c r="L633" t="e">
        <f>NA()</f>
        <v>#N/A</v>
      </c>
      <c r="M633" t="e">
        <f>NA()</f>
        <v>#N/A</v>
      </c>
      <c r="N633" t="e">
        <f>NA()</f>
        <v>#N/A</v>
      </c>
      <c r="O633">
        <f t="shared" si="22"/>
        <v>5.0999999999999996</v>
      </c>
    </row>
    <row r="634" spans="1:15" x14ac:dyDescent="0.25">
      <c r="A634" s="1">
        <v>45069</v>
      </c>
      <c r="B634" t="e">
        <f>NA()</f>
        <v>#N/A</v>
      </c>
      <c r="C634" t="e">
        <f>NA()</f>
        <v>#N/A</v>
      </c>
      <c r="D634" t="e">
        <f>NA()</f>
        <v>#N/A</v>
      </c>
      <c r="E634" t="e">
        <f>NA()</f>
        <v>#N/A</v>
      </c>
      <c r="F634" t="e">
        <f>NA()</f>
        <v>#N/A</v>
      </c>
      <c r="G634" t="e">
        <f>NA()</f>
        <v>#N/A</v>
      </c>
      <c r="H634" t="e">
        <f>NA()</f>
        <v>#N/A</v>
      </c>
      <c r="I634" t="e">
        <f>NA()</f>
        <v>#N/A</v>
      </c>
      <c r="J634" t="e">
        <f>NA()</f>
        <v>#N/A</v>
      </c>
      <c r="K634" t="e">
        <f>NA()</f>
        <v>#N/A</v>
      </c>
      <c r="L634" t="e">
        <f>NA()</f>
        <v>#N/A</v>
      </c>
      <c r="M634" t="e">
        <f>NA()</f>
        <v>#N/A</v>
      </c>
      <c r="N634" t="e">
        <f>NA()</f>
        <v>#N/A</v>
      </c>
      <c r="O634">
        <f t="shared" si="22"/>
        <v>5.0999999999999996</v>
      </c>
    </row>
    <row r="635" spans="1:15" x14ac:dyDescent="0.25">
      <c r="A635" s="1">
        <v>45068</v>
      </c>
      <c r="B635" t="e">
        <f>NA()</f>
        <v>#N/A</v>
      </c>
      <c r="C635" t="e">
        <f>NA()</f>
        <v>#N/A</v>
      </c>
      <c r="D635" t="e">
        <f>NA()</f>
        <v>#N/A</v>
      </c>
      <c r="E635" t="e">
        <f>NA()</f>
        <v>#N/A</v>
      </c>
      <c r="F635" t="e">
        <f>NA()</f>
        <v>#N/A</v>
      </c>
      <c r="G635" t="e">
        <f>NA()</f>
        <v>#N/A</v>
      </c>
      <c r="H635" t="e">
        <f>NA()</f>
        <v>#N/A</v>
      </c>
      <c r="I635" t="e">
        <f>NA()</f>
        <v>#N/A</v>
      </c>
      <c r="J635" t="e">
        <f>NA()</f>
        <v>#N/A</v>
      </c>
      <c r="K635" t="e">
        <f>NA()</f>
        <v>#N/A</v>
      </c>
      <c r="L635" t="e">
        <f>NA()</f>
        <v>#N/A</v>
      </c>
      <c r="M635" t="e">
        <f>NA()</f>
        <v>#N/A</v>
      </c>
      <c r="N635" t="e">
        <f>NA()</f>
        <v>#N/A</v>
      </c>
      <c r="O635">
        <f t="shared" si="22"/>
        <v>5.0999999999999996</v>
      </c>
    </row>
    <row r="636" spans="1:15" x14ac:dyDescent="0.25">
      <c r="A636" s="1">
        <v>45065</v>
      </c>
      <c r="B636">
        <f>-0.4</f>
        <v>-0.4</v>
      </c>
      <c r="C636">
        <f>0</f>
        <v>0</v>
      </c>
      <c r="D636" t="e">
        <f>NA()</f>
        <v>#N/A</v>
      </c>
      <c r="E636" t="e">
        <f>NA()</f>
        <v>#N/A</v>
      </c>
      <c r="F636" t="e">
        <f>NA()</f>
        <v>#N/A</v>
      </c>
      <c r="G636" t="e">
        <f>NA()</f>
        <v>#N/A</v>
      </c>
      <c r="H636" t="e">
        <f>NA()</f>
        <v>#N/A</v>
      </c>
      <c r="I636" t="e">
        <f>NA()</f>
        <v>#N/A</v>
      </c>
      <c r="J636" t="e">
        <f>NA()</f>
        <v>#N/A</v>
      </c>
      <c r="K636" t="e">
        <f>NA()</f>
        <v>#N/A</v>
      </c>
      <c r="L636" t="e">
        <f>NA()</f>
        <v>#N/A</v>
      </c>
      <c r="M636" t="e">
        <f>NA()</f>
        <v>#N/A</v>
      </c>
      <c r="N636" t="e">
        <f>NA()</f>
        <v>#N/A</v>
      </c>
      <c r="O636">
        <f t="shared" si="22"/>
        <v>5.0999999999999996</v>
      </c>
    </row>
    <row r="637" spans="1:15" x14ac:dyDescent="0.25">
      <c r="A637" s="1">
        <v>45064</v>
      </c>
      <c r="B637" t="e">
        <f>NA()</f>
        <v>#N/A</v>
      </c>
      <c r="C637" t="e">
        <f>NA()</f>
        <v>#N/A</v>
      </c>
      <c r="D637" t="e">
        <f>NA()</f>
        <v>#N/A</v>
      </c>
      <c r="E637" t="e">
        <f>NA()</f>
        <v>#N/A</v>
      </c>
      <c r="F637" t="e">
        <f>NA()</f>
        <v>#N/A</v>
      </c>
      <c r="G637" t="e">
        <f>NA()</f>
        <v>#N/A</v>
      </c>
      <c r="H637" t="e">
        <f>NA()</f>
        <v>#N/A</v>
      </c>
      <c r="I637" t="e">
        <f>NA()</f>
        <v>#N/A</v>
      </c>
      <c r="J637" t="e">
        <f>NA()</f>
        <v>#N/A</v>
      </c>
      <c r="K637" t="e">
        <f>NA()</f>
        <v>#N/A</v>
      </c>
      <c r="L637" t="e">
        <f>NA()</f>
        <v>#N/A</v>
      </c>
      <c r="M637" t="e">
        <f>NA()</f>
        <v>#N/A</v>
      </c>
      <c r="N637" t="e">
        <f>NA()</f>
        <v>#N/A</v>
      </c>
      <c r="O637">
        <f t="shared" si="22"/>
        <v>5.0999999999999996</v>
      </c>
    </row>
    <row r="638" spans="1:15" x14ac:dyDescent="0.25">
      <c r="A638" s="1">
        <v>45063</v>
      </c>
      <c r="B638" t="e">
        <f>NA()</f>
        <v>#N/A</v>
      </c>
      <c r="C638" t="e">
        <f>NA()</f>
        <v>#N/A</v>
      </c>
      <c r="D638" t="e">
        <f>NA()</f>
        <v>#N/A</v>
      </c>
      <c r="E638" t="e">
        <f>NA()</f>
        <v>#N/A</v>
      </c>
      <c r="F638" t="e">
        <f>NA()</f>
        <v>#N/A</v>
      </c>
      <c r="G638" t="e">
        <f>NA()</f>
        <v>#N/A</v>
      </c>
      <c r="H638" t="e">
        <f>NA()</f>
        <v>#N/A</v>
      </c>
      <c r="I638" t="e">
        <f>NA()</f>
        <v>#N/A</v>
      </c>
      <c r="J638" t="e">
        <f>NA()</f>
        <v>#N/A</v>
      </c>
      <c r="K638" t="e">
        <f>NA()</f>
        <v>#N/A</v>
      </c>
      <c r="L638" t="e">
        <f>NA()</f>
        <v>#N/A</v>
      </c>
      <c r="M638" t="e">
        <f>NA()</f>
        <v>#N/A</v>
      </c>
      <c r="N638" t="e">
        <f>NA()</f>
        <v>#N/A</v>
      </c>
      <c r="O638">
        <f t="shared" si="22"/>
        <v>5.0999999999999996</v>
      </c>
    </row>
    <row r="639" spans="1:15" x14ac:dyDescent="0.25">
      <c r="A639" s="1">
        <v>45062</v>
      </c>
      <c r="B639" t="e">
        <f>NA()</f>
        <v>#N/A</v>
      </c>
      <c r="C639" t="e">
        <f>NA()</f>
        <v>#N/A</v>
      </c>
      <c r="D639" t="e">
        <f>NA()</f>
        <v>#N/A</v>
      </c>
      <c r="E639" t="e">
        <f>NA()</f>
        <v>#N/A</v>
      </c>
      <c r="F639" t="e">
        <f>NA()</f>
        <v>#N/A</v>
      </c>
      <c r="G639" t="e">
        <f>NA()</f>
        <v>#N/A</v>
      </c>
      <c r="H639" t="e">
        <f>NA()</f>
        <v>#N/A</v>
      </c>
      <c r="I639" t="e">
        <f>NA()</f>
        <v>#N/A</v>
      </c>
      <c r="J639" t="e">
        <f>NA()</f>
        <v>#N/A</v>
      </c>
      <c r="K639" t="e">
        <f>NA()</f>
        <v>#N/A</v>
      </c>
      <c r="L639" t="e">
        <f>NA()</f>
        <v>#N/A</v>
      </c>
      <c r="M639" t="e">
        <f>NA()</f>
        <v>#N/A</v>
      </c>
      <c r="N639" t="e">
        <f>NA()</f>
        <v>#N/A</v>
      </c>
      <c r="O639">
        <f t="shared" si="22"/>
        <v>5.0999999999999996</v>
      </c>
    </row>
    <row r="640" spans="1:15" x14ac:dyDescent="0.25">
      <c r="A640" s="1">
        <v>45061</v>
      </c>
      <c r="B640" t="e">
        <f>NA()</f>
        <v>#N/A</v>
      </c>
      <c r="C640" t="e">
        <f>NA()</f>
        <v>#N/A</v>
      </c>
      <c r="D640" t="e">
        <f>NA()</f>
        <v>#N/A</v>
      </c>
      <c r="E640" t="e">
        <f>NA()</f>
        <v>#N/A</v>
      </c>
      <c r="F640" t="e">
        <f>NA()</f>
        <v>#N/A</v>
      </c>
      <c r="G640" t="e">
        <f>NA()</f>
        <v>#N/A</v>
      </c>
      <c r="H640" t="e">
        <f>NA()</f>
        <v>#N/A</v>
      </c>
      <c r="I640" t="e">
        <f>NA()</f>
        <v>#N/A</v>
      </c>
      <c r="J640" t="e">
        <f>NA()</f>
        <v>#N/A</v>
      </c>
      <c r="K640" t="e">
        <f>NA()</f>
        <v>#N/A</v>
      </c>
      <c r="L640" t="e">
        <f>NA()</f>
        <v>#N/A</v>
      </c>
      <c r="M640" t="e">
        <f>NA()</f>
        <v>#N/A</v>
      </c>
      <c r="N640" t="e">
        <f>NA()</f>
        <v>#N/A</v>
      </c>
      <c r="O640">
        <f t="shared" si="22"/>
        <v>5.0999999999999996</v>
      </c>
    </row>
    <row r="641" spans="1:15" x14ac:dyDescent="0.25">
      <c r="A641" s="1">
        <v>45058</v>
      </c>
      <c r="B641">
        <f>-0.5</f>
        <v>-0.5</v>
      </c>
      <c r="C641">
        <f>0</f>
        <v>0</v>
      </c>
      <c r="D641" t="e">
        <f>NA()</f>
        <v>#N/A</v>
      </c>
      <c r="E641" t="e">
        <f>NA()</f>
        <v>#N/A</v>
      </c>
      <c r="F641" t="e">
        <f>NA()</f>
        <v>#N/A</v>
      </c>
      <c r="G641" t="e">
        <f>NA()</f>
        <v>#N/A</v>
      </c>
      <c r="H641" t="e">
        <f>NA()</f>
        <v>#N/A</v>
      </c>
      <c r="I641" t="e">
        <f>NA()</f>
        <v>#N/A</v>
      </c>
      <c r="J641" t="e">
        <f>NA()</f>
        <v>#N/A</v>
      </c>
      <c r="K641" t="e">
        <f>NA()</f>
        <v>#N/A</v>
      </c>
      <c r="L641" t="e">
        <f>NA()</f>
        <v>#N/A</v>
      </c>
      <c r="M641" t="e">
        <f>NA()</f>
        <v>#N/A</v>
      </c>
      <c r="N641" t="e">
        <f>NA()</f>
        <v>#N/A</v>
      </c>
      <c r="O641">
        <f t="shared" si="22"/>
        <v>5.0999999999999996</v>
      </c>
    </row>
    <row r="642" spans="1:15" x14ac:dyDescent="0.25">
      <c r="A642" s="1">
        <v>45057</v>
      </c>
      <c r="B642" t="e">
        <f>NA()</f>
        <v>#N/A</v>
      </c>
      <c r="C642" t="e">
        <f>NA()</f>
        <v>#N/A</v>
      </c>
      <c r="D642" t="e">
        <f>NA()</f>
        <v>#N/A</v>
      </c>
      <c r="E642" t="e">
        <f>NA()</f>
        <v>#N/A</v>
      </c>
      <c r="F642" t="e">
        <f>NA()</f>
        <v>#N/A</v>
      </c>
      <c r="G642" t="e">
        <f>NA()</f>
        <v>#N/A</v>
      </c>
      <c r="H642" t="e">
        <f>NA()</f>
        <v>#N/A</v>
      </c>
      <c r="I642" t="e">
        <f>NA()</f>
        <v>#N/A</v>
      </c>
      <c r="J642" t="e">
        <f>NA()</f>
        <v>#N/A</v>
      </c>
      <c r="K642" t="e">
        <f>NA()</f>
        <v>#N/A</v>
      </c>
      <c r="L642" t="e">
        <f>NA()</f>
        <v>#N/A</v>
      </c>
      <c r="M642" t="e">
        <f>NA()</f>
        <v>#N/A</v>
      </c>
      <c r="N642" t="e">
        <f>NA()</f>
        <v>#N/A</v>
      </c>
      <c r="O642">
        <f t="shared" si="22"/>
        <v>5.0999999999999996</v>
      </c>
    </row>
    <row r="643" spans="1:15" x14ac:dyDescent="0.25">
      <c r="A643" s="1">
        <v>45056</v>
      </c>
      <c r="B643" t="e">
        <f>NA()</f>
        <v>#N/A</v>
      </c>
      <c r="C643" t="e">
        <f>NA()</f>
        <v>#N/A</v>
      </c>
      <c r="D643" t="e">
        <f>NA()</f>
        <v>#N/A</v>
      </c>
      <c r="E643" t="e">
        <f>NA()</f>
        <v>#N/A</v>
      </c>
      <c r="F643" t="e">
        <f>NA()</f>
        <v>#N/A</v>
      </c>
      <c r="G643" t="e">
        <f>NA()</f>
        <v>#N/A</v>
      </c>
      <c r="H643" t="e">
        <f>NA()</f>
        <v>#N/A</v>
      </c>
      <c r="I643" t="e">
        <f>NA()</f>
        <v>#N/A</v>
      </c>
      <c r="J643" t="e">
        <f>NA()</f>
        <v>#N/A</v>
      </c>
      <c r="K643" t="e">
        <f>NA()</f>
        <v>#N/A</v>
      </c>
      <c r="L643" t="e">
        <f>NA()</f>
        <v>#N/A</v>
      </c>
      <c r="M643" t="e">
        <f>NA()</f>
        <v>#N/A</v>
      </c>
      <c r="N643" t="e">
        <f>NA()</f>
        <v>#N/A</v>
      </c>
      <c r="O643">
        <f t="shared" si="22"/>
        <v>5.0999999999999996</v>
      </c>
    </row>
    <row r="644" spans="1:15" x14ac:dyDescent="0.25">
      <c r="A644" s="1">
        <v>45055</v>
      </c>
      <c r="B644" t="e">
        <f>NA()</f>
        <v>#N/A</v>
      </c>
      <c r="C644" t="e">
        <f>NA()</f>
        <v>#N/A</v>
      </c>
      <c r="D644" t="e">
        <f>NA()</f>
        <v>#N/A</v>
      </c>
      <c r="E644" t="e">
        <f>NA()</f>
        <v>#N/A</v>
      </c>
      <c r="F644" t="e">
        <f>NA()</f>
        <v>#N/A</v>
      </c>
      <c r="G644" t="e">
        <f>NA()</f>
        <v>#N/A</v>
      </c>
      <c r="H644" t="e">
        <f>NA()</f>
        <v>#N/A</v>
      </c>
      <c r="I644" t="e">
        <f>NA()</f>
        <v>#N/A</v>
      </c>
      <c r="J644" t="e">
        <f>NA()</f>
        <v>#N/A</v>
      </c>
      <c r="K644" t="e">
        <f>NA()</f>
        <v>#N/A</v>
      </c>
      <c r="L644" t="e">
        <f>NA()</f>
        <v>#N/A</v>
      </c>
      <c r="M644" t="e">
        <f>NA()</f>
        <v>#N/A</v>
      </c>
      <c r="N644" t="e">
        <f>NA()</f>
        <v>#N/A</v>
      </c>
      <c r="O644">
        <f t="shared" si="22"/>
        <v>5.0999999999999996</v>
      </c>
    </row>
    <row r="645" spans="1:15" x14ac:dyDescent="0.25">
      <c r="A645" s="1">
        <v>45054</v>
      </c>
      <c r="B645" t="e">
        <f>NA()</f>
        <v>#N/A</v>
      </c>
      <c r="C645" t="e">
        <f>NA()</f>
        <v>#N/A</v>
      </c>
      <c r="D645" t="e">
        <f>NA()</f>
        <v>#N/A</v>
      </c>
      <c r="E645" t="e">
        <f>NA()</f>
        <v>#N/A</v>
      </c>
      <c r="F645" t="e">
        <f>NA()</f>
        <v>#N/A</v>
      </c>
      <c r="G645" t="e">
        <f>NA()</f>
        <v>#N/A</v>
      </c>
      <c r="H645" t="e">
        <f>NA()</f>
        <v>#N/A</v>
      </c>
      <c r="I645" t="e">
        <f>NA()</f>
        <v>#N/A</v>
      </c>
      <c r="J645" t="e">
        <f>NA()</f>
        <v>#N/A</v>
      </c>
      <c r="K645" t="e">
        <f>NA()</f>
        <v>#N/A</v>
      </c>
      <c r="L645" t="e">
        <f>NA()</f>
        <v>#N/A</v>
      </c>
      <c r="M645" t="e">
        <f>NA()</f>
        <v>#N/A</v>
      </c>
      <c r="N645" t="e">
        <f>NA()</f>
        <v>#N/A</v>
      </c>
      <c r="O645">
        <f t="shared" si="22"/>
        <v>5.0999999999999996</v>
      </c>
    </row>
    <row r="646" spans="1:15" x14ac:dyDescent="0.25">
      <c r="A646" s="1">
        <v>45051</v>
      </c>
      <c r="B646">
        <f>-0.3</f>
        <v>-0.3</v>
      </c>
      <c r="C646">
        <f>0</f>
        <v>0</v>
      </c>
      <c r="D646" t="e">
        <f>NA()</f>
        <v>#N/A</v>
      </c>
      <c r="E646" t="e">
        <f>NA()</f>
        <v>#N/A</v>
      </c>
      <c r="F646" t="e">
        <f>NA()</f>
        <v>#N/A</v>
      </c>
      <c r="G646" t="e">
        <f>NA()</f>
        <v>#N/A</v>
      </c>
      <c r="H646" t="e">
        <f>NA()</f>
        <v>#N/A</v>
      </c>
      <c r="I646" t="e">
        <f>NA()</f>
        <v>#N/A</v>
      </c>
      <c r="J646" t="e">
        <f>NA()</f>
        <v>#N/A</v>
      </c>
      <c r="K646" t="e">
        <f>NA()</f>
        <v>#N/A</v>
      </c>
      <c r="L646" t="e">
        <f>NA()</f>
        <v>#N/A</v>
      </c>
      <c r="M646" t="e">
        <f>NA()</f>
        <v>#N/A</v>
      </c>
      <c r="N646" t="e">
        <f>NA()</f>
        <v>#N/A</v>
      </c>
      <c r="O646">
        <f t="shared" si="22"/>
        <v>5.0999999999999996</v>
      </c>
    </row>
    <row r="647" spans="1:15" x14ac:dyDescent="0.25">
      <c r="A647" s="1">
        <v>45050</v>
      </c>
      <c r="B647" t="e">
        <f>NA()</f>
        <v>#N/A</v>
      </c>
      <c r="C647" t="e">
        <f>NA()</f>
        <v>#N/A</v>
      </c>
      <c r="D647" t="e">
        <f>NA()</f>
        <v>#N/A</v>
      </c>
      <c r="E647" t="e">
        <f>NA()</f>
        <v>#N/A</v>
      </c>
      <c r="F647" t="e">
        <f>NA()</f>
        <v>#N/A</v>
      </c>
      <c r="G647" t="e">
        <f>NA()</f>
        <v>#N/A</v>
      </c>
      <c r="H647" t="e">
        <f>NA()</f>
        <v>#N/A</v>
      </c>
      <c r="I647" t="e">
        <f>NA()</f>
        <v>#N/A</v>
      </c>
      <c r="J647" t="e">
        <f>NA()</f>
        <v>#N/A</v>
      </c>
      <c r="K647" t="e">
        <f>NA()</f>
        <v>#N/A</v>
      </c>
      <c r="L647" t="e">
        <f>NA()</f>
        <v>#N/A</v>
      </c>
      <c r="M647" t="e">
        <f>NA()</f>
        <v>#N/A</v>
      </c>
      <c r="N647" t="e">
        <f>NA()</f>
        <v>#N/A</v>
      </c>
      <c r="O647">
        <f t="shared" si="22"/>
        <v>5.0999999999999996</v>
      </c>
    </row>
    <row r="648" spans="1:15" x14ac:dyDescent="0.25">
      <c r="A648" s="1">
        <v>45049</v>
      </c>
      <c r="B648" t="e">
        <f>NA()</f>
        <v>#N/A</v>
      </c>
      <c r="C648" t="e">
        <f>NA()</f>
        <v>#N/A</v>
      </c>
      <c r="D648" t="e">
        <f>NA()</f>
        <v>#N/A</v>
      </c>
      <c r="E648" t="e">
        <f>NA()</f>
        <v>#N/A</v>
      </c>
      <c r="F648" t="e">
        <f>NA()</f>
        <v>#N/A</v>
      </c>
      <c r="G648" t="e">
        <f>NA()</f>
        <v>#N/A</v>
      </c>
      <c r="H648" t="e">
        <f>NA()</f>
        <v>#N/A</v>
      </c>
      <c r="I648" t="e">
        <f>NA()</f>
        <v>#N/A</v>
      </c>
      <c r="J648" t="e">
        <f>NA()</f>
        <v>#N/A</v>
      </c>
      <c r="K648" t="e">
        <f>NA()</f>
        <v>#N/A</v>
      </c>
      <c r="L648" t="e">
        <f>NA()</f>
        <v>#N/A</v>
      </c>
      <c r="M648" t="e">
        <f>NA()</f>
        <v>#N/A</v>
      </c>
      <c r="N648" t="e">
        <f>NA()</f>
        <v>#N/A</v>
      </c>
      <c r="O648">
        <f>4.8</f>
        <v>4.8</v>
      </c>
    </row>
    <row r="649" spans="1:15" x14ac:dyDescent="0.25">
      <c r="A649" s="1">
        <v>45048</v>
      </c>
      <c r="B649" t="e">
        <f>NA()</f>
        <v>#N/A</v>
      </c>
      <c r="C649" t="e">
        <f>NA()</f>
        <v>#N/A</v>
      </c>
      <c r="D649" t="e">
        <f>NA()</f>
        <v>#N/A</v>
      </c>
      <c r="E649" t="e">
        <f>NA()</f>
        <v>#N/A</v>
      </c>
      <c r="F649" t="e">
        <f>NA()</f>
        <v>#N/A</v>
      </c>
      <c r="G649" t="e">
        <f>NA()</f>
        <v>#N/A</v>
      </c>
      <c r="H649" t="e">
        <f>NA()</f>
        <v>#N/A</v>
      </c>
      <c r="I649" t="e">
        <f>NA()</f>
        <v>#N/A</v>
      </c>
      <c r="J649" t="e">
        <f>NA()</f>
        <v>#N/A</v>
      </c>
      <c r="K649" t="e">
        <f>NA()</f>
        <v>#N/A</v>
      </c>
      <c r="L649" t="e">
        <f>NA()</f>
        <v>#N/A</v>
      </c>
      <c r="M649" t="e">
        <f>NA()</f>
        <v>#N/A</v>
      </c>
      <c r="N649" t="e">
        <f>NA()</f>
        <v>#N/A</v>
      </c>
      <c r="O649">
        <f>4.8</f>
        <v>4.8</v>
      </c>
    </row>
    <row r="650" spans="1:15" x14ac:dyDescent="0.25">
      <c r="A650" s="1">
        <v>45047</v>
      </c>
      <c r="B650" t="e">
        <f>NA()</f>
        <v>#N/A</v>
      </c>
      <c r="C650" t="e">
        <f>NA()</f>
        <v>#N/A</v>
      </c>
      <c r="D650" t="e">
        <f>NA()</f>
        <v>#N/A</v>
      </c>
      <c r="E650" t="e">
        <f>NA()</f>
        <v>#N/A</v>
      </c>
      <c r="F650" t="e">
        <f>NA()</f>
        <v>#N/A</v>
      </c>
      <c r="G650" t="e">
        <f>NA()</f>
        <v>#N/A</v>
      </c>
      <c r="H650" t="e">
        <f>NA()</f>
        <v>#N/A</v>
      </c>
      <c r="I650" t="e">
        <f>NA()</f>
        <v>#N/A</v>
      </c>
      <c r="J650" t="e">
        <f>NA()</f>
        <v>#N/A</v>
      </c>
      <c r="K650" t="e">
        <f>NA()</f>
        <v>#N/A</v>
      </c>
      <c r="L650" t="e">
        <f>NA()</f>
        <v>#N/A</v>
      </c>
      <c r="M650" t="e">
        <f>NA()</f>
        <v>#N/A</v>
      </c>
      <c r="N650" t="e">
        <f>NA()</f>
        <v>#N/A</v>
      </c>
      <c r="O650">
        <f>4.8</f>
        <v>4.8</v>
      </c>
    </row>
    <row r="651" spans="1:15" x14ac:dyDescent="0.25">
      <c r="A651" s="1">
        <v>45046</v>
      </c>
      <c r="B651" t="e">
        <f>NA()</f>
        <v>#N/A</v>
      </c>
      <c r="C651" t="e">
        <f>NA()</f>
        <v>#N/A</v>
      </c>
      <c r="D651">
        <f>0.4</f>
        <v>0.4</v>
      </c>
      <c r="E651">
        <f>-0.4</f>
        <v>-0.4</v>
      </c>
      <c r="F651">
        <f>9992</f>
        <v>9992</v>
      </c>
      <c r="G651">
        <f>62.6</f>
        <v>62.6</v>
      </c>
      <c r="H651">
        <f>6.6</f>
        <v>6.6</v>
      </c>
      <c r="I651">
        <f>303.4</f>
        <v>303.39999999999998</v>
      </c>
      <c r="J651">
        <f>4.9</f>
        <v>4.9000000000000004</v>
      </c>
      <c r="K651">
        <f>46.7</f>
        <v>46.7</v>
      </c>
      <c r="L651">
        <f>0.4</f>
        <v>0.4</v>
      </c>
      <c r="M651" t="e">
        <f>NA()</f>
        <v>#N/A</v>
      </c>
      <c r="N651">
        <f>3.4</f>
        <v>3.4</v>
      </c>
      <c r="O651" t="e">
        <f>NA()</f>
        <v>#N/A</v>
      </c>
    </row>
    <row r="652" spans="1:15" x14ac:dyDescent="0.25">
      <c r="A652" s="1">
        <v>45044</v>
      </c>
      <c r="B652">
        <f>-0.3</f>
        <v>-0.3</v>
      </c>
      <c r="C652">
        <f>0</f>
        <v>0</v>
      </c>
      <c r="D652" t="e">
        <f>NA()</f>
        <v>#N/A</v>
      </c>
      <c r="E652" t="e">
        <f>NA()</f>
        <v>#N/A</v>
      </c>
      <c r="F652" t="e">
        <f>NA()</f>
        <v>#N/A</v>
      </c>
      <c r="G652" t="e">
        <f>NA()</f>
        <v>#N/A</v>
      </c>
      <c r="H652" t="e">
        <f>NA()</f>
        <v>#N/A</v>
      </c>
      <c r="I652" t="e">
        <f>NA()</f>
        <v>#N/A</v>
      </c>
      <c r="J652" t="e">
        <f>NA()</f>
        <v>#N/A</v>
      </c>
      <c r="K652" t="e">
        <f>NA()</f>
        <v>#N/A</v>
      </c>
      <c r="L652" t="e">
        <f>NA()</f>
        <v>#N/A</v>
      </c>
      <c r="M652" t="e">
        <f>NA()</f>
        <v>#N/A</v>
      </c>
      <c r="N652" t="e">
        <f>NA()</f>
        <v>#N/A</v>
      </c>
      <c r="O652">
        <f t="shared" ref="O652:O678" si="23">4.8</f>
        <v>4.8</v>
      </c>
    </row>
    <row r="653" spans="1:15" x14ac:dyDescent="0.25">
      <c r="A653" s="1">
        <v>45043</v>
      </c>
      <c r="B653" t="e">
        <f>NA()</f>
        <v>#N/A</v>
      </c>
      <c r="C653" t="e">
        <f>NA()</f>
        <v>#N/A</v>
      </c>
      <c r="D653" t="e">
        <f>NA()</f>
        <v>#N/A</v>
      </c>
      <c r="E653" t="e">
        <f>NA()</f>
        <v>#N/A</v>
      </c>
      <c r="F653" t="e">
        <f>NA()</f>
        <v>#N/A</v>
      </c>
      <c r="G653" t="e">
        <f>NA()</f>
        <v>#N/A</v>
      </c>
      <c r="H653" t="e">
        <f>NA()</f>
        <v>#N/A</v>
      </c>
      <c r="I653" t="e">
        <f>NA()</f>
        <v>#N/A</v>
      </c>
      <c r="J653" t="e">
        <f>NA()</f>
        <v>#N/A</v>
      </c>
      <c r="K653" t="e">
        <f>NA()</f>
        <v>#N/A</v>
      </c>
      <c r="L653" t="e">
        <f>NA()</f>
        <v>#N/A</v>
      </c>
      <c r="M653" t="e">
        <f>NA()</f>
        <v>#N/A</v>
      </c>
      <c r="N653" t="e">
        <f>NA()</f>
        <v>#N/A</v>
      </c>
      <c r="O653">
        <f t="shared" si="23"/>
        <v>4.8</v>
      </c>
    </row>
    <row r="654" spans="1:15" x14ac:dyDescent="0.25">
      <c r="A654" s="1">
        <v>45042</v>
      </c>
      <c r="B654" t="e">
        <f>NA()</f>
        <v>#N/A</v>
      </c>
      <c r="C654" t="e">
        <f>NA()</f>
        <v>#N/A</v>
      </c>
      <c r="D654" t="e">
        <f>NA()</f>
        <v>#N/A</v>
      </c>
      <c r="E654" t="e">
        <f>NA()</f>
        <v>#N/A</v>
      </c>
      <c r="F654" t="e">
        <f>NA()</f>
        <v>#N/A</v>
      </c>
      <c r="G654" t="e">
        <f>NA()</f>
        <v>#N/A</v>
      </c>
      <c r="H654" t="e">
        <f>NA()</f>
        <v>#N/A</v>
      </c>
      <c r="I654" t="e">
        <f>NA()</f>
        <v>#N/A</v>
      </c>
      <c r="J654" t="e">
        <f>NA()</f>
        <v>#N/A</v>
      </c>
      <c r="K654" t="e">
        <f>NA()</f>
        <v>#N/A</v>
      </c>
      <c r="L654" t="e">
        <f>NA()</f>
        <v>#N/A</v>
      </c>
      <c r="M654" t="e">
        <f>NA()</f>
        <v>#N/A</v>
      </c>
      <c r="N654" t="e">
        <f>NA()</f>
        <v>#N/A</v>
      </c>
      <c r="O654">
        <f t="shared" si="23"/>
        <v>4.8</v>
      </c>
    </row>
    <row r="655" spans="1:15" x14ac:dyDescent="0.25">
      <c r="A655" s="1">
        <v>45041</v>
      </c>
      <c r="B655" t="e">
        <f>NA()</f>
        <v>#N/A</v>
      </c>
      <c r="C655" t="e">
        <f>NA()</f>
        <v>#N/A</v>
      </c>
      <c r="D655" t="e">
        <f>NA()</f>
        <v>#N/A</v>
      </c>
      <c r="E655" t="e">
        <f>NA()</f>
        <v>#N/A</v>
      </c>
      <c r="F655" t="e">
        <f>NA()</f>
        <v>#N/A</v>
      </c>
      <c r="G655" t="e">
        <f>NA()</f>
        <v>#N/A</v>
      </c>
      <c r="H655" t="e">
        <f>NA()</f>
        <v>#N/A</v>
      </c>
      <c r="I655" t="e">
        <f>NA()</f>
        <v>#N/A</v>
      </c>
      <c r="J655" t="e">
        <f>NA()</f>
        <v>#N/A</v>
      </c>
      <c r="K655" t="e">
        <f>NA()</f>
        <v>#N/A</v>
      </c>
      <c r="L655" t="e">
        <f>NA()</f>
        <v>#N/A</v>
      </c>
      <c r="M655" t="e">
        <f>NA()</f>
        <v>#N/A</v>
      </c>
      <c r="N655" t="e">
        <f>NA()</f>
        <v>#N/A</v>
      </c>
      <c r="O655">
        <f t="shared" si="23"/>
        <v>4.8</v>
      </c>
    </row>
    <row r="656" spans="1:15" x14ac:dyDescent="0.25">
      <c r="A656" s="1">
        <v>45040</v>
      </c>
      <c r="B656" t="e">
        <f>NA()</f>
        <v>#N/A</v>
      </c>
      <c r="C656" t="e">
        <f>NA()</f>
        <v>#N/A</v>
      </c>
      <c r="D656" t="e">
        <f>NA()</f>
        <v>#N/A</v>
      </c>
      <c r="E656" t="e">
        <f>NA()</f>
        <v>#N/A</v>
      </c>
      <c r="F656" t="e">
        <f>NA()</f>
        <v>#N/A</v>
      </c>
      <c r="G656" t="e">
        <f>NA()</f>
        <v>#N/A</v>
      </c>
      <c r="H656" t="e">
        <f>NA()</f>
        <v>#N/A</v>
      </c>
      <c r="I656" t="e">
        <f>NA()</f>
        <v>#N/A</v>
      </c>
      <c r="J656" t="e">
        <f>NA()</f>
        <v>#N/A</v>
      </c>
      <c r="K656" t="e">
        <f>NA()</f>
        <v>#N/A</v>
      </c>
      <c r="L656" t="e">
        <f>NA()</f>
        <v>#N/A</v>
      </c>
      <c r="M656" t="e">
        <f>NA()</f>
        <v>#N/A</v>
      </c>
      <c r="N656" t="e">
        <f>NA()</f>
        <v>#N/A</v>
      </c>
      <c r="O656">
        <f t="shared" si="23"/>
        <v>4.8</v>
      </c>
    </row>
    <row r="657" spans="1:15" x14ac:dyDescent="0.25">
      <c r="A657" s="1">
        <v>45037</v>
      </c>
      <c r="B657">
        <f>-0.7</f>
        <v>-0.7</v>
      </c>
      <c r="C657">
        <f>0</f>
        <v>0</v>
      </c>
      <c r="D657" t="e">
        <f>NA()</f>
        <v>#N/A</v>
      </c>
      <c r="E657" t="e">
        <f>NA()</f>
        <v>#N/A</v>
      </c>
      <c r="F657" t="e">
        <f>NA()</f>
        <v>#N/A</v>
      </c>
      <c r="G657" t="e">
        <f>NA()</f>
        <v>#N/A</v>
      </c>
      <c r="H657" t="e">
        <f>NA()</f>
        <v>#N/A</v>
      </c>
      <c r="I657" t="e">
        <f>NA()</f>
        <v>#N/A</v>
      </c>
      <c r="J657" t="e">
        <f>NA()</f>
        <v>#N/A</v>
      </c>
      <c r="K657" t="e">
        <f>NA()</f>
        <v>#N/A</v>
      </c>
      <c r="L657" t="e">
        <f>NA()</f>
        <v>#N/A</v>
      </c>
      <c r="M657" t="e">
        <f>NA()</f>
        <v>#N/A</v>
      </c>
      <c r="N657" t="e">
        <f>NA()</f>
        <v>#N/A</v>
      </c>
      <c r="O657">
        <f t="shared" si="23"/>
        <v>4.8</v>
      </c>
    </row>
    <row r="658" spans="1:15" x14ac:dyDescent="0.25">
      <c r="A658" s="1">
        <v>45036</v>
      </c>
      <c r="B658" t="e">
        <f>NA()</f>
        <v>#N/A</v>
      </c>
      <c r="C658" t="e">
        <f>NA()</f>
        <v>#N/A</v>
      </c>
      <c r="D658" t="e">
        <f>NA()</f>
        <v>#N/A</v>
      </c>
      <c r="E658" t="e">
        <f>NA()</f>
        <v>#N/A</v>
      </c>
      <c r="F658" t="e">
        <f>NA()</f>
        <v>#N/A</v>
      </c>
      <c r="G658" t="e">
        <f>NA()</f>
        <v>#N/A</v>
      </c>
      <c r="H658" t="e">
        <f>NA()</f>
        <v>#N/A</v>
      </c>
      <c r="I658" t="e">
        <f>NA()</f>
        <v>#N/A</v>
      </c>
      <c r="J658" t="e">
        <f>NA()</f>
        <v>#N/A</v>
      </c>
      <c r="K658" t="e">
        <f>NA()</f>
        <v>#N/A</v>
      </c>
      <c r="L658" t="e">
        <f>NA()</f>
        <v>#N/A</v>
      </c>
      <c r="M658" t="e">
        <f>NA()</f>
        <v>#N/A</v>
      </c>
      <c r="N658" t="e">
        <f>NA()</f>
        <v>#N/A</v>
      </c>
      <c r="O658">
        <f t="shared" si="23"/>
        <v>4.8</v>
      </c>
    </row>
    <row r="659" spans="1:15" x14ac:dyDescent="0.25">
      <c r="A659" s="1">
        <v>45035</v>
      </c>
      <c r="B659" t="e">
        <f>NA()</f>
        <v>#N/A</v>
      </c>
      <c r="C659" t="e">
        <f>NA()</f>
        <v>#N/A</v>
      </c>
      <c r="D659" t="e">
        <f>NA()</f>
        <v>#N/A</v>
      </c>
      <c r="E659" t="e">
        <f>NA()</f>
        <v>#N/A</v>
      </c>
      <c r="F659" t="e">
        <f>NA()</f>
        <v>#N/A</v>
      </c>
      <c r="G659" t="e">
        <f>NA()</f>
        <v>#N/A</v>
      </c>
      <c r="H659" t="e">
        <f>NA()</f>
        <v>#N/A</v>
      </c>
      <c r="I659" t="e">
        <f>NA()</f>
        <v>#N/A</v>
      </c>
      <c r="J659" t="e">
        <f>NA()</f>
        <v>#N/A</v>
      </c>
      <c r="K659" t="e">
        <f>NA()</f>
        <v>#N/A</v>
      </c>
      <c r="L659" t="e">
        <f>NA()</f>
        <v>#N/A</v>
      </c>
      <c r="M659" t="e">
        <f>NA()</f>
        <v>#N/A</v>
      </c>
      <c r="N659" t="e">
        <f>NA()</f>
        <v>#N/A</v>
      </c>
      <c r="O659">
        <f t="shared" si="23"/>
        <v>4.8</v>
      </c>
    </row>
    <row r="660" spans="1:15" x14ac:dyDescent="0.25">
      <c r="A660" s="1">
        <v>45034</v>
      </c>
      <c r="B660" t="e">
        <f>NA()</f>
        <v>#N/A</v>
      </c>
      <c r="C660" t="e">
        <f>NA()</f>
        <v>#N/A</v>
      </c>
      <c r="D660" t="e">
        <f>NA()</f>
        <v>#N/A</v>
      </c>
      <c r="E660" t="e">
        <f>NA()</f>
        <v>#N/A</v>
      </c>
      <c r="F660" t="e">
        <f>NA()</f>
        <v>#N/A</v>
      </c>
      <c r="G660" t="e">
        <f>NA()</f>
        <v>#N/A</v>
      </c>
      <c r="H660" t="e">
        <f>NA()</f>
        <v>#N/A</v>
      </c>
      <c r="I660" t="e">
        <f>NA()</f>
        <v>#N/A</v>
      </c>
      <c r="J660" t="e">
        <f>NA()</f>
        <v>#N/A</v>
      </c>
      <c r="K660" t="e">
        <f>NA()</f>
        <v>#N/A</v>
      </c>
      <c r="L660" t="e">
        <f>NA()</f>
        <v>#N/A</v>
      </c>
      <c r="M660" t="e">
        <f>NA()</f>
        <v>#N/A</v>
      </c>
      <c r="N660" t="e">
        <f>NA()</f>
        <v>#N/A</v>
      </c>
      <c r="O660">
        <f t="shared" si="23"/>
        <v>4.8</v>
      </c>
    </row>
    <row r="661" spans="1:15" x14ac:dyDescent="0.25">
      <c r="A661" s="1">
        <v>45033</v>
      </c>
      <c r="B661" t="e">
        <f>NA()</f>
        <v>#N/A</v>
      </c>
      <c r="C661" t="e">
        <f>NA()</f>
        <v>#N/A</v>
      </c>
      <c r="D661" t="e">
        <f>NA()</f>
        <v>#N/A</v>
      </c>
      <c r="E661" t="e">
        <f>NA()</f>
        <v>#N/A</v>
      </c>
      <c r="F661" t="e">
        <f>NA()</f>
        <v>#N/A</v>
      </c>
      <c r="G661" t="e">
        <f>NA()</f>
        <v>#N/A</v>
      </c>
      <c r="H661" t="e">
        <f>NA()</f>
        <v>#N/A</v>
      </c>
      <c r="I661" t="e">
        <f>NA()</f>
        <v>#N/A</v>
      </c>
      <c r="J661" t="e">
        <f>NA()</f>
        <v>#N/A</v>
      </c>
      <c r="K661" t="e">
        <f>NA()</f>
        <v>#N/A</v>
      </c>
      <c r="L661" t="e">
        <f>NA()</f>
        <v>#N/A</v>
      </c>
      <c r="M661" t="e">
        <f>NA()</f>
        <v>#N/A</v>
      </c>
      <c r="N661" t="e">
        <f>NA()</f>
        <v>#N/A</v>
      </c>
      <c r="O661">
        <f t="shared" si="23"/>
        <v>4.8</v>
      </c>
    </row>
    <row r="662" spans="1:15" x14ac:dyDescent="0.25">
      <c r="A662" s="1">
        <v>45030</v>
      </c>
      <c r="B662">
        <f>-0.5</f>
        <v>-0.5</v>
      </c>
      <c r="C662">
        <f>0</f>
        <v>0</v>
      </c>
      <c r="D662" t="e">
        <f>NA()</f>
        <v>#N/A</v>
      </c>
      <c r="E662" t="e">
        <f>NA()</f>
        <v>#N/A</v>
      </c>
      <c r="F662" t="e">
        <f>NA()</f>
        <v>#N/A</v>
      </c>
      <c r="G662" t="e">
        <f>NA()</f>
        <v>#N/A</v>
      </c>
      <c r="H662" t="e">
        <f>NA()</f>
        <v>#N/A</v>
      </c>
      <c r="I662" t="e">
        <f>NA()</f>
        <v>#N/A</v>
      </c>
      <c r="J662" t="e">
        <f>NA()</f>
        <v>#N/A</v>
      </c>
      <c r="K662" t="e">
        <f>NA()</f>
        <v>#N/A</v>
      </c>
      <c r="L662" t="e">
        <f>NA()</f>
        <v>#N/A</v>
      </c>
      <c r="M662" t="e">
        <f>NA()</f>
        <v>#N/A</v>
      </c>
      <c r="N662" t="e">
        <f>NA()</f>
        <v>#N/A</v>
      </c>
      <c r="O662">
        <f t="shared" si="23"/>
        <v>4.8</v>
      </c>
    </row>
    <row r="663" spans="1:15" x14ac:dyDescent="0.25">
      <c r="A663" s="1">
        <v>45029</v>
      </c>
      <c r="B663" t="e">
        <f>NA()</f>
        <v>#N/A</v>
      </c>
      <c r="C663" t="e">
        <f>NA()</f>
        <v>#N/A</v>
      </c>
      <c r="D663" t="e">
        <f>NA()</f>
        <v>#N/A</v>
      </c>
      <c r="E663" t="e">
        <f>NA()</f>
        <v>#N/A</v>
      </c>
      <c r="F663" t="e">
        <f>NA()</f>
        <v>#N/A</v>
      </c>
      <c r="G663" t="e">
        <f>NA()</f>
        <v>#N/A</v>
      </c>
      <c r="H663" t="e">
        <f>NA()</f>
        <v>#N/A</v>
      </c>
      <c r="I663" t="e">
        <f>NA()</f>
        <v>#N/A</v>
      </c>
      <c r="J663" t="e">
        <f>NA()</f>
        <v>#N/A</v>
      </c>
      <c r="K663" t="e">
        <f>NA()</f>
        <v>#N/A</v>
      </c>
      <c r="L663" t="e">
        <f>NA()</f>
        <v>#N/A</v>
      </c>
      <c r="M663" t="e">
        <f>NA()</f>
        <v>#N/A</v>
      </c>
      <c r="N663" t="e">
        <f>NA()</f>
        <v>#N/A</v>
      </c>
      <c r="O663">
        <f t="shared" si="23"/>
        <v>4.8</v>
      </c>
    </row>
    <row r="664" spans="1:15" x14ac:dyDescent="0.25">
      <c r="A664" s="1">
        <v>45028</v>
      </c>
      <c r="B664" t="e">
        <f>NA()</f>
        <v>#N/A</v>
      </c>
      <c r="C664" t="e">
        <f>NA()</f>
        <v>#N/A</v>
      </c>
      <c r="D664" t="e">
        <f>NA()</f>
        <v>#N/A</v>
      </c>
      <c r="E664" t="e">
        <f>NA()</f>
        <v>#N/A</v>
      </c>
      <c r="F664" t="e">
        <f>NA()</f>
        <v>#N/A</v>
      </c>
      <c r="G664" t="e">
        <f>NA()</f>
        <v>#N/A</v>
      </c>
      <c r="H664" t="e">
        <f>NA()</f>
        <v>#N/A</v>
      </c>
      <c r="I664" t="e">
        <f>NA()</f>
        <v>#N/A</v>
      </c>
      <c r="J664" t="e">
        <f>NA()</f>
        <v>#N/A</v>
      </c>
      <c r="K664" t="e">
        <f>NA()</f>
        <v>#N/A</v>
      </c>
      <c r="L664" t="e">
        <f>NA()</f>
        <v>#N/A</v>
      </c>
      <c r="M664" t="e">
        <f>NA()</f>
        <v>#N/A</v>
      </c>
      <c r="N664" t="e">
        <f>NA()</f>
        <v>#N/A</v>
      </c>
      <c r="O664">
        <f t="shared" si="23"/>
        <v>4.8</v>
      </c>
    </row>
    <row r="665" spans="1:15" x14ac:dyDescent="0.25">
      <c r="A665" s="1">
        <v>45027</v>
      </c>
      <c r="B665" t="e">
        <f>NA()</f>
        <v>#N/A</v>
      </c>
      <c r="C665" t="e">
        <f>NA()</f>
        <v>#N/A</v>
      </c>
      <c r="D665" t="e">
        <f>NA()</f>
        <v>#N/A</v>
      </c>
      <c r="E665" t="e">
        <f>NA()</f>
        <v>#N/A</v>
      </c>
      <c r="F665" t="e">
        <f>NA()</f>
        <v>#N/A</v>
      </c>
      <c r="G665" t="e">
        <f>NA()</f>
        <v>#N/A</v>
      </c>
      <c r="H665" t="e">
        <f>NA()</f>
        <v>#N/A</v>
      </c>
      <c r="I665" t="e">
        <f>NA()</f>
        <v>#N/A</v>
      </c>
      <c r="J665" t="e">
        <f>NA()</f>
        <v>#N/A</v>
      </c>
      <c r="K665" t="e">
        <f>NA()</f>
        <v>#N/A</v>
      </c>
      <c r="L665" t="e">
        <f>NA()</f>
        <v>#N/A</v>
      </c>
      <c r="M665" t="e">
        <f>NA()</f>
        <v>#N/A</v>
      </c>
      <c r="N665" t="e">
        <f>NA()</f>
        <v>#N/A</v>
      </c>
      <c r="O665">
        <f t="shared" si="23"/>
        <v>4.8</v>
      </c>
    </row>
    <row r="666" spans="1:15" x14ac:dyDescent="0.25">
      <c r="A666" s="1">
        <v>45026</v>
      </c>
      <c r="B666" t="e">
        <f>NA()</f>
        <v>#N/A</v>
      </c>
      <c r="C666" t="e">
        <f>NA()</f>
        <v>#N/A</v>
      </c>
      <c r="D666" t="e">
        <f>NA()</f>
        <v>#N/A</v>
      </c>
      <c r="E666" t="e">
        <f>NA()</f>
        <v>#N/A</v>
      </c>
      <c r="F666" t="e">
        <f>NA()</f>
        <v>#N/A</v>
      </c>
      <c r="G666" t="e">
        <f>NA()</f>
        <v>#N/A</v>
      </c>
      <c r="H666" t="e">
        <f>NA()</f>
        <v>#N/A</v>
      </c>
      <c r="I666" t="e">
        <f>NA()</f>
        <v>#N/A</v>
      </c>
      <c r="J666" t="e">
        <f>NA()</f>
        <v>#N/A</v>
      </c>
      <c r="K666" t="e">
        <f>NA()</f>
        <v>#N/A</v>
      </c>
      <c r="L666" t="e">
        <f>NA()</f>
        <v>#N/A</v>
      </c>
      <c r="M666" t="e">
        <f>NA()</f>
        <v>#N/A</v>
      </c>
      <c r="N666" t="e">
        <f>NA()</f>
        <v>#N/A</v>
      </c>
      <c r="O666">
        <f t="shared" si="23"/>
        <v>4.8</v>
      </c>
    </row>
    <row r="667" spans="1:15" x14ac:dyDescent="0.25">
      <c r="A667" s="1">
        <v>45023</v>
      </c>
      <c r="B667">
        <f>-0.1</f>
        <v>-0.1</v>
      </c>
      <c r="C667">
        <f>0</f>
        <v>0</v>
      </c>
      <c r="D667" t="e">
        <f>NA()</f>
        <v>#N/A</v>
      </c>
      <c r="E667" t="e">
        <f>NA()</f>
        <v>#N/A</v>
      </c>
      <c r="F667" t="e">
        <f>NA()</f>
        <v>#N/A</v>
      </c>
      <c r="G667" t="e">
        <f>NA()</f>
        <v>#N/A</v>
      </c>
      <c r="H667" t="e">
        <f>NA()</f>
        <v>#N/A</v>
      </c>
      <c r="I667" t="e">
        <f>NA()</f>
        <v>#N/A</v>
      </c>
      <c r="J667" t="e">
        <f>NA()</f>
        <v>#N/A</v>
      </c>
      <c r="K667" t="e">
        <f>NA()</f>
        <v>#N/A</v>
      </c>
      <c r="L667" t="e">
        <f>NA()</f>
        <v>#N/A</v>
      </c>
      <c r="M667" t="e">
        <f>NA()</f>
        <v>#N/A</v>
      </c>
      <c r="N667" t="e">
        <f>NA()</f>
        <v>#N/A</v>
      </c>
      <c r="O667">
        <f t="shared" si="23"/>
        <v>4.8</v>
      </c>
    </row>
    <row r="668" spans="1:15" x14ac:dyDescent="0.25">
      <c r="A668" s="1">
        <v>45022</v>
      </c>
      <c r="B668" t="e">
        <f>NA()</f>
        <v>#N/A</v>
      </c>
      <c r="C668" t="e">
        <f>NA()</f>
        <v>#N/A</v>
      </c>
      <c r="D668" t="e">
        <f>NA()</f>
        <v>#N/A</v>
      </c>
      <c r="E668" t="e">
        <f>NA()</f>
        <v>#N/A</v>
      </c>
      <c r="F668" t="e">
        <f>NA()</f>
        <v>#N/A</v>
      </c>
      <c r="G668" t="e">
        <f>NA()</f>
        <v>#N/A</v>
      </c>
      <c r="H668" t="e">
        <f>NA()</f>
        <v>#N/A</v>
      </c>
      <c r="I668" t="e">
        <f>NA()</f>
        <v>#N/A</v>
      </c>
      <c r="J668" t="e">
        <f>NA()</f>
        <v>#N/A</v>
      </c>
      <c r="K668" t="e">
        <f>NA()</f>
        <v>#N/A</v>
      </c>
      <c r="L668" t="e">
        <f>NA()</f>
        <v>#N/A</v>
      </c>
      <c r="M668" t="e">
        <f>NA()</f>
        <v>#N/A</v>
      </c>
      <c r="N668" t="e">
        <f>NA()</f>
        <v>#N/A</v>
      </c>
      <c r="O668">
        <f t="shared" si="23"/>
        <v>4.8</v>
      </c>
    </row>
    <row r="669" spans="1:15" x14ac:dyDescent="0.25">
      <c r="A669" s="1">
        <v>45021</v>
      </c>
      <c r="B669" t="e">
        <f>NA()</f>
        <v>#N/A</v>
      </c>
      <c r="C669" t="e">
        <f>NA()</f>
        <v>#N/A</v>
      </c>
      <c r="D669" t="e">
        <f>NA()</f>
        <v>#N/A</v>
      </c>
      <c r="E669" t="e">
        <f>NA()</f>
        <v>#N/A</v>
      </c>
      <c r="F669" t="e">
        <f>NA()</f>
        <v>#N/A</v>
      </c>
      <c r="G669" t="e">
        <f>NA()</f>
        <v>#N/A</v>
      </c>
      <c r="H669" t="e">
        <f>NA()</f>
        <v>#N/A</v>
      </c>
      <c r="I669" t="e">
        <f>NA()</f>
        <v>#N/A</v>
      </c>
      <c r="J669" t="e">
        <f>NA()</f>
        <v>#N/A</v>
      </c>
      <c r="K669" t="e">
        <f>NA()</f>
        <v>#N/A</v>
      </c>
      <c r="L669" t="e">
        <f>NA()</f>
        <v>#N/A</v>
      </c>
      <c r="M669" t="e">
        <f>NA()</f>
        <v>#N/A</v>
      </c>
      <c r="N669" t="e">
        <f>NA()</f>
        <v>#N/A</v>
      </c>
      <c r="O669">
        <f t="shared" si="23"/>
        <v>4.8</v>
      </c>
    </row>
    <row r="670" spans="1:15" x14ac:dyDescent="0.25">
      <c r="A670" s="1">
        <v>45020</v>
      </c>
      <c r="B670" t="e">
        <f>NA()</f>
        <v>#N/A</v>
      </c>
      <c r="C670" t="e">
        <f>NA()</f>
        <v>#N/A</v>
      </c>
      <c r="D670" t="e">
        <f>NA()</f>
        <v>#N/A</v>
      </c>
      <c r="E670" t="e">
        <f>NA()</f>
        <v>#N/A</v>
      </c>
      <c r="F670" t="e">
        <f>NA()</f>
        <v>#N/A</v>
      </c>
      <c r="G670" t="e">
        <f>NA()</f>
        <v>#N/A</v>
      </c>
      <c r="H670" t="e">
        <f>NA()</f>
        <v>#N/A</v>
      </c>
      <c r="I670" t="e">
        <f>NA()</f>
        <v>#N/A</v>
      </c>
      <c r="J670" t="e">
        <f>NA()</f>
        <v>#N/A</v>
      </c>
      <c r="K670" t="e">
        <f>NA()</f>
        <v>#N/A</v>
      </c>
      <c r="L670" t="e">
        <f>NA()</f>
        <v>#N/A</v>
      </c>
      <c r="M670" t="e">
        <f>NA()</f>
        <v>#N/A</v>
      </c>
      <c r="N670" t="e">
        <f>NA()</f>
        <v>#N/A</v>
      </c>
      <c r="O670">
        <f t="shared" si="23"/>
        <v>4.8</v>
      </c>
    </row>
    <row r="671" spans="1:15" x14ac:dyDescent="0.25">
      <c r="A671" s="1">
        <v>45019</v>
      </c>
      <c r="B671" t="e">
        <f>NA()</f>
        <v>#N/A</v>
      </c>
      <c r="C671" t="e">
        <f>NA()</f>
        <v>#N/A</v>
      </c>
      <c r="D671" t="e">
        <f>NA()</f>
        <v>#N/A</v>
      </c>
      <c r="E671" t="e">
        <f>NA()</f>
        <v>#N/A</v>
      </c>
      <c r="F671" t="e">
        <f>NA()</f>
        <v>#N/A</v>
      </c>
      <c r="G671" t="e">
        <f>NA()</f>
        <v>#N/A</v>
      </c>
      <c r="H671" t="e">
        <f>NA()</f>
        <v>#N/A</v>
      </c>
      <c r="I671" t="e">
        <f>NA()</f>
        <v>#N/A</v>
      </c>
      <c r="J671" t="e">
        <f>NA()</f>
        <v>#N/A</v>
      </c>
      <c r="K671" t="e">
        <f>NA()</f>
        <v>#N/A</v>
      </c>
      <c r="L671" t="e">
        <f>NA()</f>
        <v>#N/A</v>
      </c>
      <c r="M671" t="e">
        <f>NA()</f>
        <v>#N/A</v>
      </c>
      <c r="N671" t="e">
        <f>NA()</f>
        <v>#N/A</v>
      </c>
      <c r="O671">
        <f t="shared" si="23"/>
        <v>4.8</v>
      </c>
    </row>
    <row r="672" spans="1:15" x14ac:dyDescent="0.25">
      <c r="A672" s="1">
        <v>45016</v>
      </c>
      <c r="B672">
        <f>-0.3</f>
        <v>-0.3</v>
      </c>
      <c r="C672">
        <f>0</f>
        <v>0</v>
      </c>
      <c r="D672">
        <f>0.4</f>
        <v>0.4</v>
      </c>
      <c r="E672">
        <f>-0.4</f>
        <v>-0.4</v>
      </c>
      <c r="F672">
        <f>9572</f>
        <v>9572</v>
      </c>
      <c r="G672">
        <f>62.6</f>
        <v>62.6</v>
      </c>
      <c r="H672">
        <f>6.8</f>
        <v>6.8</v>
      </c>
      <c r="I672">
        <f>301.8</f>
        <v>301.8</v>
      </c>
      <c r="J672">
        <f>5</f>
        <v>5</v>
      </c>
      <c r="K672">
        <f>46.3</f>
        <v>46.3</v>
      </c>
      <c r="L672">
        <f>0</f>
        <v>0</v>
      </c>
      <c r="M672">
        <f>2.9</f>
        <v>2.9</v>
      </c>
      <c r="N672">
        <f>3.5</f>
        <v>3.5</v>
      </c>
      <c r="O672">
        <f t="shared" si="23"/>
        <v>4.8</v>
      </c>
    </row>
    <row r="673" spans="1:15" x14ac:dyDescent="0.25">
      <c r="A673" s="1">
        <v>45015</v>
      </c>
      <c r="B673" t="e">
        <f>NA()</f>
        <v>#N/A</v>
      </c>
      <c r="C673" t="e">
        <f>NA()</f>
        <v>#N/A</v>
      </c>
      <c r="D673" t="e">
        <f>NA()</f>
        <v>#N/A</v>
      </c>
      <c r="E673" t="e">
        <f>NA()</f>
        <v>#N/A</v>
      </c>
      <c r="F673" t="e">
        <f>NA()</f>
        <v>#N/A</v>
      </c>
      <c r="G673" t="e">
        <f>NA()</f>
        <v>#N/A</v>
      </c>
      <c r="H673" t="e">
        <f>NA()</f>
        <v>#N/A</v>
      </c>
      <c r="I673" t="e">
        <f>NA()</f>
        <v>#N/A</v>
      </c>
      <c r="J673" t="e">
        <f>NA()</f>
        <v>#N/A</v>
      </c>
      <c r="K673" t="e">
        <f>NA()</f>
        <v>#N/A</v>
      </c>
      <c r="L673" t="e">
        <f>NA()</f>
        <v>#N/A</v>
      </c>
      <c r="M673" t="e">
        <f>NA()</f>
        <v>#N/A</v>
      </c>
      <c r="N673" t="e">
        <f>NA()</f>
        <v>#N/A</v>
      </c>
      <c r="O673">
        <f t="shared" si="23"/>
        <v>4.8</v>
      </c>
    </row>
    <row r="674" spans="1:15" x14ac:dyDescent="0.25">
      <c r="A674" s="1">
        <v>45014</v>
      </c>
      <c r="B674" t="e">
        <f>NA()</f>
        <v>#N/A</v>
      </c>
      <c r="C674" t="e">
        <f>NA()</f>
        <v>#N/A</v>
      </c>
      <c r="D674" t="e">
        <f>NA()</f>
        <v>#N/A</v>
      </c>
      <c r="E674" t="e">
        <f>NA()</f>
        <v>#N/A</v>
      </c>
      <c r="F674" t="e">
        <f>NA()</f>
        <v>#N/A</v>
      </c>
      <c r="G674" t="e">
        <f>NA()</f>
        <v>#N/A</v>
      </c>
      <c r="H674" t="e">
        <f>NA()</f>
        <v>#N/A</v>
      </c>
      <c r="I674" t="e">
        <f>NA()</f>
        <v>#N/A</v>
      </c>
      <c r="J674" t="e">
        <f>NA()</f>
        <v>#N/A</v>
      </c>
      <c r="K674" t="e">
        <f>NA()</f>
        <v>#N/A</v>
      </c>
      <c r="L674" t="e">
        <f>NA()</f>
        <v>#N/A</v>
      </c>
      <c r="M674" t="e">
        <f>NA()</f>
        <v>#N/A</v>
      </c>
      <c r="N674" t="e">
        <f>NA()</f>
        <v>#N/A</v>
      </c>
      <c r="O674">
        <f t="shared" si="23"/>
        <v>4.8</v>
      </c>
    </row>
    <row r="675" spans="1:15" x14ac:dyDescent="0.25">
      <c r="A675" s="1">
        <v>45013</v>
      </c>
      <c r="B675" t="e">
        <f>NA()</f>
        <v>#N/A</v>
      </c>
      <c r="C675" t="e">
        <f>NA()</f>
        <v>#N/A</v>
      </c>
      <c r="D675" t="e">
        <f>NA()</f>
        <v>#N/A</v>
      </c>
      <c r="E675" t="e">
        <f>NA()</f>
        <v>#N/A</v>
      </c>
      <c r="F675" t="e">
        <f>NA()</f>
        <v>#N/A</v>
      </c>
      <c r="G675" t="e">
        <f>NA()</f>
        <v>#N/A</v>
      </c>
      <c r="H675" t="e">
        <f>NA()</f>
        <v>#N/A</v>
      </c>
      <c r="I675" t="e">
        <f>NA()</f>
        <v>#N/A</v>
      </c>
      <c r="J675" t="e">
        <f>NA()</f>
        <v>#N/A</v>
      </c>
      <c r="K675" t="e">
        <f>NA()</f>
        <v>#N/A</v>
      </c>
      <c r="L675" t="e">
        <f>NA()</f>
        <v>#N/A</v>
      </c>
      <c r="M675" t="e">
        <f>NA()</f>
        <v>#N/A</v>
      </c>
      <c r="N675" t="e">
        <f>NA()</f>
        <v>#N/A</v>
      </c>
      <c r="O675">
        <f t="shared" si="23"/>
        <v>4.8</v>
      </c>
    </row>
    <row r="676" spans="1:15" x14ac:dyDescent="0.25">
      <c r="A676" s="1">
        <v>45012</v>
      </c>
      <c r="B676" t="e">
        <f>NA()</f>
        <v>#N/A</v>
      </c>
      <c r="C676" t="e">
        <f>NA()</f>
        <v>#N/A</v>
      </c>
      <c r="D676" t="e">
        <f>NA()</f>
        <v>#N/A</v>
      </c>
      <c r="E676" t="e">
        <f>NA()</f>
        <v>#N/A</v>
      </c>
      <c r="F676" t="e">
        <f>NA()</f>
        <v>#N/A</v>
      </c>
      <c r="G676" t="e">
        <f>NA()</f>
        <v>#N/A</v>
      </c>
      <c r="H676" t="e">
        <f>NA()</f>
        <v>#N/A</v>
      </c>
      <c r="I676" t="e">
        <f>NA()</f>
        <v>#N/A</v>
      </c>
      <c r="J676" t="e">
        <f>NA()</f>
        <v>#N/A</v>
      </c>
      <c r="K676" t="e">
        <f>NA()</f>
        <v>#N/A</v>
      </c>
      <c r="L676" t="e">
        <f>NA()</f>
        <v>#N/A</v>
      </c>
      <c r="M676" t="e">
        <f>NA()</f>
        <v>#N/A</v>
      </c>
      <c r="N676" t="e">
        <f>NA()</f>
        <v>#N/A</v>
      </c>
      <c r="O676">
        <f t="shared" si="23"/>
        <v>4.8</v>
      </c>
    </row>
    <row r="677" spans="1:15" x14ac:dyDescent="0.25">
      <c r="A677" s="1">
        <v>45009</v>
      </c>
      <c r="B677">
        <f>0.3</f>
        <v>0.3</v>
      </c>
      <c r="C677">
        <f>0</f>
        <v>0</v>
      </c>
      <c r="D677" t="e">
        <f>NA()</f>
        <v>#N/A</v>
      </c>
      <c r="E677" t="e">
        <f>NA()</f>
        <v>#N/A</v>
      </c>
      <c r="F677" t="e">
        <f>NA()</f>
        <v>#N/A</v>
      </c>
      <c r="G677" t="e">
        <f>NA()</f>
        <v>#N/A</v>
      </c>
      <c r="H677" t="e">
        <f>NA()</f>
        <v>#N/A</v>
      </c>
      <c r="I677" t="e">
        <f>NA()</f>
        <v>#N/A</v>
      </c>
      <c r="J677" t="e">
        <f>NA()</f>
        <v>#N/A</v>
      </c>
      <c r="K677" t="e">
        <f>NA()</f>
        <v>#N/A</v>
      </c>
      <c r="L677" t="e">
        <f>NA()</f>
        <v>#N/A</v>
      </c>
      <c r="M677" t="e">
        <f>NA()</f>
        <v>#N/A</v>
      </c>
      <c r="N677" t="e">
        <f>NA()</f>
        <v>#N/A</v>
      </c>
      <c r="O677">
        <f t="shared" si="23"/>
        <v>4.8</v>
      </c>
    </row>
    <row r="678" spans="1:15" x14ac:dyDescent="0.25">
      <c r="A678" s="1">
        <v>45008</v>
      </c>
      <c r="B678" t="e">
        <f>NA()</f>
        <v>#N/A</v>
      </c>
      <c r="C678" t="e">
        <f>NA()</f>
        <v>#N/A</v>
      </c>
      <c r="D678" t="e">
        <f>NA()</f>
        <v>#N/A</v>
      </c>
      <c r="E678" t="e">
        <f>NA()</f>
        <v>#N/A</v>
      </c>
      <c r="F678" t="e">
        <f>NA()</f>
        <v>#N/A</v>
      </c>
      <c r="G678" t="e">
        <f>NA()</f>
        <v>#N/A</v>
      </c>
      <c r="H678" t="e">
        <f>NA()</f>
        <v>#N/A</v>
      </c>
      <c r="I678" t="e">
        <f>NA()</f>
        <v>#N/A</v>
      </c>
      <c r="J678" t="e">
        <f>NA()</f>
        <v>#N/A</v>
      </c>
      <c r="K678" t="e">
        <f>NA()</f>
        <v>#N/A</v>
      </c>
      <c r="L678" t="e">
        <f>NA()</f>
        <v>#N/A</v>
      </c>
      <c r="M678" t="e">
        <f>NA()</f>
        <v>#N/A</v>
      </c>
      <c r="N678" t="e">
        <f>NA()</f>
        <v>#N/A</v>
      </c>
      <c r="O678">
        <f t="shared" si="23"/>
        <v>4.8</v>
      </c>
    </row>
    <row r="679" spans="1:15" x14ac:dyDescent="0.25">
      <c r="A679" s="1">
        <v>45007</v>
      </c>
      <c r="B679" t="e">
        <f>NA()</f>
        <v>#N/A</v>
      </c>
      <c r="C679" t="e">
        <f>NA()</f>
        <v>#N/A</v>
      </c>
      <c r="D679" t="e">
        <f>NA()</f>
        <v>#N/A</v>
      </c>
      <c r="E679" t="e">
        <f>NA()</f>
        <v>#N/A</v>
      </c>
      <c r="F679" t="e">
        <f>NA()</f>
        <v>#N/A</v>
      </c>
      <c r="G679" t="e">
        <f>NA()</f>
        <v>#N/A</v>
      </c>
      <c r="H679" t="e">
        <f>NA()</f>
        <v>#N/A</v>
      </c>
      <c r="I679" t="e">
        <f>NA()</f>
        <v>#N/A</v>
      </c>
      <c r="J679" t="e">
        <f>NA()</f>
        <v>#N/A</v>
      </c>
      <c r="K679" t="e">
        <f>NA()</f>
        <v>#N/A</v>
      </c>
      <c r="L679" t="e">
        <f>NA()</f>
        <v>#N/A</v>
      </c>
      <c r="M679" t="e">
        <f>NA()</f>
        <v>#N/A</v>
      </c>
      <c r="N679" t="e">
        <f>NA()</f>
        <v>#N/A</v>
      </c>
      <c r="O679">
        <f t="shared" ref="O679:O712" si="24">4.6</f>
        <v>4.5999999999999996</v>
      </c>
    </row>
    <row r="680" spans="1:15" x14ac:dyDescent="0.25">
      <c r="A680" s="1">
        <v>45006</v>
      </c>
      <c r="B680" t="e">
        <f>NA()</f>
        <v>#N/A</v>
      </c>
      <c r="C680" t="e">
        <f>NA()</f>
        <v>#N/A</v>
      </c>
      <c r="D680" t="e">
        <f>NA()</f>
        <v>#N/A</v>
      </c>
      <c r="E680" t="e">
        <f>NA()</f>
        <v>#N/A</v>
      </c>
      <c r="F680" t="e">
        <f>NA()</f>
        <v>#N/A</v>
      </c>
      <c r="G680" t="e">
        <f>NA()</f>
        <v>#N/A</v>
      </c>
      <c r="H680" t="e">
        <f>NA()</f>
        <v>#N/A</v>
      </c>
      <c r="I680" t="e">
        <f>NA()</f>
        <v>#N/A</v>
      </c>
      <c r="J680" t="e">
        <f>NA()</f>
        <v>#N/A</v>
      </c>
      <c r="K680" t="e">
        <f>NA()</f>
        <v>#N/A</v>
      </c>
      <c r="L680" t="e">
        <f>NA()</f>
        <v>#N/A</v>
      </c>
      <c r="M680" t="e">
        <f>NA()</f>
        <v>#N/A</v>
      </c>
      <c r="N680" t="e">
        <f>NA()</f>
        <v>#N/A</v>
      </c>
      <c r="O680">
        <f t="shared" si="24"/>
        <v>4.5999999999999996</v>
      </c>
    </row>
    <row r="681" spans="1:15" x14ac:dyDescent="0.25">
      <c r="A681" s="1">
        <v>45005</v>
      </c>
      <c r="B681" t="e">
        <f>NA()</f>
        <v>#N/A</v>
      </c>
      <c r="C681" t="e">
        <f>NA()</f>
        <v>#N/A</v>
      </c>
      <c r="D681" t="e">
        <f>NA()</f>
        <v>#N/A</v>
      </c>
      <c r="E681" t="e">
        <f>NA()</f>
        <v>#N/A</v>
      </c>
      <c r="F681" t="e">
        <f>NA()</f>
        <v>#N/A</v>
      </c>
      <c r="G681" t="e">
        <f>NA()</f>
        <v>#N/A</v>
      </c>
      <c r="H681" t="e">
        <f>NA()</f>
        <v>#N/A</v>
      </c>
      <c r="I681" t="e">
        <f>NA()</f>
        <v>#N/A</v>
      </c>
      <c r="J681" t="e">
        <f>NA()</f>
        <v>#N/A</v>
      </c>
      <c r="K681" t="e">
        <f>NA()</f>
        <v>#N/A</v>
      </c>
      <c r="L681" t="e">
        <f>NA()</f>
        <v>#N/A</v>
      </c>
      <c r="M681" t="e">
        <f>NA()</f>
        <v>#N/A</v>
      </c>
      <c r="N681" t="e">
        <f>NA()</f>
        <v>#N/A</v>
      </c>
      <c r="O681">
        <f t="shared" si="24"/>
        <v>4.5999999999999996</v>
      </c>
    </row>
    <row r="682" spans="1:15" x14ac:dyDescent="0.25">
      <c r="A682" s="1">
        <v>45002</v>
      </c>
      <c r="B682">
        <f>1.1</f>
        <v>1.1000000000000001</v>
      </c>
      <c r="C682">
        <f>0</f>
        <v>0</v>
      </c>
      <c r="D682" t="e">
        <f>NA()</f>
        <v>#N/A</v>
      </c>
      <c r="E682" t="e">
        <f>NA()</f>
        <v>#N/A</v>
      </c>
      <c r="F682" t="e">
        <f>NA()</f>
        <v>#N/A</v>
      </c>
      <c r="G682" t="e">
        <f>NA()</f>
        <v>#N/A</v>
      </c>
      <c r="H682" t="e">
        <f>NA()</f>
        <v>#N/A</v>
      </c>
      <c r="I682" t="e">
        <f>NA()</f>
        <v>#N/A</v>
      </c>
      <c r="J682" t="e">
        <f>NA()</f>
        <v>#N/A</v>
      </c>
      <c r="K682" t="e">
        <f>NA()</f>
        <v>#N/A</v>
      </c>
      <c r="L682" t="e">
        <f>NA()</f>
        <v>#N/A</v>
      </c>
      <c r="M682" t="e">
        <f>NA()</f>
        <v>#N/A</v>
      </c>
      <c r="N682" t="e">
        <f>NA()</f>
        <v>#N/A</v>
      </c>
      <c r="O682">
        <f t="shared" si="24"/>
        <v>4.5999999999999996</v>
      </c>
    </row>
    <row r="683" spans="1:15" x14ac:dyDescent="0.25">
      <c r="A683" s="1">
        <v>45001</v>
      </c>
      <c r="B683" t="e">
        <f>NA()</f>
        <v>#N/A</v>
      </c>
      <c r="C683" t="e">
        <f>NA()</f>
        <v>#N/A</v>
      </c>
      <c r="D683" t="e">
        <f>NA()</f>
        <v>#N/A</v>
      </c>
      <c r="E683" t="e">
        <f>NA()</f>
        <v>#N/A</v>
      </c>
      <c r="F683" t="e">
        <f>NA()</f>
        <v>#N/A</v>
      </c>
      <c r="G683" t="e">
        <f>NA()</f>
        <v>#N/A</v>
      </c>
      <c r="H683" t="e">
        <f>NA()</f>
        <v>#N/A</v>
      </c>
      <c r="I683" t="e">
        <f>NA()</f>
        <v>#N/A</v>
      </c>
      <c r="J683" t="e">
        <f>NA()</f>
        <v>#N/A</v>
      </c>
      <c r="K683" t="e">
        <f>NA()</f>
        <v>#N/A</v>
      </c>
      <c r="L683" t="e">
        <f>NA()</f>
        <v>#N/A</v>
      </c>
      <c r="M683" t="e">
        <f>NA()</f>
        <v>#N/A</v>
      </c>
      <c r="N683" t="e">
        <f>NA()</f>
        <v>#N/A</v>
      </c>
      <c r="O683">
        <f t="shared" si="24"/>
        <v>4.5999999999999996</v>
      </c>
    </row>
    <row r="684" spans="1:15" x14ac:dyDescent="0.25">
      <c r="A684" s="1">
        <v>45000</v>
      </c>
      <c r="B684" t="e">
        <f>NA()</f>
        <v>#N/A</v>
      </c>
      <c r="C684" t="e">
        <f>NA()</f>
        <v>#N/A</v>
      </c>
      <c r="D684" t="e">
        <f>NA()</f>
        <v>#N/A</v>
      </c>
      <c r="E684" t="e">
        <f>NA()</f>
        <v>#N/A</v>
      </c>
      <c r="F684" t="e">
        <f>NA()</f>
        <v>#N/A</v>
      </c>
      <c r="G684" t="e">
        <f>NA()</f>
        <v>#N/A</v>
      </c>
      <c r="H684" t="e">
        <f>NA()</f>
        <v>#N/A</v>
      </c>
      <c r="I684" t="e">
        <f>NA()</f>
        <v>#N/A</v>
      </c>
      <c r="J684" t="e">
        <f>NA()</f>
        <v>#N/A</v>
      </c>
      <c r="K684" t="e">
        <f>NA()</f>
        <v>#N/A</v>
      </c>
      <c r="L684" t="e">
        <f>NA()</f>
        <v>#N/A</v>
      </c>
      <c r="M684" t="e">
        <f>NA()</f>
        <v>#N/A</v>
      </c>
      <c r="N684" t="e">
        <f>NA()</f>
        <v>#N/A</v>
      </c>
      <c r="O684">
        <f t="shared" si="24"/>
        <v>4.5999999999999996</v>
      </c>
    </row>
    <row r="685" spans="1:15" x14ac:dyDescent="0.25">
      <c r="A685" s="1">
        <v>44999</v>
      </c>
      <c r="B685" t="e">
        <f>NA()</f>
        <v>#N/A</v>
      </c>
      <c r="C685" t="e">
        <f>NA()</f>
        <v>#N/A</v>
      </c>
      <c r="D685" t="e">
        <f>NA()</f>
        <v>#N/A</v>
      </c>
      <c r="E685" t="e">
        <f>NA()</f>
        <v>#N/A</v>
      </c>
      <c r="F685" t="e">
        <f>NA()</f>
        <v>#N/A</v>
      </c>
      <c r="G685" t="e">
        <f>NA()</f>
        <v>#N/A</v>
      </c>
      <c r="H685" t="e">
        <f>NA()</f>
        <v>#N/A</v>
      </c>
      <c r="I685" t="e">
        <f>NA()</f>
        <v>#N/A</v>
      </c>
      <c r="J685" t="e">
        <f>NA()</f>
        <v>#N/A</v>
      </c>
      <c r="K685" t="e">
        <f>NA()</f>
        <v>#N/A</v>
      </c>
      <c r="L685" t="e">
        <f>NA()</f>
        <v>#N/A</v>
      </c>
      <c r="M685" t="e">
        <f>NA()</f>
        <v>#N/A</v>
      </c>
      <c r="N685" t="e">
        <f>NA()</f>
        <v>#N/A</v>
      </c>
      <c r="O685">
        <f t="shared" si="24"/>
        <v>4.5999999999999996</v>
      </c>
    </row>
    <row r="686" spans="1:15" x14ac:dyDescent="0.25">
      <c r="A686" s="1">
        <v>44998</v>
      </c>
      <c r="B686" t="e">
        <f>NA()</f>
        <v>#N/A</v>
      </c>
      <c r="C686" t="e">
        <f>NA()</f>
        <v>#N/A</v>
      </c>
      <c r="D686" t="e">
        <f>NA()</f>
        <v>#N/A</v>
      </c>
      <c r="E686" t="e">
        <f>NA()</f>
        <v>#N/A</v>
      </c>
      <c r="F686" t="e">
        <f>NA()</f>
        <v>#N/A</v>
      </c>
      <c r="G686" t="e">
        <f>NA()</f>
        <v>#N/A</v>
      </c>
      <c r="H686" t="e">
        <f>NA()</f>
        <v>#N/A</v>
      </c>
      <c r="I686" t="e">
        <f>NA()</f>
        <v>#N/A</v>
      </c>
      <c r="J686" t="e">
        <f>NA()</f>
        <v>#N/A</v>
      </c>
      <c r="K686" t="e">
        <f>NA()</f>
        <v>#N/A</v>
      </c>
      <c r="L686" t="e">
        <f>NA()</f>
        <v>#N/A</v>
      </c>
      <c r="M686" t="e">
        <f>NA()</f>
        <v>#N/A</v>
      </c>
      <c r="N686" t="e">
        <f>NA()</f>
        <v>#N/A</v>
      </c>
      <c r="O686">
        <f t="shared" si="24"/>
        <v>4.5999999999999996</v>
      </c>
    </row>
    <row r="687" spans="1:15" x14ac:dyDescent="0.25">
      <c r="A687" s="1">
        <v>44995</v>
      </c>
      <c r="B687">
        <f>-0.1</f>
        <v>-0.1</v>
      </c>
      <c r="C687">
        <f>0</f>
        <v>0</v>
      </c>
      <c r="D687" t="e">
        <f>NA()</f>
        <v>#N/A</v>
      </c>
      <c r="E687" t="e">
        <f>NA()</f>
        <v>#N/A</v>
      </c>
      <c r="F687" t="e">
        <f>NA()</f>
        <v>#N/A</v>
      </c>
      <c r="G687" t="e">
        <f>NA()</f>
        <v>#N/A</v>
      </c>
      <c r="H687" t="e">
        <f>NA()</f>
        <v>#N/A</v>
      </c>
      <c r="I687" t="e">
        <f>NA()</f>
        <v>#N/A</v>
      </c>
      <c r="J687" t="e">
        <f>NA()</f>
        <v>#N/A</v>
      </c>
      <c r="K687" t="e">
        <f>NA()</f>
        <v>#N/A</v>
      </c>
      <c r="L687" t="e">
        <f>NA()</f>
        <v>#N/A</v>
      </c>
      <c r="M687" t="e">
        <f>NA()</f>
        <v>#N/A</v>
      </c>
      <c r="N687" t="e">
        <f>NA()</f>
        <v>#N/A</v>
      </c>
      <c r="O687">
        <f t="shared" si="24"/>
        <v>4.5999999999999996</v>
      </c>
    </row>
    <row r="688" spans="1:15" x14ac:dyDescent="0.25">
      <c r="A688" s="1">
        <v>44994</v>
      </c>
      <c r="B688" t="e">
        <f>NA()</f>
        <v>#N/A</v>
      </c>
      <c r="C688" t="e">
        <f>NA()</f>
        <v>#N/A</v>
      </c>
      <c r="D688" t="e">
        <f>NA()</f>
        <v>#N/A</v>
      </c>
      <c r="E688" t="e">
        <f>NA()</f>
        <v>#N/A</v>
      </c>
      <c r="F688" t="e">
        <f>NA()</f>
        <v>#N/A</v>
      </c>
      <c r="G688" t="e">
        <f>NA()</f>
        <v>#N/A</v>
      </c>
      <c r="H688" t="e">
        <f>NA()</f>
        <v>#N/A</v>
      </c>
      <c r="I688" t="e">
        <f>NA()</f>
        <v>#N/A</v>
      </c>
      <c r="J688" t="e">
        <f>NA()</f>
        <v>#N/A</v>
      </c>
      <c r="K688" t="e">
        <f>NA()</f>
        <v>#N/A</v>
      </c>
      <c r="L688" t="e">
        <f>NA()</f>
        <v>#N/A</v>
      </c>
      <c r="M688" t="e">
        <f>NA()</f>
        <v>#N/A</v>
      </c>
      <c r="N688" t="e">
        <f>NA()</f>
        <v>#N/A</v>
      </c>
      <c r="O688">
        <f t="shared" si="24"/>
        <v>4.5999999999999996</v>
      </c>
    </row>
    <row r="689" spans="1:15" x14ac:dyDescent="0.25">
      <c r="A689" s="1">
        <v>44993</v>
      </c>
      <c r="B689" t="e">
        <f>NA()</f>
        <v>#N/A</v>
      </c>
      <c r="C689" t="e">
        <f>NA()</f>
        <v>#N/A</v>
      </c>
      <c r="D689" t="e">
        <f>NA()</f>
        <v>#N/A</v>
      </c>
      <c r="E689" t="e">
        <f>NA()</f>
        <v>#N/A</v>
      </c>
      <c r="F689" t="e">
        <f>NA()</f>
        <v>#N/A</v>
      </c>
      <c r="G689" t="e">
        <f>NA()</f>
        <v>#N/A</v>
      </c>
      <c r="H689" t="e">
        <f>NA()</f>
        <v>#N/A</v>
      </c>
      <c r="I689" t="e">
        <f>NA()</f>
        <v>#N/A</v>
      </c>
      <c r="J689" t="e">
        <f>NA()</f>
        <v>#N/A</v>
      </c>
      <c r="K689" t="e">
        <f>NA()</f>
        <v>#N/A</v>
      </c>
      <c r="L689" t="e">
        <f>NA()</f>
        <v>#N/A</v>
      </c>
      <c r="M689" t="e">
        <f>NA()</f>
        <v>#N/A</v>
      </c>
      <c r="N689" t="e">
        <f>NA()</f>
        <v>#N/A</v>
      </c>
      <c r="O689">
        <f t="shared" si="24"/>
        <v>4.5999999999999996</v>
      </c>
    </row>
    <row r="690" spans="1:15" x14ac:dyDescent="0.25">
      <c r="A690" s="1">
        <v>44992</v>
      </c>
      <c r="B690" t="e">
        <f>NA()</f>
        <v>#N/A</v>
      </c>
      <c r="C690" t="e">
        <f>NA()</f>
        <v>#N/A</v>
      </c>
      <c r="D690" t="e">
        <f>NA()</f>
        <v>#N/A</v>
      </c>
      <c r="E690" t="e">
        <f>NA()</f>
        <v>#N/A</v>
      </c>
      <c r="F690" t="e">
        <f>NA()</f>
        <v>#N/A</v>
      </c>
      <c r="G690" t="e">
        <f>NA()</f>
        <v>#N/A</v>
      </c>
      <c r="H690" t="e">
        <f>NA()</f>
        <v>#N/A</v>
      </c>
      <c r="I690" t="e">
        <f>NA()</f>
        <v>#N/A</v>
      </c>
      <c r="J690" t="e">
        <f>NA()</f>
        <v>#N/A</v>
      </c>
      <c r="K690" t="e">
        <f>NA()</f>
        <v>#N/A</v>
      </c>
      <c r="L690" t="e">
        <f>NA()</f>
        <v>#N/A</v>
      </c>
      <c r="M690" t="e">
        <f>NA()</f>
        <v>#N/A</v>
      </c>
      <c r="N690" t="e">
        <f>NA()</f>
        <v>#N/A</v>
      </c>
      <c r="O690">
        <f t="shared" si="24"/>
        <v>4.5999999999999996</v>
      </c>
    </row>
    <row r="691" spans="1:15" x14ac:dyDescent="0.25">
      <c r="A691" s="1">
        <v>44991</v>
      </c>
      <c r="B691" t="e">
        <f>NA()</f>
        <v>#N/A</v>
      </c>
      <c r="C691" t="e">
        <f>NA()</f>
        <v>#N/A</v>
      </c>
      <c r="D691" t="e">
        <f>NA()</f>
        <v>#N/A</v>
      </c>
      <c r="E691" t="e">
        <f>NA()</f>
        <v>#N/A</v>
      </c>
      <c r="F691" t="e">
        <f>NA()</f>
        <v>#N/A</v>
      </c>
      <c r="G691" t="e">
        <f>NA()</f>
        <v>#N/A</v>
      </c>
      <c r="H691" t="e">
        <f>NA()</f>
        <v>#N/A</v>
      </c>
      <c r="I691" t="e">
        <f>NA()</f>
        <v>#N/A</v>
      </c>
      <c r="J691" t="e">
        <f>NA()</f>
        <v>#N/A</v>
      </c>
      <c r="K691" t="e">
        <f>NA()</f>
        <v>#N/A</v>
      </c>
      <c r="L691" t="e">
        <f>NA()</f>
        <v>#N/A</v>
      </c>
      <c r="M691" t="e">
        <f>NA()</f>
        <v>#N/A</v>
      </c>
      <c r="N691" t="e">
        <f>NA()</f>
        <v>#N/A</v>
      </c>
      <c r="O691">
        <f t="shared" si="24"/>
        <v>4.5999999999999996</v>
      </c>
    </row>
    <row r="692" spans="1:15" x14ac:dyDescent="0.25">
      <c r="A692" s="1">
        <v>44988</v>
      </c>
      <c r="B692">
        <f>-0.5</f>
        <v>-0.5</v>
      </c>
      <c r="C692">
        <f>0</f>
        <v>0</v>
      </c>
      <c r="D692" t="e">
        <f>NA()</f>
        <v>#N/A</v>
      </c>
      <c r="E692" t="e">
        <f>NA()</f>
        <v>#N/A</v>
      </c>
      <c r="F692" t="e">
        <f>NA()</f>
        <v>#N/A</v>
      </c>
      <c r="G692" t="e">
        <f>NA()</f>
        <v>#N/A</v>
      </c>
      <c r="H692" t="e">
        <f>NA()</f>
        <v>#N/A</v>
      </c>
      <c r="I692" t="e">
        <f>NA()</f>
        <v>#N/A</v>
      </c>
      <c r="J692" t="e">
        <f>NA()</f>
        <v>#N/A</v>
      </c>
      <c r="K692" t="e">
        <f>NA()</f>
        <v>#N/A</v>
      </c>
      <c r="L692" t="e">
        <f>NA()</f>
        <v>#N/A</v>
      </c>
      <c r="M692" t="e">
        <f>NA()</f>
        <v>#N/A</v>
      </c>
      <c r="N692" t="e">
        <f>NA()</f>
        <v>#N/A</v>
      </c>
      <c r="O692">
        <f t="shared" si="24"/>
        <v>4.5999999999999996</v>
      </c>
    </row>
    <row r="693" spans="1:15" x14ac:dyDescent="0.25">
      <c r="A693" s="1">
        <v>44987</v>
      </c>
      <c r="B693" t="e">
        <f>NA()</f>
        <v>#N/A</v>
      </c>
      <c r="C693" t="e">
        <f>NA()</f>
        <v>#N/A</v>
      </c>
      <c r="D693" t="e">
        <f>NA()</f>
        <v>#N/A</v>
      </c>
      <c r="E693" t="e">
        <f>NA()</f>
        <v>#N/A</v>
      </c>
      <c r="F693" t="e">
        <f>NA()</f>
        <v>#N/A</v>
      </c>
      <c r="G693" t="e">
        <f>NA()</f>
        <v>#N/A</v>
      </c>
      <c r="H693" t="e">
        <f>NA()</f>
        <v>#N/A</v>
      </c>
      <c r="I693" t="e">
        <f>NA()</f>
        <v>#N/A</v>
      </c>
      <c r="J693" t="e">
        <f>NA()</f>
        <v>#N/A</v>
      </c>
      <c r="K693" t="e">
        <f>NA()</f>
        <v>#N/A</v>
      </c>
      <c r="L693" t="e">
        <f>NA()</f>
        <v>#N/A</v>
      </c>
      <c r="M693" t="e">
        <f>NA()</f>
        <v>#N/A</v>
      </c>
      <c r="N693" t="e">
        <f>NA()</f>
        <v>#N/A</v>
      </c>
      <c r="O693">
        <f t="shared" si="24"/>
        <v>4.5999999999999996</v>
      </c>
    </row>
    <row r="694" spans="1:15" x14ac:dyDescent="0.25">
      <c r="A694" s="1">
        <v>44986</v>
      </c>
      <c r="B694" t="e">
        <f>NA()</f>
        <v>#N/A</v>
      </c>
      <c r="C694" t="e">
        <f>NA()</f>
        <v>#N/A</v>
      </c>
      <c r="D694" t="e">
        <f>NA()</f>
        <v>#N/A</v>
      </c>
      <c r="E694" t="e">
        <f>NA()</f>
        <v>#N/A</v>
      </c>
      <c r="F694" t="e">
        <f>NA()</f>
        <v>#N/A</v>
      </c>
      <c r="G694" t="e">
        <f>NA()</f>
        <v>#N/A</v>
      </c>
      <c r="H694" t="e">
        <f>NA()</f>
        <v>#N/A</v>
      </c>
      <c r="I694" t="e">
        <f>NA()</f>
        <v>#N/A</v>
      </c>
      <c r="J694" t="e">
        <f>NA()</f>
        <v>#N/A</v>
      </c>
      <c r="K694" t="e">
        <f>NA()</f>
        <v>#N/A</v>
      </c>
      <c r="L694" t="e">
        <f>NA()</f>
        <v>#N/A</v>
      </c>
      <c r="M694" t="e">
        <f>NA()</f>
        <v>#N/A</v>
      </c>
      <c r="N694" t="e">
        <f>NA()</f>
        <v>#N/A</v>
      </c>
      <c r="O694">
        <f t="shared" si="24"/>
        <v>4.5999999999999996</v>
      </c>
    </row>
    <row r="695" spans="1:15" x14ac:dyDescent="0.25">
      <c r="A695" s="1">
        <v>44985</v>
      </c>
      <c r="B695" t="e">
        <f>NA()</f>
        <v>#N/A</v>
      </c>
      <c r="C695" t="e">
        <f>NA()</f>
        <v>#N/A</v>
      </c>
      <c r="D695">
        <f>0.3</f>
        <v>0.3</v>
      </c>
      <c r="E695">
        <f>-1.2</f>
        <v>-1.2</v>
      </c>
      <c r="F695">
        <f>9846</f>
        <v>9846</v>
      </c>
      <c r="G695">
        <f>62.5</f>
        <v>62.5</v>
      </c>
      <c r="H695">
        <f>8.1</f>
        <v>8.1</v>
      </c>
      <c r="I695">
        <f>300.8</f>
        <v>300.8</v>
      </c>
      <c r="J695">
        <f>6</f>
        <v>6</v>
      </c>
      <c r="K695">
        <f>47.5</f>
        <v>47.5</v>
      </c>
      <c r="L695">
        <f>0.1</f>
        <v>0.1</v>
      </c>
      <c r="M695" t="e">
        <f>NA()</f>
        <v>#N/A</v>
      </c>
      <c r="N695">
        <f>3.6</f>
        <v>3.6</v>
      </c>
      <c r="O695">
        <f t="shared" si="24"/>
        <v>4.5999999999999996</v>
      </c>
    </row>
    <row r="696" spans="1:15" x14ac:dyDescent="0.25">
      <c r="A696" s="1">
        <v>44984</v>
      </c>
      <c r="B696" t="e">
        <f>NA()</f>
        <v>#N/A</v>
      </c>
      <c r="C696" t="e">
        <f>NA()</f>
        <v>#N/A</v>
      </c>
      <c r="D696" t="e">
        <f>NA()</f>
        <v>#N/A</v>
      </c>
      <c r="E696" t="e">
        <f>NA()</f>
        <v>#N/A</v>
      </c>
      <c r="F696" t="e">
        <f>NA()</f>
        <v>#N/A</v>
      </c>
      <c r="G696" t="e">
        <f>NA()</f>
        <v>#N/A</v>
      </c>
      <c r="H696" t="e">
        <f>NA()</f>
        <v>#N/A</v>
      </c>
      <c r="I696" t="e">
        <f>NA()</f>
        <v>#N/A</v>
      </c>
      <c r="J696" t="e">
        <f>NA()</f>
        <v>#N/A</v>
      </c>
      <c r="K696" t="e">
        <f>NA()</f>
        <v>#N/A</v>
      </c>
      <c r="L696" t="e">
        <f>NA()</f>
        <v>#N/A</v>
      </c>
      <c r="M696" t="e">
        <f>NA()</f>
        <v>#N/A</v>
      </c>
      <c r="N696" t="e">
        <f>NA()</f>
        <v>#N/A</v>
      </c>
      <c r="O696">
        <f t="shared" si="24"/>
        <v>4.5999999999999996</v>
      </c>
    </row>
    <row r="697" spans="1:15" x14ac:dyDescent="0.25">
      <c r="A697" s="1">
        <v>44981</v>
      </c>
      <c r="B697">
        <f>-0.2</f>
        <v>-0.2</v>
      </c>
      <c r="C697">
        <f>0</f>
        <v>0</v>
      </c>
      <c r="D697" t="e">
        <f>NA()</f>
        <v>#N/A</v>
      </c>
      <c r="E697" t="e">
        <f>NA()</f>
        <v>#N/A</v>
      </c>
      <c r="F697" t="e">
        <f>NA()</f>
        <v>#N/A</v>
      </c>
      <c r="G697" t="e">
        <f>NA()</f>
        <v>#N/A</v>
      </c>
      <c r="H697" t="e">
        <f>NA()</f>
        <v>#N/A</v>
      </c>
      <c r="I697" t="e">
        <f>NA()</f>
        <v>#N/A</v>
      </c>
      <c r="J697" t="e">
        <f>NA()</f>
        <v>#N/A</v>
      </c>
      <c r="K697" t="e">
        <f>NA()</f>
        <v>#N/A</v>
      </c>
      <c r="L697" t="e">
        <f>NA()</f>
        <v>#N/A</v>
      </c>
      <c r="M697" t="e">
        <f>NA()</f>
        <v>#N/A</v>
      </c>
      <c r="N697" t="e">
        <f>NA()</f>
        <v>#N/A</v>
      </c>
      <c r="O697">
        <f t="shared" si="24"/>
        <v>4.5999999999999996</v>
      </c>
    </row>
    <row r="698" spans="1:15" x14ac:dyDescent="0.25">
      <c r="A698" s="1">
        <v>44980</v>
      </c>
      <c r="B698" t="e">
        <f>NA()</f>
        <v>#N/A</v>
      </c>
      <c r="C698" t="e">
        <f>NA()</f>
        <v>#N/A</v>
      </c>
      <c r="D698" t="e">
        <f>NA()</f>
        <v>#N/A</v>
      </c>
      <c r="E698" t="e">
        <f>NA()</f>
        <v>#N/A</v>
      </c>
      <c r="F698" t="e">
        <f>NA()</f>
        <v>#N/A</v>
      </c>
      <c r="G698" t="e">
        <f>NA()</f>
        <v>#N/A</v>
      </c>
      <c r="H698" t="e">
        <f>NA()</f>
        <v>#N/A</v>
      </c>
      <c r="I698" t="e">
        <f>NA()</f>
        <v>#N/A</v>
      </c>
      <c r="J698" t="e">
        <f>NA()</f>
        <v>#N/A</v>
      </c>
      <c r="K698" t="e">
        <f>NA()</f>
        <v>#N/A</v>
      </c>
      <c r="L698" t="e">
        <f>NA()</f>
        <v>#N/A</v>
      </c>
      <c r="M698" t="e">
        <f>NA()</f>
        <v>#N/A</v>
      </c>
      <c r="N698" t="e">
        <f>NA()</f>
        <v>#N/A</v>
      </c>
      <c r="O698">
        <f t="shared" si="24"/>
        <v>4.5999999999999996</v>
      </c>
    </row>
    <row r="699" spans="1:15" x14ac:dyDescent="0.25">
      <c r="A699" s="1">
        <v>44979</v>
      </c>
      <c r="B699" t="e">
        <f>NA()</f>
        <v>#N/A</v>
      </c>
      <c r="C699" t="e">
        <f>NA()</f>
        <v>#N/A</v>
      </c>
      <c r="D699" t="e">
        <f>NA()</f>
        <v>#N/A</v>
      </c>
      <c r="E699" t="e">
        <f>NA()</f>
        <v>#N/A</v>
      </c>
      <c r="F699" t="e">
        <f>NA()</f>
        <v>#N/A</v>
      </c>
      <c r="G699" t="e">
        <f>NA()</f>
        <v>#N/A</v>
      </c>
      <c r="H699" t="e">
        <f>NA()</f>
        <v>#N/A</v>
      </c>
      <c r="I699" t="e">
        <f>NA()</f>
        <v>#N/A</v>
      </c>
      <c r="J699" t="e">
        <f>NA()</f>
        <v>#N/A</v>
      </c>
      <c r="K699" t="e">
        <f>NA()</f>
        <v>#N/A</v>
      </c>
      <c r="L699" t="e">
        <f>NA()</f>
        <v>#N/A</v>
      </c>
      <c r="M699" t="e">
        <f>NA()</f>
        <v>#N/A</v>
      </c>
      <c r="N699" t="e">
        <f>NA()</f>
        <v>#N/A</v>
      </c>
      <c r="O699">
        <f t="shared" si="24"/>
        <v>4.5999999999999996</v>
      </c>
    </row>
    <row r="700" spans="1:15" x14ac:dyDescent="0.25">
      <c r="A700" s="1">
        <v>44978</v>
      </c>
      <c r="B700" t="e">
        <f>NA()</f>
        <v>#N/A</v>
      </c>
      <c r="C700" t="e">
        <f>NA()</f>
        <v>#N/A</v>
      </c>
      <c r="D700" t="e">
        <f>NA()</f>
        <v>#N/A</v>
      </c>
      <c r="E700" t="e">
        <f>NA()</f>
        <v>#N/A</v>
      </c>
      <c r="F700" t="e">
        <f>NA()</f>
        <v>#N/A</v>
      </c>
      <c r="G700" t="e">
        <f>NA()</f>
        <v>#N/A</v>
      </c>
      <c r="H700" t="e">
        <f>NA()</f>
        <v>#N/A</v>
      </c>
      <c r="I700" t="e">
        <f>NA()</f>
        <v>#N/A</v>
      </c>
      <c r="J700" t="e">
        <f>NA()</f>
        <v>#N/A</v>
      </c>
      <c r="K700" t="e">
        <f>NA()</f>
        <v>#N/A</v>
      </c>
      <c r="L700" t="e">
        <f>NA()</f>
        <v>#N/A</v>
      </c>
      <c r="M700" t="e">
        <f>NA()</f>
        <v>#N/A</v>
      </c>
      <c r="N700" t="e">
        <f>NA()</f>
        <v>#N/A</v>
      </c>
      <c r="O700">
        <f t="shared" si="24"/>
        <v>4.5999999999999996</v>
      </c>
    </row>
    <row r="701" spans="1:15" x14ac:dyDescent="0.25">
      <c r="A701" s="1">
        <v>44974</v>
      </c>
      <c r="B701">
        <f>-0.5</f>
        <v>-0.5</v>
      </c>
      <c r="C701">
        <f>0</f>
        <v>0</v>
      </c>
      <c r="D701" t="e">
        <f>NA()</f>
        <v>#N/A</v>
      </c>
      <c r="E701" t="e">
        <f>NA()</f>
        <v>#N/A</v>
      </c>
      <c r="F701" t="e">
        <f>NA()</f>
        <v>#N/A</v>
      </c>
      <c r="G701" t="e">
        <f>NA()</f>
        <v>#N/A</v>
      </c>
      <c r="H701" t="e">
        <f>NA()</f>
        <v>#N/A</v>
      </c>
      <c r="I701" t="e">
        <f>NA()</f>
        <v>#N/A</v>
      </c>
      <c r="J701" t="e">
        <f>NA()</f>
        <v>#N/A</v>
      </c>
      <c r="K701" t="e">
        <f>NA()</f>
        <v>#N/A</v>
      </c>
      <c r="L701" t="e">
        <f>NA()</f>
        <v>#N/A</v>
      </c>
      <c r="M701" t="e">
        <f>NA()</f>
        <v>#N/A</v>
      </c>
      <c r="N701" t="e">
        <f>NA()</f>
        <v>#N/A</v>
      </c>
      <c r="O701">
        <f t="shared" si="24"/>
        <v>4.5999999999999996</v>
      </c>
    </row>
    <row r="702" spans="1:15" x14ac:dyDescent="0.25">
      <c r="A702" s="1">
        <v>44973</v>
      </c>
      <c r="B702" t="e">
        <f>NA()</f>
        <v>#N/A</v>
      </c>
      <c r="C702" t="e">
        <f>NA()</f>
        <v>#N/A</v>
      </c>
      <c r="D702" t="e">
        <f>NA()</f>
        <v>#N/A</v>
      </c>
      <c r="E702" t="e">
        <f>NA()</f>
        <v>#N/A</v>
      </c>
      <c r="F702" t="e">
        <f>NA()</f>
        <v>#N/A</v>
      </c>
      <c r="G702" t="e">
        <f>NA()</f>
        <v>#N/A</v>
      </c>
      <c r="H702" t="e">
        <f>NA()</f>
        <v>#N/A</v>
      </c>
      <c r="I702" t="e">
        <f>NA()</f>
        <v>#N/A</v>
      </c>
      <c r="J702" t="e">
        <f>NA()</f>
        <v>#N/A</v>
      </c>
      <c r="K702" t="e">
        <f>NA()</f>
        <v>#N/A</v>
      </c>
      <c r="L702" t="e">
        <f>NA()</f>
        <v>#N/A</v>
      </c>
      <c r="M702" t="e">
        <f>NA()</f>
        <v>#N/A</v>
      </c>
      <c r="N702" t="e">
        <f>NA()</f>
        <v>#N/A</v>
      </c>
      <c r="O702">
        <f t="shared" si="24"/>
        <v>4.5999999999999996</v>
      </c>
    </row>
    <row r="703" spans="1:15" x14ac:dyDescent="0.25">
      <c r="A703" s="1">
        <v>44972</v>
      </c>
      <c r="B703" t="e">
        <f>NA()</f>
        <v>#N/A</v>
      </c>
      <c r="C703" t="e">
        <f>NA()</f>
        <v>#N/A</v>
      </c>
      <c r="D703" t="e">
        <f>NA()</f>
        <v>#N/A</v>
      </c>
      <c r="E703" t="e">
        <f>NA()</f>
        <v>#N/A</v>
      </c>
      <c r="F703" t="e">
        <f>NA()</f>
        <v>#N/A</v>
      </c>
      <c r="G703" t="e">
        <f>NA()</f>
        <v>#N/A</v>
      </c>
      <c r="H703" t="e">
        <f>NA()</f>
        <v>#N/A</v>
      </c>
      <c r="I703" t="e">
        <f>NA()</f>
        <v>#N/A</v>
      </c>
      <c r="J703" t="e">
        <f>NA()</f>
        <v>#N/A</v>
      </c>
      <c r="K703" t="e">
        <f>NA()</f>
        <v>#N/A</v>
      </c>
      <c r="L703" t="e">
        <f>NA()</f>
        <v>#N/A</v>
      </c>
      <c r="M703" t="e">
        <f>NA()</f>
        <v>#N/A</v>
      </c>
      <c r="N703" t="e">
        <f>NA()</f>
        <v>#N/A</v>
      </c>
      <c r="O703">
        <f t="shared" si="24"/>
        <v>4.5999999999999996</v>
      </c>
    </row>
    <row r="704" spans="1:15" x14ac:dyDescent="0.25">
      <c r="A704" s="1">
        <v>44971</v>
      </c>
      <c r="B704" t="e">
        <f>NA()</f>
        <v>#N/A</v>
      </c>
      <c r="C704" t="e">
        <f>NA()</f>
        <v>#N/A</v>
      </c>
      <c r="D704" t="e">
        <f>NA()</f>
        <v>#N/A</v>
      </c>
      <c r="E704" t="e">
        <f>NA()</f>
        <v>#N/A</v>
      </c>
      <c r="F704" t="e">
        <f>NA()</f>
        <v>#N/A</v>
      </c>
      <c r="G704" t="e">
        <f>NA()</f>
        <v>#N/A</v>
      </c>
      <c r="H704" t="e">
        <f>NA()</f>
        <v>#N/A</v>
      </c>
      <c r="I704" t="e">
        <f>NA()</f>
        <v>#N/A</v>
      </c>
      <c r="J704" t="e">
        <f>NA()</f>
        <v>#N/A</v>
      </c>
      <c r="K704" t="e">
        <f>NA()</f>
        <v>#N/A</v>
      </c>
      <c r="L704" t="e">
        <f>NA()</f>
        <v>#N/A</v>
      </c>
      <c r="M704" t="e">
        <f>NA()</f>
        <v>#N/A</v>
      </c>
      <c r="N704" t="e">
        <f>NA()</f>
        <v>#N/A</v>
      </c>
      <c r="O704">
        <f t="shared" si="24"/>
        <v>4.5999999999999996</v>
      </c>
    </row>
    <row r="705" spans="1:15" x14ac:dyDescent="0.25">
      <c r="A705" s="1">
        <v>44970</v>
      </c>
      <c r="B705" t="e">
        <f>NA()</f>
        <v>#N/A</v>
      </c>
      <c r="C705" t="e">
        <f>NA()</f>
        <v>#N/A</v>
      </c>
      <c r="D705" t="e">
        <f>NA()</f>
        <v>#N/A</v>
      </c>
      <c r="E705" t="e">
        <f>NA()</f>
        <v>#N/A</v>
      </c>
      <c r="F705" t="e">
        <f>NA()</f>
        <v>#N/A</v>
      </c>
      <c r="G705" t="e">
        <f>NA()</f>
        <v>#N/A</v>
      </c>
      <c r="H705" t="e">
        <f>NA()</f>
        <v>#N/A</v>
      </c>
      <c r="I705" t="e">
        <f>NA()</f>
        <v>#N/A</v>
      </c>
      <c r="J705" t="e">
        <f>NA()</f>
        <v>#N/A</v>
      </c>
      <c r="K705" t="e">
        <f>NA()</f>
        <v>#N/A</v>
      </c>
      <c r="L705" t="e">
        <f>NA()</f>
        <v>#N/A</v>
      </c>
      <c r="M705" t="e">
        <f>NA()</f>
        <v>#N/A</v>
      </c>
      <c r="N705" t="e">
        <f>NA()</f>
        <v>#N/A</v>
      </c>
      <c r="O705">
        <f t="shared" si="24"/>
        <v>4.5999999999999996</v>
      </c>
    </row>
    <row r="706" spans="1:15" x14ac:dyDescent="0.25">
      <c r="A706" s="1">
        <v>44967</v>
      </c>
      <c r="B706">
        <f>-0.6</f>
        <v>-0.6</v>
      </c>
      <c r="C706">
        <f>0</f>
        <v>0</v>
      </c>
      <c r="D706" t="e">
        <f>NA()</f>
        <v>#N/A</v>
      </c>
      <c r="E706" t="e">
        <f>NA()</f>
        <v>#N/A</v>
      </c>
      <c r="F706" t="e">
        <f>NA()</f>
        <v>#N/A</v>
      </c>
      <c r="G706" t="e">
        <f>NA()</f>
        <v>#N/A</v>
      </c>
      <c r="H706" t="e">
        <f>NA()</f>
        <v>#N/A</v>
      </c>
      <c r="I706" t="e">
        <f>NA()</f>
        <v>#N/A</v>
      </c>
      <c r="J706" t="e">
        <f>NA()</f>
        <v>#N/A</v>
      </c>
      <c r="K706" t="e">
        <f>NA()</f>
        <v>#N/A</v>
      </c>
      <c r="L706" t="e">
        <f>NA()</f>
        <v>#N/A</v>
      </c>
      <c r="M706" t="e">
        <f>NA()</f>
        <v>#N/A</v>
      </c>
      <c r="N706" t="e">
        <f>NA()</f>
        <v>#N/A</v>
      </c>
      <c r="O706">
        <f t="shared" si="24"/>
        <v>4.5999999999999996</v>
      </c>
    </row>
    <row r="707" spans="1:15" x14ac:dyDescent="0.25">
      <c r="A707" s="1">
        <v>44966</v>
      </c>
      <c r="B707" t="e">
        <f>NA()</f>
        <v>#N/A</v>
      </c>
      <c r="C707" t="e">
        <f>NA()</f>
        <v>#N/A</v>
      </c>
      <c r="D707" t="e">
        <f>NA()</f>
        <v>#N/A</v>
      </c>
      <c r="E707" t="e">
        <f>NA()</f>
        <v>#N/A</v>
      </c>
      <c r="F707" t="e">
        <f>NA()</f>
        <v>#N/A</v>
      </c>
      <c r="G707" t="e">
        <f>NA()</f>
        <v>#N/A</v>
      </c>
      <c r="H707" t="e">
        <f>NA()</f>
        <v>#N/A</v>
      </c>
      <c r="I707" t="e">
        <f>NA()</f>
        <v>#N/A</v>
      </c>
      <c r="J707" t="e">
        <f>NA()</f>
        <v>#N/A</v>
      </c>
      <c r="K707" t="e">
        <f>NA()</f>
        <v>#N/A</v>
      </c>
      <c r="L707" t="e">
        <f>NA()</f>
        <v>#N/A</v>
      </c>
      <c r="M707" t="e">
        <f>NA()</f>
        <v>#N/A</v>
      </c>
      <c r="N707" t="e">
        <f>NA()</f>
        <v>#N/A</v>
      </c>
      <c r="O707">
        <f t="shared" si="24"/>
        <v>4.5999999999999996</v>
      </c>
    </row>
    <row r="708" spans="1:15" x14ac:dyDescent="0.25">
      <c r="A708" s="1">
        <v>44965</v>
      </c>
      <c r="B708" t="e">
        <f>NA()</f>
        <v>#N/A</v>
      </c>
      <c r="C708" t="e">
        <f>NA()</f>
        <v>#N/A</v>
      </c>
      <c r="D708" t="e">
        <f>NA()</f>
        <v>#N/A</v>
      </c>
      <c r="E708" t="e">
        <f>NA()</f>
        <v>#N/A</v>
      </c>
      <c r="F708" t="e">
        <f>NA()</f>
        <v>#N/A</v>
      </c>
      <c r="G708" t="e">
        <f>NA()</f>
        <v>#N/A</v>
      </c>
      <c r="H708" t="e">
        <f>NA()</f>
        <v>#N/A</v>
      </c>
      <c r="I708" t="e">
        <f>NA()</f>
        <v>#N/A</v>
      </c>
      <c r="J708" t="e">
        <f>NA()</f>
        <v>#N/A</v>
      </c>
      <c r="K708" t="e">
        <f>NA()</f>
        <v>#N/A</v>
      </c>
      <c r="L708" t="e">
        <f>NA()</f>
        <v>#N/A</v>
      </c>
      <c r="M708" t="e">
        <f>NA()</f>
        <v>#N/A</v>
      </c>
      <c r="N708" t="e">
        <f>NA()</f>
        <v>#N/A</v>
      </c>
      <c r="O708">
        <f t="shared" si="24"/>
        <v>4.5999999999999996</v>
      </c>
    </row>
    <row r="709" spans="1:15" x14ac:dyDescent="0.25">
      <c r="A709" s="1">
        <v>44964</v>
      </c>
      <c r="B709" t="e">
        <f>NA()</f>
        <v>#N/A</v>
      </c>
      <c r="C709" t="e">
        <f>NA()</f>
        <v>#N/A</v>
      </c>
      <c r="D709" t="e">
        <f>NA()</f>
        <v>#N/A</v>
      </c>
      <c r="E709" t="e">
        <f>NA()</f>
        <v>#N/A</v>
      </c>
      <c r="F709" t="e">
        <f>NA()</f>
        <v>#N/A</v>
      </c>
      <c r="G709" t="e">
        <f>NA()</f>
        <v>#N/A</v>
      </c>
      <c r="H709" t="e">
        <f>NA()</f>
        <v>#N/A</v>
      </c>
      <c r="I709" t="e">
        <f>NA()</f>
        <v>#N/A</v>
      </c>
      <c r="J709" t="e">
        <f>NA()</f>
        <v>#N/A</v>
      </c>
      <c r="K709" t="e">
        <f>NA()</f>
        <v>#N/A</v>
      </c>
      <c r="L709" t="e">
        <f>NA()</f>
        <v>#N/A</v>
      </c>
      <c r="M709" t="e">
        <f>NA()</f>
        <v>#N/A</v>
      </c>
      <c r="N709" t="e">
        <f>NA()</f>
        <v>#N/A</v>
      </c>
      <c r="O709">
        <f t="shared" si="24"/>
        <v>4.5999999999999996</v>
      </c>
    </row>
    <row r="710" spans="1:15" x14ac:dyDescent="0.25">
      <c r="A710" s="1">
        <v>44963</v>
      </c>
      <c r="B710" t="e">
        <f>NA()</f>
        <v>#N/A</v>
      </c>
      <c r="C710" t="e">
        <f>NA()</f>
        <v>#N/A</v>
      </c>
      <c r="D710" t="e">
        <f>NA()</f>
        <v>#N/A</v>
      </c>
      <c r="E710" t="e">
        <f>NA()</f>
        <v>#N/A</v>
      </c>
      <c r="F710" t="e">
        <f>NA()</f>
        <v>#N/A</v>
      </c>
      <c r="G710" t="e">
        <f>NA()</f>
        <v>#N/A</v>
      </c>
      <c r="H710" t="e">
        <f>NA()</f>
        <v>#N/A</v>
      </c>
      <c r="I710" t="e">
        <f>NA()</f>
        <v>#N/A</v>
      </c>
      <c r="J710" t="e">
        <f>NA()</f>
        <v>#N/A</v>
      </c>
      <c r="K710" t="e">
        <f>NA()</f>
        <v>#N/A</v>
      </c>
      <c r="L710" t="e">
        <f>NA()</f>
        <v>#N/A</v>
      </c>
      <c r="M710" t="e">
        <f>NA()</f>
        <v>#N/A</v>
      </c>
      <c r="N710" t="e">
        <f>NA()</f>
        <v>#N/A</v>
      </c>
      <c r="O710">
        <f t="shared" si="24"/>
        <v>4.5999999999999996</v>
      </c>
    </row>
    <row r="711" spans="1:15" x14ac:dyDescent="0.25">
      <c r="A711" s="1">
        <v>44960</v>
      </c>
      <c r="B711">
        <f>-0.6</f>
        <v>-0.6</v>
      </c>
      <c r="C711">
        <f>0</f>
        <v>0</v>
      </c>
      <c r="D711" t="e">
        <f>NA()</f>
        <v>#N/A</v>
      </c>
      <c r="E711" t="e">
        <f>NA()</f>
        <v>#N/A</v>
      </c>
      <c r="F711" t="e">
        <f>NA()</f>
        <v>#N/A</v>
      </c>
      <c r="G711" t="e">
        <f>NA()</f>
        <v>#N/A</v>
      </c>
      <c r="H711" t="e">
        <f>NA()</f>
        <v>#N/A</v>
      </c>
      <c r="I711" t="e">
        <f>NA()</f>
        <v>#N/A</v>
      </c>
      <c r="J711" t="e">
        <f>NA()</f>
        <v>#N/A</v>
      </c>
      <c r="K711" t="e">
        <f>NA()</f>
        <v>#N/A</v>
      </c>
      <c r="L711" t="e">
        <f>NA()</f>
        <v>#N/A</v>
      </c>
      <c r="M711" t="e">
        <f>NA()</f>
        <v>#N/A</v>
      </c>
      <c r="N711" t="e">
        <f>NA()</f>
        <v>#N/A</v>
      </c>
      <c r="O711">
        <f t="shared" si="24"/>
        <v>4.5999999999999996</v>
      </c>
    </row>
    <row r="712" spans="1:15" x14ac:dyDescent="0.25">
      <c r="A712" s="1">
        <v>44959</v>
      </c>
      <c r="B712" t="e">
        <f>NA()</f>
        <v>#N/A</v>
      </c>
      <c r="C712" t="e">
        <f>NA()</f>
        <v>#N/A</v>
      </c>
      <c r="D712" t="e">
        <f>NA()</f>
        <v>#N/A</v>
      </c>
      <c r="E712" t="e">
        <f>NA()</f>
        <v>#N/A</v>
      </c>
      <c r="F712" t="e">
        <f>NA()</f>
        <v>#N/A</v>
      </c>
      <c r="G712" t="e">
        <f>NA()</f>
        <v>#N/A</v>
      </c>
      <c r="H712" t="e">
        <f>NA()</f>
        <v>#N/A</v>
      </c>
      <c r="I712" t="e">
        <f>NA()</f>
        <v>#N/A</v>
      </c>
      <c r="J712" t="e">
        <f>NA()</f>
        <v>#N/A</v>
      </c>
      <c r="K712" t="e">
        <f>NA()</f>
        <v>#N/A</v>
      </c>
      <c r="L712" t="e">
        <f>NA()</f>
        <v>#N/A</v>
      </c>
      <c r="M712" t="e">
        <f>NA()</f>
        <v>#N/A</v>
      </c>
      <c r="N712" t="e">
        <f>NA()</f>
        <v>#N/A</v>
      </c>
      <c r="O712">
        <f t="shared" si="24"/>
        <v>4.5999999999999996</v>
      </c>
    </row>
    <row r="713" spans="1:15" x14ac:dyDescent="0.25">
      <c r="A713" s="1">
        <v>44958</v>
      </c>
      <c r="B713" t="e">
        <f>NA()</f>
        <v>#N/A</v>
      </c>
      <c r="C713" t="e">
        <f>NA()</f>
        <v>#N/A</v>
      </c>
      <c r="D713" t="e">
        <f>NA()</f>
        <v>#N/A</v>
      </c>
      <c r="E713" t="e">
        <f>NA()</f>
        <v>#N/A</v>
      </c>
      <c r="F713" t="e">
        <f>NA()</f>
        <v>#N/A</v>
      </c>
      <c r="G713" t="e">
        <f>NA()</f>
        <v>#N/A</v>
      </c>
      <c r="H713" t="e">
        <f>NA()</f>
        <v>#N/A</v>
      </c>
      <c r="I713" t="e">
        <f>NA()</f>
        <v>#N/A</v>
      </c>
      <c r="J713" t="e">
        <f>NA()</f>
        <v>#N/A</v>
      </c>
      <c r="K713" t="e">
        <f>NA()</f>
        <v>#N/A</v>
      </c>
      <c r="L713" t="e">
        <f>NA()</f>
        <v>#N/A</v>
      </c>
      <c r="M713" t="e">
        <f>NA()</f>
        <v>#N/A</v>
      </c>
      <c r="N713" t="e">
        <f>NA()</f>
        <v>#N/A</v>
      </c>
      <c r="O713">
        <f t="shared" ref="O713:O733" si="25">4.3</f>
        <v>4.3</v>
      </c>
    </row>
    <row r="714" spans="1:15" x14ac:dyDescent="0.25">
      <c r="A714" s="1">
        <v>44957</v>
      </c>
      <c r="B714" t="e">
        <f>NA()</f>
        <v>#N/A</v>
      </c>
      <c r="C714" t="e">
        <f>NA()</f>
        <v>#N/A</v>
      </c>
      <c r="D714">
        <f>0.3</f>
        <v>0.3</v>
      </c>
      <c r="E714">
        <f>-1.7</f>
        <v>-1.7</v>
      </c>
      <c r="F714">
        <f>10393</f>
        <v>10393</v>
      </c>
      <c r="G714">
        <f>62.4</f>
        <v>62.4</v>
      </c>
      <c r="H714">
        <f>8.6</f>
        <v>8.6</v>
      </c>
      <c r="I714">
        <f>299.2</f>
        <v>299.2</v>
      </c>
      <c r="J714">
        <f>6.4</f>
        <v>6.4</v>
      </c>
      <c r="K714">
        <f>47.3</f>
        <v>47.3</v>
      </c>
      <c r="L714">
        <f>0.9</f>
        <v>0.9</v>
      </c>
      <c r="M714" t="e">
        <f>NA()</f>
        <v>#N/A</v>
      </c>
      <c r="N714">
        <f>3.5</f>
        <v>3.5</v>
      </c>
      <c r="O714">
        <f t="shared" si="25"/>
        <v>4.3</v>
      </c>
    </row>
    <row r="715" spans="1:15" x14ac:dyDescent="0.25">
      <c r="A715" s="1">
        <v>44956</v>
      </c>
      <c r="B715" t="e">
        <f>NA()</f>
        <v>#N/A</v>
      </c>
      <c r="C715" t="e">
        <f>NA()</f>
        <v>#N/A</v>
      </c>
      <c r="D715" t="e">
        <f>NA()</f>
        <v>#N/A</v>
      </c>
      <c r="E715" t="e">
        <f>NA()</f>
        <v>#N/A</v>
      </c>
      <c r="F715" t="e">
        <f>NA()</f>
        <v>#N/A</v>
      </c>
      <c r="G715" t="e">
        <f>NA()</f>
        <v>#N/A</v>
      </c>
      <c r="H715" t="e">
        <f>NA()</f>
        <v>#N/A</v>
      </c>
      <c r="I715" t="e">
        <f>NA()</f>
        <v>#N/A</v>
      </c>
      <c r="J715" t="e">
        <f>NA()</f>
        <v>#N/A</v>
      </c>
      <c r="K715" t="e">
        <f>NA()</f>
        <v>#N/A</v>
      </c>
      <c r="L715" t="e">
        <f>NA()</f>
        <v>#N/A</v>
      </c>
      <c r="M715" t="e">
        <f>NA()</f>
        <v>#N/A</v>
      </c>
      <c r="N715" t="e">
        <f>NA()</f>
        <v>#N/A</v>
      </c>
      <c r="O715">
        <f t="shared" si="25"/>
        <v>4.3</v>
      </c>
    </row>
    <row r="716" spans="1:15" x14ac:dyDescent="0.25">
      <c r="A716" s="1">
        <v>44953</v>
      </c>
      <c r="B716">
        <f>-0.5</f>
        <v>-0.5</v>
      </c>
      <c r="C716">
        <f>0</f>
        <v>0</v>
      </c>
      <c r="D716" t="e">
        <f>NA()</f>
        <v>#N/A</v>
      </c>
      <c r="E716" t="e">
        <f>NA()</f>
        <v>#N/A</v>
      </c>
      <c r="F716" t="e">
        <f>NA()</f>
        <v>#N/A</v>
      </c>
      <c r="G716" t="e">
        <f>NA()</f>
        <v>#N/A</v>
      </c>
      <c r="H716" t="e">
        <f>NA()</f>
        <v>#N/A</v>
      </c>
      <c r="I716" t="e">
        <f>NA()</f>
        <v>#N/A</v>
      </c>
      <c r="J716" t="e">
        <f>NA()</f>
        <v>#N/A</v>
      </c>
      <c r="K716" t="e">
        <f>NA()</f>
        <v>#N/A</v>
      </c>
      <c r="L716" t="e">
        <f>NA()</f>
        <v>#N/A</v>
      </c>
      <c r="M716" t="e">
        <f>NA()</f>
        <v>#N/A</v>
      </c>
      <c r="N716" t="e">
        <f>NA()</f>
        <v>#N/A</v>
      </c>
      <c r="O716">
        <f t="shared" si="25"/>
        <v>4.3</v>
      </c>
    </row>
    <row r="717" spans="1:15" x14ac:dyDescent="0.25">
      <c r="A717" s="1">
        <v>44952</v>
      </c>
      <c r="B717" t="e">
        <f>NA()</f>
        <v>#N/A</v>
      </c>
      <c r="C717" t="e">
        <f>NA()</f>
        <v>#N/A</v>
      </c>
      <c r="D717" t="e">
        <f>NA()</f>
        <v>#N/A</v>
      </c>
      <c r="E717" t="e">
        <f>NA()</f>
        <v>#N/A</v>
      </c>
      <c r="F717" t="e">
        <f>NA()</f>
        <v>#N/A</v>
      </c>
      <c r="G717" t="e">
        <f>NA()</f>
        <v>#N/A</v>
      </c>
      <c r="H717" t="e">
        <f>NA()</f>
        <v>#N/A</v>
      </c>
      <c r="I717" t="e">
        <f>NA()</f>
        <v>#N/A</v>
      </c>
      <c r="J717" t="e">
        <f>NA()</f>
        <v>#N/A</v>
      </c>
      <c r="K717" t="e">
        <f>NA()</f>
        <v>#N/A</v>
      </c>
      <c r="L717" t="e">
        <f>NA()</f>
        <v>#N/A</v>
      </c>
      <c r="M717" t="e">
        <f>NA()</f>
        <v>#N/A</v>
      </c>
      <c r="N717" t="e">
        <f>NA()</f>
        <v>#N/A</v>
      </c>
      <c r="O717">
        <f t="shared" si="25"/>
        <v>4.3</v>
      </c>
    </row>
    <row r="718" spans="1:15" x14ac:dyDescent="0.25">
      <c r="A718" s="1">
        <v>44951</v>
      </c>
      <c r="B718" t="e">
        <f>NA()</f>
        <v>#N/A</v>
      </c>
      <c r="C718" t="e">
        <f>NA()</f>
        <v>#N/A</v>
      </c>
      <c r="D718" t="e">
        <f>NA()</f>
        <v>#N/A</v>
      </c>
      <c r="E718" t="e">
        <f>NA()</f>
        <v>#N/A</v>
      </c>
      <c r="F718" t="e">
        <f>NA()</f>
        <v>#N/A</v>
      </c>
      <c r="G718" t="e">
        <f>NA()</f>
        <v>#N/A</v>
      </c>
      <c r="H718" t="e">
        <f>NA()</f>
        <v>#N/A</v>
      </c>
      <c r="I718" t="e">
        <f>NA()</f>
        <v>#N/A</v>
      </c>
      <c r="J718" t="e">
        <f>NA()</f>
        <v>#N/A</v>
      </c>
      <c r="K718" t="e">
        <f>NA()</f>
        <v>#N/A</v>
      </c>
      <c r="L718" t="e">
        <f>NA()</f>
        <v>#N/A</v>
      </c>
      <c r="M718" t="e">
        <f>NA()</f>
        <v>#N/A</v>
      </c>
      <c r="N718" t="e">
        <f>NA()</f>
        <v>#N/A</v>
      </c>
      <c r="O718">
        <f t="shared" si="25"/>
        <v>4.3</v>
      </c>
    </row>
    <row r="719" spans="1:15" x14ac:dyDescent="0.25">
      <c r="A719" s="1">
        <v>44950</v>
      </c>
      <c r="B719" t="e">
        <f>NA()</f>
        <v>#N/A</v>
      </c>
      <c r="C719" t="e">
        <f>NA()</f>
        <v>#N/A</v>
      </c>
      <c r="D719" t="e">
        <f>NA()</f>
        <v>#N/A</v>
      </c>
      <c r="E719" t="e">
        <f>NA()</f>
        <v>#N/A</v>
      </c>
      <c r="F719" t="e">
        <f>NA()</f>
        <v>#N/A</v>
      </c>
      <c r="G719" t="e">
        <f>NA()</f>
        <v>#N/A</v>
      </c>
      <c r="H719" t="e">
        <f>NA()</f>
        <v>#N/A</v>
      </c>
      <c r="I719" t="e">
        <f>NA()</f>
        <v>#N/A</v>
      </c>
      <c r="J719" t="e">
        <f>NA()</f>
        <v>#N/A</v>
      </c>
      <c r="K719" t="e">
        <f>NA()</f>
        <v>#N/A</v>
      </c>
      <c r="L719" t="e">
        <f>NA()</f>
        <v>#N/A</v>
      </c>
      <c r="M719" t="e">
        <f>NA()</f>
        <v>#N/A</v>
      </c>
      <c r="N719" t="e">
        <f>NA()</f>
        <v>#N/A</v>
      </c>
      <c r="O719">
        <f t="shared" si="25"/>
        <v>4.3</v>
      </c>
    </row>
    <row r="720" spans="1:15" x14ac:dyDescent="0.25">
      <c r="A720" s="1">
        <v>44949</v>
      </c>
      <c r="B720" t="e">
        <f>NA()</f>
        <v>#N/A</v>
      </c>
      <c r="C720" t="e">
        <f>NA()</f>
        <v>#N/A</v>
      </c>
      <c r="D720" t="e">
        <f>NA()</f>
        <v>#N/A</v>
      </c>
      <c r="E720" t="e">
        <f>NA()</f>
        <v>#N/A</v>
      </c>
      <c r="F720" t="e">
        <f>NA()</f>
        <v>#N/A</v>
      </c>
      <c r="G720" t="e">
        <f>NA()</f>
        <v>#N/A</v>
      </c>
      <c r="H720" t="e">
        <f>NA()</f>
        <v>#N/A</v>
      </c>
      <c r="I720" t="e">
        <f>NA()</f>
        <v>#N/A</v>
      </c>
      <c r="J720" t="e">
        <f>NA()</f>
        <v>#N/A</v>
      </c>
      <c r="K720" t="e">
        <f>NA()</f>
        <v>#N/A</v>
      </c>
      <c r="L720" t="e">
        <f>NA()</f>
        <v>#N/A</v>
      </c>
      <c r="M720" t="e">
        <f>NA()</f>
        <v>#N/A</v>
      </c>
      <c r="N720" t="e">
        <f>NA()</f>
        <v>#N/A</v>
      </c>
      <c r="O720">
        <f t="shared" si="25"/>
        <v>4.3</v>
      </c>
    </row>
    <row r="721" spans="1:15" x14ac:dyDescent="0.25">
      <c r="A721" s="1">
        <v>44946</v>
      </c>
      <c r="B721">
        <f>-0.4</f>
        <v>-0.4</v>
      </c>
      <c r="C721">
        <f>0</f>
        <v>0</v>
      </c>
      <c r="D721" t="e">
        <f>NA()</f>
        <v>#N/A</v>
      </c>
      <c r="E721" t="e">
        <f>NA()</f>
        <v>#N/A</v>
      </c>
      <c r="F721" t="e">
        <f>NA()</f>
        <v>#N/A</v>
      </c>
      <c r="G721" t="e">
        <f>NA()</f>
        <v>#N/A</v>
      </c>
      <c r="H721" t="e">
        <f>NA()</f>
        <v>#N/A</v>
      </c>
      <c r="I721" t="e">
        <f>NA()</f>
        <v>#N/A</v>
      </c>
      <c r="J721" t="e">
        <f>NA()</f>
        <v>#N/A</v>
      </c>
      <c r="K721" t="e">
        <f>NA()</f>
        <v>#N/A</v>
      </c>
      <c r="L721" t="e">
        <f>NA()</f>
        <v>#N/A</v>
      </c>
      <c r="M721" t="e">
        <f>NA()</f>
        <v>#N/A</v>
      </c>
      <c r="N721" t="e">
        <f>NA()</f>
        <v>#N/A</v>
      </c>
      <c r="O721">
        <f t="shared" si="25"/>
        <v>4.3</v>
      </c>
    </row>
    <row r="722" spans="1:15" x14ac:dyDescent="0.25">
      <c r="A722" s="1">
        <v>44945</v>
      </c>
      <c r="B722" t="e">
        <f>NA()</f>
        <v>#N/A</v>
      </c>
      <c r="C722" t="e">
        <f>NA()</f>
        <v>#N/A</v>
      </c>
      <c r="D722" t="e">
        <f>NA()</f>
        <v>#N/A</v>
      </c>
      <c r="E722" t="e">
        <f>NA()</f>
        <v>#N/A</v>
      </c>
      <c r="F722" t="e">
        <f>NA()</f>
        <v>#N/A</v>
      </c>
      <c r="G722" t="e">
        <f>NA()</f>
        <v>#N/A</v>
      </c>
      <c r="H722" t="e">
        <f>NA()</f>
        <v>#N/A</v>
      </c>
      <c r="I722" t="e">
        <f>NA()</f>
        <v>#N/A</v>
      </c>
      <c r="J722" t="e">
        <f>NA()</f>
        <v>#N/A</v>
      </c>
      <c r="K722" t="e">
        <f>NA()</f>
        <v>#N/A</v>
      </c>
      <c r="L722" t="e">
        <f>NA()</f>
        <v>#N/A</v>
      </c>
      <c r="M722" t="e">
        <f>NA()</f>
        <v>#N/A</v>
      </c>
      <c r="N722" t="e">
        <f>NA()</f>
        <v>#N/A</v>
      </c>
      <c r="O722">
        <f t="shared" si="25"/>
        <v>4.3</v>
      </c>
    </row>
    <row r="723" spans="1:15" x14ac:dyDescent="0.25">
      <c r="A723" s="1">
        <v>44944</v>
      </c>
      <c r="B723" t="e">
        <f>NA()</f>
        <v>#N/A</v>
      </c>
      <c r="C723" t="e">
        <f>NA()</f>
        <v>#N/A</v>
      </c>
      <c r="D723" t="e">
        <f>NA()</f>
        <v>#N/A</v>
      </c>
      <c r="E723" t="e">
        <f>NA()</f>
        <v>#N/A</v>
      </c>
      <c r="F723" t="e">
        <f>NA()</f>
        <v>#N/A</v>
      </c>
      <c r="G723" t="e">
        <f>NA()</f>
        <v>#N/A</v>
      </c>
      <c r="H723" t="e">
        <f>NA()</f>
        <v>#N/A</v>
      </c>
      <c r="I723" t="e">
        <f>NA()</f>
        <v>#N/A</v>
      </c>
      <c r="J723" t="e">
        <f>NA()</f>
        <v>#N/A</v>
      </c>
      <c r="K723" t="e">
        <f>NA()</f>
        <v>#N/A</v>
      </c>
      <c r="L723" t="e">
        <f>NA()</f>
        <v>#N/A</v>
      </c>
      <c r="M723" t="e">
        <f>NA()</f>
        <v>#N/A</v>
      </c>
      <c r="N723" t="e">
        <f>NA()</f>
        <v>#N/A</v>
      </c>
      <c r="O723">
        <f t="shared" si="25"/>
        <v>4.3</v>
      </c>
    </row>
    <row r="724" spans="1:15" x14ac:dyDescent="0.25">
      <c r="A724" s="1">
        <v>44943</v>
      </c>
      <c r="B724" t="e">
        <f>NA()</f>
        <v>#N/A</v>
      </c>
      <c r="C724" t="e">
        <f>NA()</f>
        <v>#N/A</v>
      </c>
      <c r="D724" t="e">
        <f>NA()</f>
        <v>#N/A</v>
      </c>
      <c r="E724" t="e">
        <f>NA()</f>
        <v>#N/A</v>
      </c>
      <c r="F724" t="e">
        <f>NA()</f>
        <v>#N/A</v>
      </c>
      <c r="G724" t="e">
        <f>NA()</f>
        <v>#N/A</v>
      </c>
      <c r="H724" t="e">
        <f>NA()</f>
        <v>#N/A</v>
      </c>
      <c r="I724" t="e">
        <f>NA()</f>
        <v>#N/A</v>
      </c>
      <c r="J724" t="e">
        <f>NA()</f>
        <v>#N/A</v>
      </c>
      <c r="K724" t="e">
        <f>NA()</f>
        <v>#N/A</v>
      </c>
      <c r="L724" t="e">
        <f>NA()</f>
        <v>#N/A</v>
      </c>
      <c r="M724" t="e">
        <f>NA()</f>
        <v>#N/A</v>
      </c>
      <c r="N724" t="e">
        <f>NA()</f>
        <v>#N/A</v>
      </c>
      <c r="O724">
        <f t="shared" si="25"/>
        <v>4.3</v>
      </c>
    </row>
    <row r="725" spans="1:15" x14ac:dyDescent="0.25">
      <c r="A725" s="1">
        <v>44939</v>
      </c>
      <c r="B725">
        <f>-0.4</f>
        <v>-0.4</v>
      </c>
      <c r="C725">
        <f>0</f>
        <v>0</v>
      </c>
      <c r="D725" t="e">
        <f>NA()</f>
        <v>#N/A</v>
      </c>
      <c r="E725" t="e">
        <f>NA()</f>
        <v>#N/A</v>
      </c>
      <c r="F725" t="e">
        <f>NA()</f>
        <v>#N/A</v>
      </c>
      <c r="G725" t="e">
        <f>NA()</f>
        <v>#N/A</v>
      </c>
      <c r="H725" t="e">
        <f>NA()</f>
        <v>#N/A</v>
      </c>
      <c r="I725" t="e">
        <f>NA()</f>
        <v>#N/A</v>
      </c>
      <c r="J725" t="e">
        <f>NA()</f>
        <v>#N/A</v>
      </c>
      <c r="K725" t="e">
        <f>NA()</f>
        <v>#N/A</v>
      </c>
      <c r="L725" t="e">
        <f>NA()</f>
        <v>#N/A</v>
      </c>
      <c r="M725" t="e">
        <f>NA()</f>
        <v>#N/A</v>
      </c>
      <c r="N725" t="e">
        <f>NA()</f>
        <v>#N/A</v>
      </c>
      <c r="O725">
        <f t="shared" si="25"/>
        <v>4.3</v>
      </c>
    </row>
    <row r="726" spans="1:15" x14ac:dyDescent="0.25">
      <c r="A726" s="1">
        <v>44938</v>
      </c>
      <c r="B726" t="e">
        <f>NA()</f>
        <v>#N/A</v>
      </c>
      <c r="C726" t="e">
        <f>NA()</f>
        <v>#N/A</v>
      </c>
      <c r="D726" t="e">
        <f>NA()</f>
        <v>#N/A</v>
      </c>
      <c r="E726" t="e">
        <f>NA()</f>
        <v>#N/A</v>
      </c>
      <c r="F726" t="e">
        <f>NA()</f>
        <v>#N/A</v>
      </c>
      <c r="G726" t="e">
        <f>NA()</f>
        <v>#N/A</v>
      </c>
      <c r="H726" t="e">
        <f>NA()</f>
        <v>#N/A</v>
      </c>
      <c r="I726" t="e">
        <f>NA()</f>
        <v>#N/A</v>
      </c>
      <c r="J726" t="e">
        <f>NA()</f>
        <v>#N/A</v>
      </c>
      <c r="K726" t="e">
        <f>NA()</f>
        <v>#N/A</v>
      </c>
      <c r="L726" t="e">
        <f>NA()</f>
        <v>#N/A</v>
      </c>
      <c r="M726" t="e">
        <f>NA()</f>
        <v>#N/A</v>
      </c>
      <c r="N726" t="e">
        <f>NA()</f>
        <v>#N/A</v>
      </c>
      <c r="O726">
        <f t="shared" si="25"/>
        <v>4.3</v>
      </c>
    </row>
    <row r="727" spans="1:15" x14ac:dyDescent="0.25">
      <c r="A727" s="1">
        <v>44937</v>
      </c>
      <c r="B727" t="e">
        <f>NA()</f>
        <v>#N/A</v>
      </c>
      <c r="C727" t="e">
        <f>NA()</f>
        <v>#N/A</v>
      </c>
      <c r="D727" t="e">
        <f>NA()</f>
        <v>#N/A</v>
      </c>
      <c r="E727" t="e">
        <f>NA()</f>
        <v>#N/A</v>
      </c>
      <c r="F727" t="e">
        <f>NA()</f>
        <v>#N/A</v>
      </c>
      <c r="G727" t="e">
        <f>NA()</f>
        <v>#N/A</v>
      </c>
      <c r="H727" t="e">
        <f>NA()</f>
        <v>#N/A</v>
      </c>
      <c r="I727" t="e">
        <f>NA()</f>
        <v>#N/A</v>
      </c>
      <c r="J727" t="e">
        <f>NA()</f>
        <v>#N/A</v>
      </c>
      <c r="K727" t="e">
        <f>NA()</f>
        <v>#N/A</v>
      </c>
      <c r="L727" t="e">
        <f>NA()</f>
        <v>#N/A</v>
      </c>
      <c r="M727" t="e">
        <f>NA()</f>
        <v>#N/A</v>
      </c>
      <c r="N727" t="e">
        <f>NA()</f>
        <v>#N/A</v>
      </c>
      <c r="O727">
        <f t="shared" si="25"/>
        <v>4.3</v>
      </c>
    </row>
    <row r="728" spans="1:15" x14ac:dyDescent="0.25">
      <c r="A728" s="1">
        <v>44936</v>
      </c>
      <c r="B728" t="e">
        <f>NA()</f>
        <v>#N/A</v>
      </c>
      <c r="C728" t="e">
        <f>NA()</f>
        <v>#N/A</v>
      </c>
      <c r="D728" t="e">
        <f>NA()</f>
        <v>#N/A</v>
      </c>
      <c r="E728" t="e">
        <f>NA()</f>
        <v>#N/A</v>
      </c>
      <c r="F728" t="e">
        <f>NA()</f>
        <v>#N/A</v>
      </c>
      <c r="G728" t="e">
        <f>NA()</f>
        <v>#N/A</v>
      </c>
      <c r="H728" t="e">
        <f>NA()</f>
        <v>#N/A</v>
      </c>
      <c r="I728" t="e">
        <f>NA()</f>
        <v>#N/A</v>
      </c>
      <c r="J728" t="e">
        <f>NA()</f>
        <v>#N/A</v>
      </c>
      <c r="K728" t="e">
        <f>NA()</f>
        <v>#N/A</v>
      </c>
      <c r="L728" t="e">
        <f>NA()</f>
        <v>#N/A</v>
      </c>
      <c r="M728" t="e">
        <f>NA()</f>
        <v>#N/A</v>
      </c>
      <c r="N728" t="e">
        <f>NA()</f>
        <v>#N/A</v>
      </c>
      <c r="O728">
        <f t="shared" si="25"/>
        <v>4.3</v>
      </c>
    </row>
    <row r="729" spans="1:15" x14ac:dyDescent="0.25">
      <c r="A729" s="1">
        <v>44935</v>
      </c>
      <c r="B729" t="e">
        <f>NA()</f>
        <v>#N/A</v>
      </c>
      <c r="C729" t="e">
        <f>NA()</f>
        <v>#N/A</v>
      </c>
      <c r="D729" t="e">
        <f>NA()</f>
        <v>#N/A</v>
      </c>
      <c r="E729" t="e">
        <f>NA()</f>
        <v>#N/A</v>
      </c>
      <c r="F729" t="e">
        <f>NA()</f>
        <v>#N/A</v>
      </c>
      <c r="G729" t="e">
        <f>NA()</f>
        <v>#N/A</v>
      </c>
      <c r="H729" t="e">
        <f>NA()</f>
        <v>#N/A</v>
      </c>
      <c r="I729" t="e">
        <f>NA()</f>
        <v>#N/A</v>
      </c>
      <c r="J729" t="e">
        <f>NA()</f>
        <v>#N/A</v>
      </c>
      <c r="K729" t="e">
        <f>NA()</f>
        <v>#N/A</v>
      </c>
      <c r="L729" t="e">
        <f>NA()</f>
        <v>#N/A</v>
      </c>
      <c r="M729" t="e">
        <f>NA()</f>
        <v>#N/A</v>
      </c>
      <c r="N729" t="e">
        <f>NA()</f>
        <v>#N/A</v>
      </c>
      <c r="O729">
        <f t="shared" si="25"/>
        <v>4.3</v>
      </c>
    </row>
    <row r="730" spans="1:15" x14ac:dyDescent="0.25">
      <c r="A730" s="1">
        <v>44932</v>
      </c>
      <c r="B730">
        <f>-0.2</f>
        <v>-0.2</v>
      </c>
      <c r="C730">
        <f>0</f>
        <v>0</v>
      </c>
      <c r="D730" t="e">
        <f>NA()</f>
        <v>#N/A</v>
      </c>
      <c r="E730" t="e">
        <f>NA()</f>
        <v>#N/A</v>
      </c>
      <c r="F730" t="e">
        <f>NA()</f>
        <v>#N/A</v>
      </c>
      <c r="G730" t="e">
        <f>NA()</f>
        <v>#N/A</v>
      </c>
      <c r="H730" t="e">
        <f>NA()</f>
        <v>#N/A</v>
      </c>
      <c r="I730" t="e">
        <f>NA()</f>
        <v>#N/A</v>
      </c>
      <c r="J730" t="e">
        <f>NA()</f>
        <v>#N/A</v>
      </c>
      <c r="K730" t="e">
        <f>NA()</f>
        <v>#N/A</v>
      </c>
      <c r="L730" t="e">
        <f>NA()</f>
        <v>#N/A</v>
      </c>
      <c r="M730" t="e">
        <f>NA()</f>
        <v>#N/A</v>
      </c>
      <c r="N730" t="e">
        <f>NA()</f>
        <v>#N/A</v>
      </c>
      <c r="O730">
        <f t="shared" si="25"/>
        <v>4.3</v>
      </c>
    </row>
    <row r="731" spans="1:15" x14ac:dyDescent="0.25">
      <c r="A731" s="1">
        <v>44931</v>
      </c>
      <c r="B731" t="e">
        <f>NA()</f>
        <v>#N/A</v>
      </c>
      <c r="C731" t="e">
        <f>NA()</f>
        <v>#N/A</v>
      </c>
      <c r="D731" t="e">
        <f>NA()</f>
        <v>#N/A</v>
      </c>
      <c r="E731" t="e">
        <f>NA()</f>
        <v>#N/A</v>
      </c>
      <c r="F731" t="e">
        <f>NA()</f>
        <v>#N/A</v>
      </c>
      <c r="G731" t="e">
        <f>NA()</f>
        <v>#N/A</v>
      </c>
      <c r="H731" t="e">
        <f>NA()</f>
        <v>#N/A</v>
      </c>
      <c r="I731" t="e">
        <f>NA()</f>
        <v>#N/A</v>
      </c>
      <c r="J731" t="e">
        <f>NA()</f>
        <v>#N/A</v>
      </c>
      <c r="K731" t="e">
        <f>NA()</f>
        <v>#N/A</v>
      </c>
      <c r="L731" t="e">
        <f>NA()</f>
        <v>#N/A</v>
      </c>
      <c r="M731" t="e">
        <f>NA()</f>
        <v>#N/A</v>
      </c>
      <c r="N731" t="e">
        <f>NA()</f>
        <v>#N/A</v>
      </c>
      <c r="O731">
        <f t="shared" si="25"/>
        <v>4.3</v>
      </c>
    </row>
    <row r="732" spans="1:15" x14ac:dyDescent="0.25">
      <c r="A732" s="1">
        <v>44930</v>
      </c>
      <c r="B732" t="e">
        <f>NA()</f>
        <v>#N/A</v>
      </c>
      <c r="C732" t="e">
        <f>NA()</f>
        <v>#N/A</v>
      </c>
      <c r="D732" t="e">
        <f>NA()</f>
        <v>#N/A</v>
      </c>
      <c r="E732" t="e">
        <f>NA()</f>
        <v>#N/A</v>
      </c>
      <c r="F732" t="e">
        <f>NA()</f>
        <v>#N/A</v>
      </c>
      <c r="G732" t="e">
        <f>NA()</f>
        <v>#N/A</v>
      </c>
      <c r="H732" t="e">
        <f>NA()</f>
        <v>#N/A</v>
      </c>
      <c r="I732" t="e">
        <f>NA()</f>
        <v>#N/A</v>
      </c>
      <c r="J732" t="e">
        <f>NA()</f>
        <v>#N/A</v>
      </c>
      <c r="K732" t="e">
        <f>NA()</f>
        <v>#N/A</v>
      </c>
      <c r="L732" t="e">
        <f>NA()</f>
        <v>#N/A</v>
      </c>
      <c r="M732" t="e">
        <f>NA()</f>
        <v>#N/A</v>
      </c>
      <c r="N732" t="e">
        <f>NA()</f>
        <v>#N/A</v>
      </c>
      <c r="O732">
        <f t="shared" si="25"/>
        <v>4.3</v>
      </c>
    </row>
    <row r="733" spans="1:15" x14ac:dyDescent="0.25">
      <c r="A733" s="1">
        <v>44929</v>
      </c>
      <c r="B733" t="e">
        <f>NA()</f>
        <v>#N/A</v>
      </c>
      <c r="C733" t="e">
        <f>NA()</f>
        <v>#N/A</v>
      </c>
      <c r="D733" t="e">
        <f>NA()</f>
        <v>#N/A</v>
      </c>
      <c r="E733" t="e">
        <f>NA()</f>
        <v>#N/A</v>
      </c>
      <c r="F733" t="e">
        <f>NA()</f>
        <v>#N/A</v>
      </c>
      <c r="G733" t="e">
        <f>NA()</f>
        <v>#N/A</v>
      </c>
      <c r="H733" t="e">
        <f>NA()</f>
        <v>#N/A</v>
      </c>
      <c r="I733" t="e">
        <f>NA()</f>
        <v>#N/A</v>
      </c>
      <c r="J733" t="e">
        <f>NA()</f>
        <v>#N/A</v>
      </c>
      <c r="K733" t="e">
        <f>NA()</f>
        <v>#N/A</v>
      </c>
      <c r="L733" t="e">
        <f>NA()</f>
        <v>#N/A</v>
      </c>
      <c r="M733" t="e">
        <f>NA()</f>
        <v>#N/A</v>
      </c>
      <c r="N733" t="e">
        <f>NA()</f>
        <v>#N/A</v>
      </c>
      <c r="O733">
        <f t="shared" si="25"/>
        <v>4.3</v>
      </c>
    </row>
    <row r="734" spans="1:15" x14ac:dyDescent="0.25">
      <c r="A734" s="1">
        <v>44926</v>
      </c>
      <c r="B734" t="e">
        <f>NA()</f>
        <v>#N/A</v>
      </c>
      <c r="C734" t="e">
        <f>NA()</f>
        <v>#N/A</v>
      </c>
      <c r="D734">
        <f>0.4</f>
        <v>0.4</v>
      </c>
      <c r="E734">
        <f>-1.4</f>
        <v>-1.4</v>
      </c>
      <c r="F734">
        <f>10876</f>
        <v>10876</v>
      </c>
      <c r="G734">
        <f>62.3</f>
        <v>62.3</v>
      </c>
      <c r="H734">
        <f>7.3</f>
        <v>7.3</v>
      </c>
      <c r="I734">
        <f>296.8</f>
        <v>296.8</v>
      </c>
      <c r="J734">
        <f>6.5</f>
        <v>6.5</v>
      </c>
      <c r="K734">
        <f>48</f>
        <v>48</v>
      </c>
      <c r="L734">
        <f>-1.2</f>
        <v>-1.2</v>
      </c>
      <c r="M734">
        <f>2.8</f>
        <v>2.8</v>
      </c>
      <c r="N734">
        <f>3.5</f>
        <v>3.5</v>
      </c>
      <c r="O734" t="e">
        <f>NA()</f>
        <v>#N/A</v>
      </c>
    </row>
    <row r="735" spans="1:15" x14ac:dyDescent="0.25">
      <c r="A735" s="1">
        <v>44925</v>
      </c>
      <c r="B735">
        <f>0</f>
        <v>0</v>
      </c>
      <c r="C735">
        <f>0</f>
        <v>0</v>
      </c>
      <c r="D735" t="e">
        <f>NA()</f>
        <v>#N/A</v>
      </c>
      <c r="E735" t="e">
        <f>NA()</f>
        <v>#N/A</v>
      </c>
      <c r="F735" t="e">
        <f>NA()</f>
        <v>#N/A</v>
      </c>
      <c r="G735" t="e">
        <f>NA()</f>
        <v>#N/A</v>
      </c>
      <c r="H735" t="e">
        <f>NA()</f>
        <v>#N/A</v>
      </c>
      <c r="I735" t="e">
        <f>NA()</f>
        <v>#N/A</v>
      </c>
      <c r="J735" t="e">
        <f>NA()</f>
        <v>#N/A</v>
      </c>
      <c r="K735" t="e">
        <f>NA()</f>
        <v>#N/A</v>
      </c>
      <c r="L735" t="e">
        <f>NA()</f>
        <v>#N/A</v>
      </c>
      <c r="M735" t="e">
        <f>NA()</f>
        <v>#N/A</v>
      </c>
      <c r="N735" t="e">
        <f>NA()</f>
        <v>#N/A</v>
      </c>
      <c r="O735">
        <f t="shared" ref="O735:O745" si="26">4.3</f>
        <v>4.3</v>
      </c>
    </row>
    <row r="736" spans="1:15" x14ac:dyDescent="0.25">
      <c r="A736" s="1">
        <v>44924</v>
      </c>
      <c r="B736" t="e">
        <f>NA()</f>
        <v>#N/A</v>
      </c>
      <c r="C736" t="e">
        <f>NA()</f>
        <v>#N/A</v>
      </c>
      <c r="D736" t="e">
        <f>NA()</f>
        <v>#N/A</v>
      </c>
      <c r="E736" t="e">
        <f>NA()</f>
        <v>#N/A</v>
      </c>
      <c r="F736" t="e">
        <f>NA()</f>
        <v>#N/A</v>
      </c>
      <c r="G736" t="e">
        <f>NA()</f>
        <v>#N/A</v>
      </c>
      <c r="H736" t="e">
        <f>NA()</f>
        <v>#N/A</v>
      </c>
      <c r="I736" t="e">
        <f>NA()</f>
        <v>#N/A</v>
      </c>
      <c r="J736" t="e">
        <f>NA()</f>
        <v>#N/A</v>
      </c>
      <c r="K736" t="e">
        <f>NA()</f>
        <v>#N/A</v>
      </c>
      <c r="L736" t="e">
        <f>NA()</f>
        <v>#N/A</v>
      </c>
      <c r="M736" t="e">
        <f>NA()</f>
        <v>#N/A</v>
      </c>
      <c r="N736" t="e">
        <f>NA()</f>
        <v>#N/A</v>
      </c>
      <c r="O736">
        <f t="shared" si="26"/>
        <v>4.3</v>
      </c>
    </row>
    <row r="737" spans="1:15" x14ac:dyDescent="0.25">
      <c r="A737" s="1">
        <v>44923</v>
      </c>
      <c r="B737" t="e">
        <f>NA()</f>
        <v>#N/A</v>
      </c>
      <c r="C737" t="e">
        <f>NA()</f>
        <v>#N/A</v>
      </c>
      <c r="D737" t="e">
        <f>NA()</f>
        <v>#N/A</v>
      </c>
      <c r="E737" t="e">
        <f>NA()</f>
        <v>#N/A</v>
      </c>
      <c r="F737" t="e">
        <f>NA()</f>
        <v>#N/A</v>
      </c>
      <c r="G737" t="e">
        <f>NA()</f>
        <v>#N/A</v>
      </c>
      <c r="H737" t="e">
        <f>NA()</f>
        <v>#N/A</v>
      </c>
      <c r="I737" t="e">
        <f>NA()</f>
        <v>#N/A</v>
      </c>
      <c r="J737" t="e">
        <f>NA()</f>
        <v>#N/A</v>
      </c>
      <c r="K737" t="e">
        <f>NA()</f>
        <v>#N/A</v>
      </c>
      <c r="L737" t="e">
        <f>NA()</f>
        <v>#N/A</v>
      </c>
      <c r="M737" t="e">
        <f>NA()</f>
        <v>#N/A</v>
      </c>
      <c r="N737" t="e">
        <f>NA()</f>
        <v>#N/A</v>
      </c>
      <c r="O737">
        <f t="shared" si="26"/>
        <v>4.3</v>
      </c>
    </row>
    <row r="738" spans="1:15" x14ac:dyDescent="0.25">
      <c r="A738" s="1">
        <v>44922</v>
      </c>
      <c r="B738" t="e">
        <f>NA()</f>
        <v>#N/A</v>
      </c>
      <c r="C738" t="e">
        <f>NA()</f>
        <v>#N/A</v>
      </c>
      <c r="D738" t="e">
        <f>NA()</f>
        <v>#N/A</v>
      </c>
      <c r="E738" t="e">
        <f>NA()</f>
        <v>#N/A</v>
      </c>
      <c r="F738" t="e">
        <f>NA()</f>
        <v>#N/A</v>
      </c>
      <c r="G738" t="e">
        <f>NA()</f>
        <v>#N/A</v>
      </c>
      <c r="H738" t="e">
        <f>NA()</f>
        <v>#N/A</v>
      </c>
      <c r="I738" t="e">
        <f>NA()</f>
        <v>#N/A</v>
      </c>
      <c r="J738" t="e">
        <f>NA()</f>
        <v>#N/A</v>
      </c>
      <c r="K738" t="e">
        <f>NA()</f>
        <v>#N/A</v>
      </c>
      <c r="L738" t="e">
        <f>NA()</f>
        <v>#N/A</v>
      </c>
      <c r="M738" t="e">
        <f>NA()</f>
        <v>#N/A</v>
      </c>
      <c r="N738" t="e">
        <f>NA()</f>
        <v>#N/A</v>
      </c>
      <c r="O738">
        <f t="shared" si="26"/>
        <v>4.3</v>
      </c>
    </row>
    <row r="739" spans="1:15" x14ac:dyDescent="0.25">
      <c r="A739" s="1">
        <v>44918</v>
      </c>
      <c r="B739">
        <f>0</f>
        <v>0</v>
      </c>
      <c r="C739">
        <f>0</f>
        <v>0</v>
      </c>
      <c r="D739" t="e">
        <f>NA()</f>
        <v>#N/A</v>
      </c>
      <c r="E739" t="e">
        <f>NA()</f>
        <v>#N/A</v>
      </c>
      <c r="F739" t="e">
        <f>NA()</f>
        <v>#N/A</v>
      </c>
      <c r="G739" t="e">
        <f>NA()</f>
        <v>#N/A</v>
      </c>
      <c r="H739" t="e">
        <f>NA()</f>
        <v>#N/A</v>
      </c>
      <c r="I739" t="e">
        <f>NA()</f>
        <v>#N/A</v>
      </c>
      <c r="J739" t="e">
        <f>NA()</f>
        <v>#N/A</v>
      </c>
      <c r="K739" t="e">
        <f>NA()</f>
        <v>#N/A</v>
      </c>
      <c r="L739" t="e">
        <f>NA()</f>
        <v>#N/A</v>
      </c>
      <c r="M739" t="e">
        <f>NA()</f>
        <v>#N/A</v>
      </c>
      <c r="N739" t="e">
        <f>NA()</f>
        <v>#N/A</v>
      </c>
      <c r="O739">
        <f t="shared" si="26"/>
        <v>4.3</v>
      </c>
    </row>
    <row r="740" spans="1:15" x14ac:dyDescent="0.25">
      <c r="A740" s="1">
        <v>44917</v>
      </c>
      <c r="B740" t="e">
        <f>NA()</f>
        <v>#N/A</v>
      </c>
      <c r="C740" t="e">
        <f>NA()</f>
        <v>#N/A</v>
      </c>
      <c r="D740" t="e">
        <f>NA()</f>
        <v>#N/A</v>
      </c>
      <c r="E740" t="e">
        <f>NA()</f>
        <v>#N/A</v>
      </c>
      <c r="F740" t="e">
        <f>NA()</f>
        <v>#N/A</v>
      </c>
      <c r="G740" t="e">
        <f>NA()</f>
        <v>#N/A</v>
      </c>
      <c r="H740" t="e">
        <f>NA()</f>
        <v>#N/A</v>
      </c>
      <c r="I740" t="e">
        <f>NA()</f>
        <v>#N/A</v>
      </c>
      <c r="J740" t="e">
        <f>NA()</f>
        <v>#N/A</v>
      </c>
      <c r="K740" t="e">
        <f>NA()</f>
        <v>#N/A</v>
      </c>
      <c r="L740" t="e">
        <f>NA()</f>
        <v>#N/A</v>
      </c>
      <c r="M740" t="e">
        <f>NA()</f>
        <v>#N/A</v>
      </c>
      <c r="N740" t="e">
        <f>NA()</f>
        <v>#N/A</v>
      </c>
      <c r="O740">
        <f t="shared" si="26"/>
        <v>4.3</v>
      </c>
    </row>
    <row r="741" spans="1:15" x14ac:dyDescent="0.25">
      <c r="A741" s="1">
        <v>44916</v>
      </c>
      <c r="B741" t="e">
        <f>NA()</f>
        <v>#N/A</v>
      </c>
      <c r="C741" t="e">
        <f>NA()</f>
        <v>#N/A</v>
      </c>
      <c r="D741" t="e">
        <f>NA()</f>
        <v>#N/A</v>
      </c>
      <c r="E741" t="e">
        <f>NA()</f>
        <v>#N/A</v>
      </c>
      <c r="F741" t="e">
        <f>NA()</f>
        <v>#N/A</v>
      </c>
      <c r="G741" t="e">
        <f>NA()</f>
        <v>#N/A</v>
      </c>
      <c r="H741" t="e">
        <f>NA()</f>
        <v>#N/A</v>
      </c>
      <c r="I741" t="e">
        <f>NA()</f>
        <v>#N/A</v>
      </c>
      <c r="J741" t="e">
        <f>NA()</f>
        <v>#N/A</v>
      </c>
      <c r="K741" t="e">
        <f>NA()</f>
        <v>#N/A</v>
      </c>
      <c r="L741" t="e">
        <f>NA()</f>
        <v>#N/A</v>
      </c>
      <c r="M741" t="e">
        <f>NA()</f>
        <v>#N/A</v>
      </c>
      <c r="N741" t="e">
        <f>NA()</f>
        <v>#N/A</v>
      </c>
      <c r="O741">
        <f t="shared" si="26"/>
        <v>4.3</v>
      </c>
    </row>
    <row r="742" spans="1:15" x14ac:dyDescent="0.25">
      <c r="A742" s="1">
        <v>44915</v>
      </c>
      <c r="B742" t="e">
        <f>NA()</f>
        <v>#N/A</v>
      </c>
      <c r="C742" t="e">
        <f>NA()</f>
        <v>#N/A</v>
      </c>
      <c r="D742" t="e">
        <f>NA()</f>
        <v>#N/A</v>
      </c>
      <c r="E742" t="e">
        <f>NA()</f>
        <v>#N/A</v>
      </c>
      <c r="F742" t="e">
        <f>NA()</f>
        <v>#N/A</v>
      </c>
      <c r="G742" t="e">
        <f>NA()</f>
        <v>#N/A</v>
      </c>
      <c r="H742" t="e">
        <f>NA()</f>
        <v>#N/A</v>
      </c>
      <c r="I742" t="e">
        <f>NA()</f>
        <v>#N/A</v>
      </c>
      <c r="J742" t="e">
        <f>NA()</f>
        <v>#N/A</v>
      </c>
      <c r="K742" t="e">
        <f>NA()</f>
        <v>#N/A</v>
      </c>
      <c r="L742" t="e">
        <f>NA()</f>
        <v>#N/A</v>
      </c>
      <c r="M742" t="e">
        <f>NA()</f>
        <v>#N/A</v>
      </c>
      <c r="N742" t="e">
        <f>NA()</f>
        <v>#N/A</v>
      </c>
      <c r="O742">
        <f t="shared" si="26"/>
        <v>4.3</v>
      </c>
    </row>
    <row r="743" spans="1:15" x14ac:dyDescent="0.25">
      <c r="A743" s="1">
        <v>44914</v>
      </c>
      <c r="B743" t="e">
        <f>NA()</f>
        <v>#N/A</v>
      </c>
      <c r="C743" t="e">
        <f>NA()</f>
        <v>#N/A</v>
      </c>
      <c r="D743" t="e">
        <f>NA()</f>
        <v>#N/A</v>
      </c>
      <c r="E743" t="e">
        <f>NA()</f>
        <v>#N/A</v>
      </c>
      <c r="F743" t="e">
        <f>NA()</f>
        <v>#N/A</v>
      </c>
      <c r="G743" t="e">
        <f>NA()</f>
        <v>#N/A</v>
      </c>
      <c r="H743" t="e">
        <f>NA()</f>
        <v>#N/A</v>
      </c>
      <c r="I743" t="e">
        <f>NA()</f>
        <v>#N/A</v>
      </c>
      <c r="J743" t="e">
        <f>NA()</f>
        <v>#N/A</v>
      </c>
      <c r="K743" t="e">
        <f>NA()</f>
        <v>#N/A</v>
      </c>
      <c r="L743" t="e">
        <f>NA()</f>
        <v>#N/A</v>
      </c>
      <c r="M743" t="e">
        <f>NA()</f>
        <v>#N/A</v>
      </c>
      <c r="N743" t="e">
        <f>NA()</f>
        <v>#N/A</v>
      </c>
      <c r="O743">
        <f t="shared" si="26"/>
        <v>4.3</v>
      </c>
    </row>
    <row r="744" spans="1:15" x14ac:dyDescent="0.25">
      <c r="A744" s="1">
        <v>44911</v>
      </c>
      <c r="B744">
        <f>0</f>
        <v>0</v>
      </c>
      <c r="C744">
        <f>0</f>
        <v>0</v>
      </c>
      <c r="D744" t="e">
        <f>NA()</f>
        <v>#N/A</v>
      </c>
      <c r="E744" t="e">
        <f>NA()</f>
        <v>#N/A</v>
      </c>
      <c r="F744" t="e">
        <f>NA()</f>
        <v>#N/A</v>
      </c>
      <c r="G744" t="e">
        <f>NA()</f>
        <v>#N/A</v>
      </c>
      <c r="H744" t="e">
        <f>NA()</f>
        <v>#N/A</v>
      </c>
      <c r="I744" t="e">
        <f>NA()</f>
        <v>#N/A</v>
      </c>
      <c r="J744" t="e">
        <f>NA()</f>
        <v>#N/A</v>
      </c>
      <c r="K744" t="e">
        <f>NA()</f>
        <v>#N/A</v>
      </c>
      <c r="L744" t="e">
        <f>NA()</f>
        <v>#N/A</v>
      </c>
      <c r="M744" t="e">
        <f>NA()</f>
        <v>#N/A</v>
      </c>
      <c r="N744" t="e">
        <f>NA()</f>
        <v>#N/A</v>
      </c>
      <c r="O744">
        <f t="shared" si="26"/>
        <v>4.3</v>
      </c>
    </row>
    <row r="745" spans="1:15" x14ac:dyDescent="0.25">
      <c r="A745" s="1">
        <v>44910</v>
      </c>
      <c r="B745" t="e">
        <f>NA()</f>
        <v>#N/A</v>
      </c>
      <c r="C745" t="e">
        <f>NA()</f>
        <v>#N/A</v>
      </c>
      <c r="D745" t="e">
        <f>NA()</f>
        <v>#N/A</v>
      </c>
      <c r="E745" t="e">
        <f>NA()</f>
        <v>#N/A</v>
      </c>
      <c r="F745" t="e">
        <f>NA()</f>
        <v>#N/A</v>
      </c>
      <c r="G745" t="e">
        <f>NA()</f>
        <v>#N/A</v>
      </c>
      <c r="H745" t="e">
        <f>NA()</f>
        <v>#N/A</v>
      </c>
      <c r="I745" t="e">
        <f>NA()</f>
        <v>#N/A</v>
      </c>
      <c r="J745" t="e">
        <f>NA()</f>
        <v>#N/A</v>
      </c>
      <c r="K745" t="e">
        <f>NA()</f>
        <v>#N/A</v>
      </c>
      <c r="L745" t="e">
        <f>NA()</f>
        <v>#N/A</v>
      </c>
      <c r="M745" t="e">
        <f>NA()</f>
        <v>#N/A</v>
      </c>
      <c r="N745" t="e">
        <f>NA()</f>
        <v>#N/A</v>
      </c>
      <c r="O745">
        <f t="shared" si="26"/>
        <v>4.3</v>
      </c>
    </row>
    <row r="746" spans="1:15" x14ac:dyDescent="0.25">
      <c r="A746" s="1">
        <v>44909</v>
      </c>
      <c r="B746" t="e">
        <f>NA()</f>
        <v>#N/A</v>
      </c>
      <c r="C746" t="e">
        <f>NA()</f>
        <v>#N/A</v>
      </c>
      <c r="D746" t="e">
        <f>NA()</f>
        <v>#N/A</v>
      </c>
      <c r="E746" t="e">
        <f>NA()</f>
        <v>#N/A</v>
      </c>
      <c r="F746" t="e">
        <f>NA()</f>
        <v>#N/A</v>
      </c>
      <c r="G746" t="e">
        <f>NA()</f>
        <v>#N/A</v>
      </c>
      <c r="H746" t="e">
        <f>NA()</f>
        <v>#N/A</v>
      </c>
      <c r="I746" t="e">
        <f>NA()</f>
        <v>#N/A</v>
      </c>
      <c r="J746" t="e">
        <f>NA()</f>
        <v>#N/A</v>
      </c>
      <c r="K746" t="e">
        <f>NA()</f>
        <v>#N/A</v>
      </c>
      <c r="L746" t="e">
        <f>NA()</f>
        <v>#N/A</v>
      </c>
      <c r="M746" t="e">
        <f>NA()</f>
        <v>#N/A</v>
      </c>
      <c r="N746" t="e">
        <f>NA()</f>
        <v>#N/A</v>
      </c>
      <c r="O746">
        <f t="shared" ref="O746:O767" si="27">3.8</f>
        <v>3.8</v>
      </c>
    </row>
    <row r="747" spans="1:15" x14ac:dyDescent="0.25">
      <c r="A747" s="1">
        <v>44908</v>
      </c>
      <c r="B747" t="e">
        <f>NA()</f>
        <v>#N/A</v>
      </c>
      <c r="C747" t="e">
        <f>NA()</f>
        <v>#N/A</v>
      </c>
      <c r="D747" t="e">
        <f>NA()</f>
        <v>#N/A</v>
      </c>
      <c r="E747" t="e">
        <f>NA()</f>
        <v>#N/A</v>
      </c>
      <c r="F747" t="e">
        <f>NA()</f>
        <v>#N/A</v>
      </c>
      <c r="G747" t="e">
        <f>NA()</f>
        <v>#N/A</v>
      </c>
      <c r="H747" t="e">
        <f>NA()</f>
        <v>#N/A</v>
      </c>
      <c r="I747" t="e">
        <f>NA()</f>
        <v>#N/A</v>
      </c>
      <c r="J747" t="e">
        <f>NA()</f>
        <v>#N/A</v>
      </c>
      <c r="K747" t="e">
        <f>NA()</f>
        <v>#N/A</v>
      </c>
      <c r="L747" t="e">
        <f>NA()</f>
        <v>#N/A</v>
      </c>
      <c r="M747" t="e">
        <f>NA()</f>
        <v>#N/A</v>
      </c>
      <c r="N747" t="e">
        <f>NA()</f>
        <v>#N/A</v>
      </c>
      <c r="O747">
        <f t="shared" si="27"/>
        <v>3.8</v>
      </c>
    </row>
    <row r="748" spans="1:15" x14ac:dyDescent="0.25">
      <c r="A748" s="1">
        <v>44907</v>
      </c>
      <c r="B748" t="e">
        <f>NA()</f>
        <v>#N/A</v>
      </c>
      <c r="C748" t="e">
        <f>NA()</f>
        <v>#N/A</v>
      </c>
      <c r="D748" t="e">
        <f>NA()</f>
        <v>#N/A</v>
      </c>
      <c r="E748" t="e">
        <f>NA()</f>
        <v>#N/A</v>
      </c>
      <c r="F748" t="e">
        <f>NA()</f>
        <v>#N/A</v>
      </c>
      <c r="G748" t="e">
        <f>NA()</f>
        <v>#N/A</v>
      </c>
      <c r="H748" t="e">
        <f>NA()</f>
        <v>#N/A</v>
      </c>
      <c r="I748" t="e">
        <f>NA()</f>
        <v>#N/A</v>
      </c>
      <c r="J748" t="e">
        <f>NA()</f>
        <v>#N/A</v>
      </c>
      <c r="K748" t="e">
        <f>NA()</f>
        <v>#N/A</v>
      </c>
      <c r="L748" t="e">
        <f>NA()</f>
        <v>#N/A</v>
      </c>
      <c r="M748" t="e">
        <f>NA()</f>
        <v>#N/A</v>
      </c>
      <c r="N748" t="e">
        <f>NA()</f>
        <v>#N/A</v>
      </c>
      <c r="O748">
        <f t="shared" si="27"/>
        <v>3.8</v>
      </c>
    </row>
    <row r="749" spans="1:15" x14ac:dyDescent="0.25">
      <c r="A749" s="1">
        <v>44904</v>
      </c>
      <c r="B749">
        <f>0.1</f>
        <v>0.1</v>
      </c>
      <c r="C749">
        <f>0</f>
        <v>0</v>
      </c>
      <c r="D749" t="e">
        <f>NA()</f>
        <v>#N/A</v>
      </c>
      <c r="E749" t="e">
        <f>NA()</f>
        <v>#N/A</v>
      </c>
      <c r="F749" t="e">
        <f>NA()</f>
        <v>#N/A</v>
      </c>
      <c r="G749" t="e">
        <f>NA()</f>
        <v>#N/A</v>
      </c>
      <c r="H749" t="e">
        <f>NA()</f>
        <v>#N/A</v>
      </c>
      <c r="I749" t="e">
        <f>NA()</f>
        <v>#N/A</v>
      </c>
      <c r="J749" t="e">
        <f>NA()</f>
        <v>#N/A</v>
      </c>
      <c r="K749" t="e">
        <f>NA()</f>
        <v>#N/A</v>
      </c>
      <c r="L749" t="e">
        <f>NA()</f>
        <v>#N/A</v>
      </c>
      <c r="M749" t="e">
        <f>NA()</f>
        <v>#N/A</v>
      </c>
      <c r="N749" t="e">
        <f>NA()</f>
        <v>#N/A</v>
      </c>
      <c r="O749">
        <f t="shared" si="27"/>
        <v>3.8</v>
      </c>
    </row>
    <row r="750" spans="1:15" x14ac:dyDescent="0.25">
      <c r="A750" s="1">
        <v>44903</v>
      </c>
      <c r="B750" t="e">
        <f>NA()</f>
        <v>#N/A</v>
      </c>
      <c r="C750" t="e">
        <f>NA()</f>
        <v>#N/A</v>
      </c>
      <c r="D750" t="e">
        <f>NA()</f>
        <v>#N/A</v>
      </c>
      <c r="E750" t="e">
        <f>NA()</f>
        <v>#N/A</v>
      </c>
      <c r="F750" t="e">
        <f>NA()</f>
        <v>#N/A</v>
      </c>
      <c r="G750" t="e">
        <f>NA()</f>
        <v>#N/A</v>
      </c>
      <c r="H750" t="e">
        <f>NA()</f>
        <v>#N/A</v>
      </c>
      <c r="I750" t="e">
        <f>NA()</f>
        <v>#N/A</v>
      </c>
      <c r="J750" t="e">
        <f>NA()</f>
        <v>#N/A</v>
      </c>
      <c r="K750" t="e">
        <f>NA()</f>
        <v>#N/A</v>
      </c>
      <c r="L750" t="e">
        <f>NA()</f>
        <v>#N/A</v>
      </c>
      <c r="M750" t="e">
        <f>NA()</f>
        <v>#N/A</v>
      </c>
      <c r="N750" t="e">
        <f>NA()</f>
        <v>#N/A</v>
      </c>
      <c r="O750">
        <f t="shared" si="27"/>
        <v>3.8</v>
      </c>
    </row>
    <row r="751" spans="1:15" x14ac:dyDescent="0.25">
      <c r="A751" s="1">
        <v>44902</v>
      </c>
      <c r="B751" t="e">
        <f>NA()</f>
        <v>#N/A</v>
      </c>
      <c r="C751" t="e">
        <f>NA()</f>
        <v>#N/A</v>
      </c>
      <c r="D751" t="e">
        <f>NA()</f>
        <v>#N/A</v>
      </c>
      <c r="E751" t="e">
        <f>NA()</f>
        <v>#N/A</v>
      </c>
      <c r="F751" t="e">
        <f>NA()</f>
        <v>#N/A</v>
      </c>
      <c r="G751" t="e">
        <f>NA()</f>
        <v>#N/A</v>
      </c>
      <c r="H751" t="e">
        <f>NA()</f>
        <v>#N/A</v>
      </c>
      <c r="I751" t="e">
        <f>NA()</f>
        <v>#N/A</v>
      </c>
      <c r="J751" t="e">
        <f>NA()</f>
        <v>#N/A</v>
      </c>
      <c r="K751" t="e">
        <f>NA()</f>
        <v>#N/A</v>
      </c>
      <c r="L751" t="e">
        <f>NA()</f>
        <v>#N/A</v>
      </c>
      <c r="M751" t="e">
        <f>NA()</f>
        <v>#N/A</v>
      </c>
      <c r="N751" t="e">
        <f>NA()</f>
        <v>#N/A</v>
      </c>
      <c r="O751">
        <f t="shared" si="27"/>
        <v>3.8</v>
      </c>
    </row>
    <row r="752" spans="1:15" x14ac:dyDescent="0.25">
      <c r="A752" s="1">
        <v>44901</v>
      </c>
      <c r="B752" t="e">
        <f>NA()</f>
        <v>#N/A</v>
      </c>
      <c r="C752" t="e">
        <f>NA()</f>
        <v>#N/A</v>
      </c>
      <c r="D752" t="e">
        <f>NA()</f>
        <v>#N/A</v>
      </c>
      <c r="E752" t="e">
        <f>NA()</f>
        <v>#N/A</v>
      </c>
      <c r="F752" t="e">
        <f>NA()</f>
        <v>#N/A</v>
      </c>
      <c r="G752" t="e">
        <f>NA()</f>
        <v>#N/A</v>
      </c>
      <c r="H752" t="e">
        <f>NA()</f>
        <v>#N/A</v>
      </c>
      <c r="I752" t="e">
        <f>NA()</f>
        <v>#N/A</v>
      </c>
      <c r="J752" t="e">
        <f>NA()</f>
        <v>#N/A</v>
      </c>
      <c r="K752" t="e">
        <f>NA()</f>
        <v>#N/A</v>
      </c>
      <c r="L752" t="e">
        <f>NA()</f>
        <v>#N/A</v>
      </c>
      <c r="M752" t="e">
        <f>NA()</f>
        <v>#N/A</v>
      </c>
      <c r="N752" t="e">
        <f>NA()</f>
        <v>#N/A</v>
      </c>
      <c r="O752">
        <f t="shared" si="27"/>
        <v>3.8</v>
      </c>
    </row>
    <row r="753" spans="1:15" x14ac:dyDescent="0.25">
      <c r="A753" s="1">
        <v>44900</v>
      </c>
      <c r="B753" t="e">
        <f>NA()</f>
        <v>#N/A</v>
      </c>
      <c r="C753" t="e">
        <f>NA()</f>
        <v>#N/A</v>
      </c>
      <c r="D753" t="e">
        <f>NA()</f>
        <v>#N/A</v>
      </c>
      <c r="E753" t="e">
        <f>NA()</f>
        <v>#N/A</v>
      </c>
      <c r="F753" t="e">
        <f>NA()</f>
        <v>#N/A</v>
      </c>
      <c r="G753" t="e">
        <f>NA()</f>
        <v>#N/A</v>
      </c>
      <c r="H753" t="e">
        <f>NA()</f>
        <v>#N/A</v>
      </c>
      <c r="I753" t="e">
        <f>NA()</f>
        <v>#N/A</v>
      </c>
      <c r="J753" t="e">
        <f>NA()</f>
        <v>#N/A</v>
      </c>
      <c r="K753" t="e">
        <f>NA()</f>
        <v>#N/A</v>
      </c>
      <c r="L753" t="e">
        <f>NA()</f>
        <v>#N/A</v>
      </c>
      <c r="M753" t="e">
        <f>NA()</f>
        <v>#N/A</v>
      </c>
      <c r="N753" t="e">
        <f>NA()</f>
        <v>#N/A</v>
      </c>
      <c r="O753">
        <f t="shared" si="27"/>
        <v>3.8</v>
      </c>
    </row>
    <row r="754" spans="1:15" x14ac:dyDescent="0.25">
      <c r="A754" s="1">
        <v>44897</v>
      </c>
      <c r="B754">
        <f>-0.1</f>
        <v>-0.1</v>
      </c>
      <c r="C754">
        <f>0</f>
        <v>0</v>
      </c>
      <c r="D754" t="e">
        <f>NA()</f>
        <v>#N/A</v>
      </c>
      <c r="E754" t="e">
        <f>NA()</f>
        <v>#N/A</v>
      </c>
      <c r="F754" t="e">
        <f>NA()</f>
        <v>#N/A</v>
      </c>
      <c r="G754" t="e">
        <f>NA()</f>
        <v>#N/A</v>
      </c>
      <c r="H754" t="e">
        <f>NA()</f>
        <v>#N/A</v>
      </c>
      <c r="I754" t="e">
        <f>NA()</f>
        <v>#N/A</v>
      </c>
      <c r="J754" t="e">
        <f>NA()</f>
        <v>#N/A</v>
      </c>
      <c r="K754" t="e">
        <f>NA()</f>
        <v>#N/A</v>
      </c>
      <c r="L754" t="e">
        <f>NA()</f>
        <v>#N/A</v>
      </c>
      <c r="M754" t="e">
        <f>NA()</f>
        <v>#N/A</v>
      </c>
      <c r="N754" t="e">
        <f>NA()</f>
        <v>#N/A</v>
      </c>
      <c r="O754">
        <f t="shared" si="27"/>
        <v>3.8</v>
      </c>
    </row>
    <row r="755" spans="1:15" x14ac:dyDescent="0.25">
      <c r="A755" s="1">
        <v>44896</v>
      </c>
      <c r="B755" t="e">
        <f>NA()</f>
        <v>#N/A</v>
      </c>
      <c r="C755" t="e">
        <f>NA()</f>
        <v>#N/A</v>
      </c>
      <c r="D755" t="e">
        <f>NA()</f>
        <v>#N/A</v>
      </c>
      <c r="E755" t="e">
        <f>NA()</f>
        <v>#N/A</v>
      </c>
      <c r="F755" t="e">
        <f>NA()</f>
        <v>#N/A</v>
      </c>
      <c r="G755" t="e">
        <f>NA()</f>
        <v>#N/A</v>
      </c>
      <c r="H755" t="e">
        <f>NA()</f>
        <v>#N/A</v>
      </c>
      <c r="I755" t="e">
        <f>NA()</f>
        <v>#N/A</v>
      </c>
      <c r="J755" t="e">
        <f>NA()</f>
        <v>#N/A</v>
      </c>
      <c r="K755" t="e">
        <f>NA()</f>
        <v>#N/A</v>
      </c>
      <c r="L755" t="e">
        <f>NA()</f>
        <v>#N/A</v>
      </c>
      <c r="M755" t="e">
        <f>NA()</f>
        <v>#N/A</v>
      </c>
      <c r="N755" t="e">
        <f>NA()</f>
        <v>#N/A</v>
      </c>
      <c r="O755">
        <f t="shared" si="27"/>
        <v>3.8</v>
      </c>
    </row>
    <row r="756" spans="1:15" x14ac:dyDescent="0.25">
      <c r="A756" s="1">
        <v>44895</v>
      </c>
      <c r="B756" t="e">
        <f>NA()</f>
        <v>#N/A</v>
      </c>
      <c r="C756" t="e">
        <f>NA()</f>
        <v>#N/A</v>
      </c>
      <c r="D756">
        <f>0.4</f>
        <v>0.4</v>
      </c>
      <c r="E756">
        <f>-2</f>
        <v>-2</v>
      </c>
      <c r="F756">
        <f>10619</f>
        <v>10619</v>
      </c>
      <c r="G756">
        <f>62.1</f>
        <v>62.1</v>
      </c>
      <c r="H756">
        <f>7.5</f>
        <v>7.5</v>
      </c>
      <c r="I756">
        <f>297.7</f>
        <v>297.7</v>
      </c>
      <c r="J756">
        <f>7.1</f>
        <v>7.1</v>
      </c>
      <c r="K756">
        <f>49</f>
        <v>49</v>
      </c>
      <c r="L756">
        <f>-0.3</f>
        <v>-0.3</v>
      </c>
      <c r="M756" t="e">
        <f>NA()</f>
        <v>#N/A</v>
      </c>
      <c r="N756">
        <f>3.6</f>
        <v>3.6</v>
      </c>
      <c r="O756">
        <f t="shared" si="27"/>
        <v>3.8</v>
      </c>
    </row>
    <row r="757" spans="1:15" x14ac:dyDescent="0.25">
      <c r="A757" s="1">
        <v>44894</v>
      </c>
      <c r="B757" t="e">
        <f>NA()</f>
        <v>#N/A</v>
      </c>
      <c r="C757" t="e">
        <f>NA()</f>
        <v>#N/A</v>
      </c>
      <c r="D757" t="e">
        <f>NA()</f>
        <v>#N/A</v>
      </c>
      <c r="E757" t="e">
        <f>NA()</f>
        <v>#N/A</v>
      </c>
      <c r="F757" t="e">
        <f>NA()</f>
        <v>#N/A</v>
      </c>
      <c r="G757" t="e">
        <f>NA()</f>
        <v>#N/A</v>
      </c>
      <c r="H757" t="e">
        <f>NA()</f>
        <v>#N/A</v>
      </c>
      <c r="I757" t="e">
        <f>NA()</f>
        <v>#N/A</v>
      </c>
      <c r="J757" t="e">
        <f>NA()</f>
        <v>#N/A</v>
      </c>
      <c r="K757" t="e">
        <f>NA()</f>
        <v>#N/A</v>
      </c>
      <c r="L757" t="e">
        <f>NA()</f>
        <v>#N/A</v>
      </c>
      <c r="M757" t="e">
        <f>NA()</f>
        <v>#N/A</v>
      </c>
      <c r="N757" t="e">
        <f>NA()</f>
        <v>#N/A</v>
      </c>
      <c r="O757">
        <f t="shared" si="27"/>
        <v>3.8</v>
      </c>
    </row>
    <row r="758" spans="1:15" x14ac:dyDescent="0.25">
      <c r="A758" s="1">
        <v>44893</v>
      </c>
      <c r="B758" t="e">
        <f>NA()</f>
        <v>#N/A</v>
      </c>
      <c r="C758" t="e">
        <f>NA()</f>
        <v>#N/A</v>
      </c>
      <c r="D758" t="e">
        <f>NA()</f>
        <v>#N/A</v>
      </c>
      <c r="E758" t="e">
        <f>NA()</f>
        <v>#N/A</v>
      </c>
      <c r="F758" t="e">
        <f>NA()</f>
        <v>#N/A</v>
      </c>
      <c r="G758" t="e">
        <f>NA()</f>
        <v>#N/A</v>
      </c>
      <c r="H758" t="e">
        <f>NA()</f>
        <v>#N/A</v>
      </c>
      <c r="I758" t="e">
        <f>NA()</f>
        <v>#N/A</v>
      </c>
      <c r="J758" t="e">
        <f>NA()</f>
        <v>#N/A</v>
      </c>
      <c r="K758" t="e">
        <f>NA()</f>
        <v>#N/A</v>
      </c>
      <c r="L758" t="e">
        <f>NA()</f>
        <v>#N/A</v>
      </c>
      <c r="M758" t="e">
        <f>NA()</f>
        <v>#N/A</v>
      </c>
      <c r="N758" t="e">
        <f>NA()</f>
        <v>#N/A</v>
      </c>
      <c r="O758">
        <f t="shared" si="27"/>
        <v>3.8</v>
      </c>
    </row>
    <row r="759" spans="1:15" x14ac:dyDescent="0.25">
      <c r="A759" s="1">
        <v>44890</v>
      </c>
      <c r="B759">
        <f>-0.2</f>
        <v>-0.2</v>
      </c>
      <c r="C759">
        <f>0</f>
        <v>0</v>
      </c>
      <c r="D759" t="e">
        <f>NA()</f>
        <v>#N/A</v>
      </c>
      <c r="E759" t="e">
        <f>NA()</f>
        <v>#N/A</v>
      </c>
      <c r="F759" t="e">
        <f>NA()</f>
        <v>#N/A</v>
      </c>
      <c r="G759" t="e">
        <f>NA()</f>
        <v>#N/A</v>
      </c>
      <c r="H759" t="e">
        <f>NA()</f>
        <v>#N/A</v>
      </c>
      <c r="I759" t="e">
        <f>NA()</f>
        <v>#N/A</v>
      </c>
      <c r="J759" t="e">
        <f>NA()</f>
        <v>#N/A</v>
      </c>
      <c r="K759" t="e">
        <f>NA()</f>
        <v>#N/A</v>
      </c>
      <c r="L759" t="e">
        <f>NA()</f>
        <v>#N/A</v>
      </c>
      <c r="M759" t="e">
        <f>NA()</f>
        <v>#N/A</v>
      </c>
      <c r="N759" t="e">
        <f>NA()</f>
        <v>#N/A</v>
      </c>
      <c r="O759">
        <f t="shared" si="27"/>
        <v>3.8</v>
      </c>
    </row>
    <row r="760" spans="1:15" x14ac:dyDescent="0.25">
      <c r="A760" s="1">
        <v>44888</v>
      </c>
      <c r="B760" t="e">
        <f>NA()</f>
        <v>#N/A</v>
      </c>
      <c r="C760" t="e">
        <f>NA()</f>
        <v>#N/A</v>
      </c>
      <c r="D760" t="e">
        <f>NA()</f>
        <v>#N/A</v>
      </c>
      <c r="E760" t="e">
        <f>NA()</f>
        <v>#N/A</v>
      </c>
      <c r="F760" t="e">
        <f>NA()</f>
        <v>#N/A</v>
      </c>
      <c r="G760" t="e">
        <f>NA()</f>
        <v>#N/A</v>
      </c>
      <c r="H760" t="e">
        <f>NA()</f>
        <v>#N/A</v>
      </c>
      <c r="I760" t="e">
        <f>NA()</f>
        <v>#N/A</v>
      </c>
      <c r="J760" t="e">
        <f>NA()</f>
        <v>#N/A</v>
      </c>
      <c r="K760" t="e">
        <f>NA()</f>
        <v>#N/A</v>
      </c>
      <c r="L760" t="e">
        <f>NA()</f>
        <v>#N/A</v>
      </c>
      <c r="M760" t="e">
        <f>NA()</f>
        <v>#N/A</v>
      </c>
      <c r="N760" t="e">
        <f>NA()</f>
        <v>#N/A</v>
      </c>
      <c r="O760">
        <f t="shared" si="27"/>
        <v>3.8</v>
      </c>
    </row>
    <row r="761" spans="1:15" x14ac:dyDescent="0.25">
      <c r="A761" s="1">
        <v>44887</v>
      </c>
      <c r="B761" t="e">
        <f>NA()</f>
        <v>#N/A</v>
      </c>
      <c r="C761" t="e">
        <f>NA()</f>
        <v>#N/A</v>
      </c>
      <c r="D761" t="e">
        <f>NA()</f>
        <v>#N/A</v>
      </c>
      <c r="E761" t="e">
        <f>NA()</f>
        <v>#N/A</v>
      </c>
      <c r="F761" t="e">
        <f>NA()</f>
        <v>#N/A</v>
      </c>
      <c r="G761" t="e">
        <f>NA()</f>
        <v>#N/A</v>
      </c>
      <c r="H761" t="e">
        <f>NA()</f>
        <v>#N/A</v>
      </c>
      <c r="I761" t="e">
        <f>NA()</f>
        <v>#N/A</v>
      </c>
      <c r="J761" t="e">
        <f>NA()</f>
        <v>#N/A</v>
      </c>
      <c r="K761" t="e">
        <f>NA()</f>
        <v>#N/A</v>
      </c>
      <c r="L761" t="e">
        <f>NA()</f>
        <v>#N/A</v>
      </c>
      <c r="M761" t="e">
        <f>NA()</f>
        <v>#N/A</v>
      </c>
      <c r="N761" t="e">
        <f>NA()</f>
        <v>#N/A</v>
      </c>
      <c r="O761">
        <f t="shared" si="27"/>
        <v>3.8</v>
      </c>
    </row>
    <row r="762" spans="1:15" x14ac:dyDescent="0.25">
      <c r="A762" s="1">
        <v>44886</v>
      </c>
      <c r="B762" t="e">
        <f>NA()</f>
        <v>#N/A</v>
      </c>
      <c r="C762" t="e">
        <f>NA()</f>
        <v>#N/A</v>
      </c>
      <c r="D762" t="e">
        <f>NA()</f>
        <v>#N/A</v>
      </c>
      <c r="E762" t="e">
        <f>NA()</f>
        <v>#N/A</v>
      </c>
      <c r="F762" t="e">
        <f>NA()</f>
        <v>#N/A</v>
      </c>
      <c r="G762" t="e">
        <f>NA()</f>
        <v>#N/A</v>
      </c>
      <c r="H762" t="e">
        <f>NA()</f>
        <v>#N/A</v>
      </c>
      <c r="I762" t="e">
        <f>NA()</f>
        <v>#N/A</v>
      </c>
      <c r="J762" t="e">
        <f>NA()</f>
        <v>#N/A</v>
      </c>
      <c r="K762" t="e">
        <f>NA()</f>
        <v>#N/A</v>
      </c>
      <c r="L762" t="e">
        <f>NA()</f>
        <v>#N/A</v>
      </c>
      <c r="M762" t="e">
        <f>NA()</f>
        <v>#N/A</v>
      </c>
      <c r="N762" t="e">
        <f>NA()</f>
        <v>#N/A</v>
      </c>
      <c r="O762">
        <f t="shared" si="27"/>
        <v>3.8</v>
      </c>
    </row>
    <row r="763" spans="1:15" x14ac:dyDescent="0.25">
      <c r="A763" s="1">
        <v>44883</v>
      </c>
      <c r="B763">
        <f>-0.2</f>
        <v>-0.2</v>
      </c>
      <c r="C763">
        <f>0</f>
        <v>0</v>
      </c>
      <c r="D763" t="e">
        <f>NA()</f>
        <v>#N/A</v>
      </c>
      <c r="E763" t="e">
        <f>NA()</f>
        <v>#N/A</v>
      </c>
      <c r="F763" t="e">
        <f>NA()</f>
        <v>#N/A</v>
      </c>
      <c r="G763" t="e">
        <f>NA()</f>
        <v>#N/A</v>
      </c>
      <c r="H763" t="e">
        <f>NA()</f>
        <v>#N/A</v>
      </c>
      <c r="I763" t="e">
        <f>NA()</f>
        <v>#N/A</v>
      </c>
      <c r="J763" t="e">
        <f>NA()</f>
        <v>#N/A</v>
      </c>
      <c r="K763" t="e">
        <f>NA()</f>
        <v>#N/A</v>
      </c>
      <c r="L763" t="e">
        <f>NA()</f>
        <v>#N/A</v>
      </c>
      <c r="M763" t="e">
        <f>NA()</f>
        <v>#N/A</v>
      </c>
      <c r="N763" t="e">
        <f>NA()</f>
        <v>#N/A</v>
      </c>
      <c r="O763">
        <f t="shared" si="27"/>
        <v>3.8</v>
      </c>
    </row>
    <row r="764" spans="1:15" x14ac:dyDescent="0.25">
      <c r="A764" s="1">
        <v>44882</v>
      </c>
      <c r="B764" t="e">
        <f>NA()</f>
        <v>#N/A</v>
      </c>
      <c r="C764" t="e">
        <f>NA()</f>
        <v>#N/A</v>
      </c>
      <c r="D764" t="e">
        <f>NA()</f>
        <v>#N/A</v>
      </c>
      <c r="E764" t="e">
        <f>NA()</f>
        <v>#N/A</v>
      </c>
      <c r="F764" t="e">
        <f>NA()</f>
        <v>#N/A</v>
      </c>
      <c r="G764" t="e">
        <f>NA()</f>
        <v>#N/A</v>
      </c>
      <c r="H764" t="e">
        <f>NA()</f>
        <v>#N/A</v>
      </c>
      <c r="I764" t="e">
        <f>NA()</f>
        <v>#N/A</v>
      </c>
      <c r="J764" t="e">
        <f>NA()</f>
        <v>#N/A</v>
      </c>
      <c r="K764" t="e">
        <f>NA()</f>
        <v>#N/A</v>
      </c>
      <c r="L764" t="e">
        <f>NA()</f>
        <v>#N/A</v>
      </c>
      <c r="M764" t="e">
        <f>NA()</f>
        <v>#N/A</v>
      </c>
      <c r="N764" t="e">
        <f>NA()</f>
        <v>#N/A</v>
      </c>
      <c r="O764">
        <f t="shared" si="27"/>
        <v>3.8</v>
      </c>
    </row>
    <row r="765" spans="1:15" x14ac:dyDescent="0.25">
      <c r="A765" s="1">
        <v>44881</v>
      </c>
      <c r="B765" t="e">
        <f>NA()</f>
        <v>#N/A</v>
      </c>
      <c r="C765" t="e">
        <f>NA()</f>
        <v>#N/A</v>
      </c>
      <c r="D765" t="e">
        <f>NA()</f>
        <v>#N/A</v>
      </c>
      <c r="E765" t="e">
        <f>NA()</f>
        <v>#N/A</v>
      </c>
      <c r="F765" t="e">
        <f>NA()</f>
        <v>#N/A</v>
      </c>
      <c r="G765" t="e">
        <f>NA()</f>
        <v>#N/A</v>
      </c>
      <c r="H765" t="e">
        <f>NA()</f>
        <v>#N/A</v>
      </c>
      <c r="I765" t="e">
        <f>NA()</f>
        <v>#N/A</v>
      </c>
      <c r="J765" t="e">
        <f>NA()</f>
        <v>#N/A</v>
      </c>
      <c r="K765" t="e">
        <f>NA()</f>
        <v>#N/A</v>
      </c>
      <c r="L765" t="e">
        <f>NA()</f>
        <v>#N/A</v>
      </c>
      <c r="M765" t="e">
        <f>NA()</f>
        <v>#N/A</v>
      </c>
      <c r="N765" t="e">
        <f>NA()</f>
        <v>#N/A</v>
      </c>
      <c r="O765">
        <f t="shared" si="27"/>
        <v>3.8</v>
      </c>
    </row>
    <row r="766" spans="1:15" x14ac:dyDescent="0.25">
      <c r="A766" s="1">
        <v>44880</v>
      </c>
      <c r="B766" t="e">
        <f>NA()</f>
        <v>#N/A</v>
      </c>
      <c r="C766" t="e">
        <f>NA()</f>
        <v>#N/A</v>
      </c>
      <c r="D766" t="e">
        <f>NA()</f>
        <v>#N/A</v>
      </c>
      <c r="E766" t="e">
        <f>NA()</f>
        <v>#N/A</v>
      </c>
      <c r="F766" t="e">
        <f>NA()</f>
        <v>#N/A</v>
      </c>
      <c r="G766" t="e">
        <f>NA()</f>
        <v>#N/A</v>
      </c>
      <c r="H766" t="e">
        <f>NA()</f>
        <v>#N/A</v>
      </c>
      <c r="I766" t="e">
        <f>NA()</f>
        <v>#N/A</v>
      </c>
      <c r="J766" t="e">
        <f>NA()</f>
        <v>#N/A</v>
      </c>
      <c r="K766" t="e">
        <f>NA()</f>
        <v>#N/A</v>
      </c>
      <c r="L766" t="e">
        <f>NA()</f>
        <v>#N/A</v>
      </c>
      <c r="M766" t="e">
        <f>NA()</f>
        <v>#N/A</v>
      </c>
      <c r="N766" t="e">
        <f>NA()</f>
        <v>#N/A</v>
      </c>
      <c r="O766">
        <f t="shared" si="27"/>
        <v>3.8</v>
      </c>
    </row>
    <row r="767" spans="1:15" x14ac:dyDescent="0.25">
      <c r="A767" s="1">
        <v>44879</v>
      </c>
      <c r="B767" t="e">
        <f>NA()</f>
        <v>#N/A</v>
      </c>
      <c r="C767" t="e">
        <f>NA()</f>
        <v>#N/A</v>
      </c>
      <c r="D767" t="e">
        <f>NA()</f>
        <v>#N/A</v>
      </c>
      <c r="E767" t="e">
        <f>NA()</f>
        <v>#N/A</v>
      </c>
      <c r="F767" t="e">
        <f>NA()</f>
        <v>#N/A</v>
      </c>
      <c r="G767" t="e">
        <f>NA()</f>
        <v>#N/A</v>
      </c>
      <c r="H767" t="e">
        <f>NA()</f>
        <v>#N/A</v>
      </c>
      <c r="I767" t="e">
        <f>NA()</f>
        <v>#N/A</v>
      </c>
      <c r="J767" t="e">
        <f>NA()</f>
        <v>#N/A</v>
      </c>
      <c r="K767" t="e">
        <f>NA()</f>
        <v>#N/A</v>
      </c>
      <c r="L767" t="e">
        <f>NA()</f>
        <v>#N/A</v>
      </c>
      <c r="M767" t="e">
        <f>NA()</f>
        <v>#N/A</v>
      </c>
      <c r="N767" t="e">
        <f>NA()</f>
        <v>#N/A</v>
      </c>
      <c r="O767">
        <f t="shared" si="27"/>
        <v>3.8</v>
      </c>
    </row>
    <row r="768" spans="1:15" x14ac:dyDescent="0.25">
      <c r="A768" s="1">
        <v>44876</v>
      </c>
      <c r="B768">
        <f>-0.3</f>
        <v>-0.3</v>
      </c>
      <c r="C768">
        <f>0</f>
        <v>0</v>
      </c>
      <c r="D768" t="e">
        <f>NA()</f>
        <v>#N/A</v>
      </c>
      <c r="E768" t="e">
        <f>NA()</f>
        <v>#N/A</v>
      </c>
      <c r="F768" t="e">
        <f>NA()</f>
        <v>#N/A</v>
      </c>
      <c r="G768" t="e">
        <f>NA()</f>
        <v>#N/A</v>
      </c>
      <c r="H768" t="e">
        <f>NA()</f>
        <v>#N/A</v>
      </c>
      <c r="I768" t="e">
        <f>NA()</f>
        <v>#N/A</v>
      </c>
      <c r="J768" t="e">
        <f>NA()</f>
        <v>#N/A</v>
      </c>
      <c r="K768" t="e">
        <f>NA()</f>
        <v>#N/A</v>
      </c>
      <c r="L768" t="e">
        <f>NA()</f>
        <v>#N/A</v>
      </c>
      <c r="M768" t="e">
        <f>NA()</f>
        <v>#N/A</v>
      </c>
      <c r="N768" t="e">
        <f>NA()</f>
        <v>#N/A</v>
      </c>
      <c r="O768" t="e">
        <f>NA()</f>
        <v>#N/A</v>
      </c>
    </row>
    <row r="769" spans="1:15" x14ac:dyDescent="0.25">
      <c r="A769" s="1">
        <v>44875</v>
      </c>
      <c r="B769" t="e">
        <f>NA()</f>
        <v>#N/A</v>
      </c>
      <c r="C769" t="e">
        <f>NA()</f>
        <v>#N/A</v>
      </c>
      <c r="D769" t="e">
        <f>NA()</f>
        <v>#N/A</v>
      </c>
      <c r="E769" t="e">
        <f>NA()</f>
        <v>#N/A</v>
      </c>
      <c r="F769" t="e">
        <f>NA()</f>
        <v>#N/A</v>
      </c>
      <c r="G769" t="e">
        <f>NA()</f>
        <v>#N/A</v>
      </c>
      <c r="H769" t="e">
        <f>NA()</f>
        <v>#N/A</v>
      </c>
      <c r="I769" t="e">
        <f>NA()</f>
        <v>#N/A</v>
      </c>
      <c r="J769" t="e">
        <f>NA()</f>
        <v>#N/A</v>
      </c>
      <c r="K769" t="e">
        <f>NA()</f>
        <v>#N/A</v>
      </c>
      <c r="L769" t="e">
        <f>NA()</f>
        <v>#N/A</v>
      </c>
      <c r="M769" t="e">
        <f>NA()</f>
        <v>#N/A</v>
      </c>
      <c r="N769" t="e">
        <f>NA()</f>
        <v>#N/A</v>
      </c>
      <c r="O769">
        <f t="shared" ref="O769:O774" si="28">3.8</f>
        <v>3.8</v>
      </c>
    </row>
    <row r="770" spans="1:15" x14ac:dyDescent="0.25">
      <c r="A770" s="1">
        <v>44874</v>
      </c>
      <c r="B770" t="e">
        <f>NA()</f>
        <v>#N/A</v>
      </c>
      <c r="C770" t="e">
        <f>NA()</f>
        <v>#N/A</v>
      </c>
      <c r="D770" t="e">
        <f>NA()</f>
        <v>#N/A</v>
      </c>
      <c r="E770" t="e">
        <f>NA()</f>
        <v>#N/A</v>
      </c>
      <c r="F770" t="e">
        <f>NA()</f>
        <v>#N/A</v>
      </c>
      <c r="G770" t="e">
        <f>NA()</f>
        <v>#N/A</v>
      </c>
      <c r="H770" t="e">
        <f>NA()</f>
        <v>#N/A</v>
      </c>
      <c r="I770" t="e">
        <f>NA()</f>
        <v>#N/A</v>
      </c>
      <c r="J770" t="e">
        <f>NA()</f>
        <v>#N/A</v>
      </c>
      <c r="K770" t="e">
        <f>NA()</f>
        <v>#N/A</v>
      </c>
      <c r="L770" t="e">
        <f>NA()</f>
        <v>#N/A</v>
      </c>
      <c r="M770" t="e">
        <f>NA()</f>
        <v>#N/A</v>
      </c>
      <c r="N770" t="e">
        <f>NA()</f>
        <v>#N/A</v>
      </c>
      <c r="O770">
        <f t="shared" si="28"/>
        <v>3.8</v>
      </c>
    </row>
    <row r="771" spans="1:15" x14ac:dyDescent="0.25">
      <c r="A771" s="1">
        <v>44873</v>
      </c>
      <c r="B771" t="e">
        <f>NA()</f>
        <v>#N/A</v>
      </c>
      <c r="C771" t="e">
        <f>NA()</f>
        <v>#N/A</v>
      </c>
      <c r="D771" t="e">
        <f>NA()</f>
        <v>#N/A</v>
      </c>
      <c r="E771" t="e">
        <f>NA()</f>
        <v>#N/A</v>
      </c>
      <c r="F771" t="e">
        <f>NA()</f>
        <v>#N/A</v>
      </c>
      <c r="G771" t="e">
        <f>NA()</f>
        <v>#N/A</v>
      </c>
      <c r="H771" t="e">
        <f>NA()</f>
        <v>#N/A</v>
      </c>
      <c r="I771" t="e">
        <f>NA()</f>
        <v>#N/A</v>
      </c>
      <c r="J771" t="e">
        <f>NA()</f>
        <v>#N/A</v>
      </c>
      <c r="K771" t="e">
        <f>NA()</f>
        <v>#N/A</v>
      </c>
      <c r="L771" t="e">
        <f>NA()</f>
        <v>#N/A</v>
      </c>
      <c r="M771" t="e">
        <f>NA()</f>
        <v>#N/A</v>
      </c>
      <c r="N771" t="e">
        <f>NA()</f>
        <v>#N/A</v>
      </c>
      <c r="O771">
        <f t="shared" si="28"/>
        <v>3.8</v>
      </c>
    </row>
    <row r="772" spans="1:15" x14ac:dyDescent="0.25">
      <c r="A772" s="1">
        <v>44872</v>
      </c>
      <c r="B772" t="e">
        <f>NA()</f>
        <v>#N/A</v>
      </c>
      <c r="C772" t="e">
        <f>NA()</f>
        <v>#N/A</v>
      </c>
      <c r="D772" t="e">
        <f>NA()</f>
        <v>#N/A</v>
      </c>
      <c r="E772" t="e">
        <f>NA()</f>
        <v>#N/A</v>
      </c>
      <c r="F772" t="e">
        <f>NA()</f>
        <v>#N/A</v>
      </c>
      <c r="G772" t="e">
        <f>NA()</f>
        <v>#N/A</v>
      </c>
      <c r="H772" t="e">
        <f>NA()</f>
        <v>#N/A</v>
      </c>
      <c r="I772" t="e">
        <f>NA()</f>
        <v>#N/A</v>
      </c>
      <c r="J772" t="e">
        <f>NA()</f>
        <v>#N/A</v>
      </c>
      <c r="K772" t="e">
        <f>NA()</f>
        <v>#N/A</v>
      </c>
      <c r="L772" t="e">
        <f>NA()</f>
        <v>#N/A</v>
      </c>
      <c r="M772" t="e">
        <f>NA()</f>
        <v>#N/A</v>
      </c>
      <c r="N772" t="e">
        <f>NA()</f>
        <v>#N/A</v>
      </c>
      <c r="O772">
        <f t="shared" si="28"/>
        <v>3.8</v>
      </c>
    </row>
    <row r="773" spans="1:15" x14ac:dyDescent="0.25">
      <c r="A773" s="1">
        <v>44869</v>
      </c>
      <c r="B773">
        <f>-0.4</f>
        <v>-0.4</v>
      </c>
      <c r="C773">
        <f>0</f>
        <v>0</v>
      </c>
      <c r="D773" t="e">
        <f>NA()</f>
        <v>#N/A</v>
      </c>
      <c r="E773" t="e">
        <f>NA()</f>
        <v>#N/A</v>
      </c>
      <c r="F773" t="e">
        <f>NA()</f>
        <v>#N/A</v>
      </c>
      <c r="G773" t="e">
        <f>NA()</f>
        <v>#N/A</v>
      </c>
      <c r="H773" t="e">
        <f>NA()</f>
        <v>#N/A</v>
      </c>
      <c r="I773" t="e">
        <f>NA()</f>
        <v>#N/A</v>
      </c>
      <c r="J773" t="e">
        <f>NA()</f>
        <v>#N/A</v>
      </c>
      <c r="K773" t="e">
        <f>NA()</f>
        <v>#N/A</v>
      </c>
      <c r="L773" t="e">
        <f>NA()</f>
        <v>#N/A</v>
      </c>
      <c r="M773" t="e">
        <f>NA()</f>
        <v>#N/A</v>
      </c>
      <c r="N773" t="e">
        <f>NA()</f>
        <v>#N/A</v>
      </c>
      <c r="O773">
        <f t="shared" si="28"/>
        <v>3.8</v>
      </c>
    </row>
    <row r="774" spans="1:15" x14ac:dyDescent="0.25">
      <c r="A774" s="1">
        <v>44868</v>
      </c>
      <c r="B774" t="e">
        <f>NA()</f>
        <v>#N/A</v>
      </c>
      <c r="C774" t="e">
        <f>NA()</f>
        <v>#N/A</v>
      </c>
      <c r="D774" t="e">
        <f>NA()</f>
        <v>#N/A</v>
      </c>
      <c r="E774" t="e">
        <f>NA()</f>
        <v>#N/A</v>
      </c>
      <c r="F774" t="e">
        <f>NA()</f>
        <v>#N/A</v>
      </c>
      <c r="G774" t="e">
        <f>NA()</f>
        <v>#N/A</v>
      </c>
      <c r="H774" t="e">
        <f>NA()</f>
        <v>#N/A</v>
      </c>
      <c r="I774" t="e">
        <f>NA()</f>
        <v>#N/A</v>
      </c>
      <c r="J774" t="e">
        <f>NA()</f>
        <v>#N/A</v>
      </c>
      <c r="K774" t="e">
        <f>NA()</f>
        <v>#N/A</v>
      </c>
      <c r="L774" t="e">
        <f>NA()</f>
        <v>#N/A</v>
      </c>
      <c r="M774" t="e">
        <f>NA()</f>
        <v>#N/A</v>
      </c>
      <c r="N774" t="e">
        <f>NA()</f>
        <v>#N/A</v>
      </c>
      <c r="O774">
        <f t="shared" si="28"/>
        <v>3.8</v>
      </c>
    </row>
    <row r="775" spans="1:15" x14ac:dyDescent="0.25">
      <c r="A775" s="1">
        <v>44867</v>
      </c>
      <c r="B775" t="e">
        <f>NA()</f>
        <v>#N/A</v>
      </c>
      <c r="C775" t="e">
        <f>NA()</f>
        <v>#N/A</v>
      </c>
      <c r="D775" t="e">
        <f>NA()</f>
        <v>#N/A</v>
      </c>
      <c r="E775" t="e">
        <f>NA()</f>
        <v>#N/A</v>
      </c>
      <c r="F775" t="e">
        <f>NA()</f>
        <v>#N/A</v>
      </c>
      <c r="G775" t="e">
        <f>NA()</f>
        <v>#N/A</v>
      </c>
      <c r="H775" t="e">
        <f>NA()</f>
        <v>#N/A</v>
      </c>
      <c r="I775" t="e">
        <f>NA()</f>
        <v>#N/A</v>
      </c>
      <c r="J775" t="e">
        <f>NA()</f>
        <v>#N/A</v>
      </c>
      <c r="K775" t="e">
        <f>NA()</f>
        <v>#N/A</v>
      </c>
      <c r="L775" t="e">
        <f>NA()</f>
        <v>#N/A</v>
      </c>
      <c r="M775" t="e">
        <f>NA()</f>
        <v>#N/A</v>
      </c>
      <c r="N775" t="e">
        <f>NA()</f>
        <v>#N/A</v>
      </c>
      <c r="O775">
        <f t="shared" ref="O775:O803" si="29">3.1</f>
        <v>3.1</v>
      </c>
    </row>
    <row r="776" spans="1:15" x14ac:dyDescent="0.25">
      <c r="A776" s="1">
        <v>44866</v>
      </c>
      <c r="B776" t="e">
        <f>NA()</f>
        <v>#N/A</v>
      </c>
      <c r="C776" t="e">
        <f>NA()</f>
        <v>#N/A</v>
      </c>
      <c r="D776" t="e">
        <f>NA()</f>
        <v>#N/A</v>
      </c>
      <c r="E776" t="e">
        <f>NA()</f>
        <v>#N/A</v>
      </c>
      <c r="F776" t="e">
        <f>NA()</f>
        <v>#N/A</v>
      </c>
      <c r="G776" t="e">
        <f>NA()</f>
        <v>#N/A</v>
      </c>
      <c r="H776" t="e">
        <f>NA()</f>
        <v>#N/A</v>
      </c>
      <c r="I776" t="e">
        <f>NA()</f>
        <v>#N/A</v>
      </c>
      <c r="J776" t="e">
        <f>NA()</f>
        <v>#N/A</v>
      </c>
      <c r="K776" t="e">
        <f>NA()</f>
        <v>#N/A</v>
      </c>
      <c r="L776" t="e">
        <f>NA()</f>
        <v>#N/A</v>
      </c>
      <c r="M776" t="e">
        <f>NA()</f>
        <v>#N/A</v>
      </c>
      <c r="N776" t="e">
        <f>NA()</f>
        <v>#N/A</v>
      </c>
      <c r="O776">
        <f t="shared" si="29"/>
        <v>3.1</v>
      </c>
    </row>
    <row r="777" spans="1:15" x14ac:dyDescent="0.25">
      <c r="A777" s="1">
        <v>44865</v>
      </c>
      <c r="B777" t="e">
        <f>NA()</f>
        <v>#N/A</v>
      </c>
      <c r="C777" t="e">
        <f>NA()</f>
        <v>#N/A</v>
      </c>
      <c r="D777">
        <f>0.5</f>
        <v>0.5</v>
      </c>
      <c r="E777">
        <f>-2.6</f>
        <v>-2.6</v>
      </c>
      <c r="F777">
        <f>10488</f>
        <v>10488</v>
      </c>
      <c r="G777">
        <f>62.2</f>
        <v>62.2</v>
      </c>
      <c r="H777">
        <f>8.4</f>
        <v>8.4</v>
      </c>
      <c r="I777">
        <f>298</f>
        <v>298</v>
      </c>
      <c r="J777">
        <f>7.7</f>
        <v>7.7</v>
      </c>
      <c r="K777">
        <f>50.3</f>
        <v>50.3</v>
      </c>
      <c r="L777">
        <f>-0.1</f>
        <v>-0.1</v>
      </c>
      <c r="M777" t="e">
        <f>NA()</f>
        <v>#N/A</v>
      </c>
      <c r="N777">
        <f>3.6</f>
        <v>3.6</v>
      </c>
      <c r="O777">
        <f t="shared" si="29"/>
        <v>3.1</v>
      </c>
    </row>
    <row r="778" spans="1:15" x14ac:dyDescent="0.25">
      <c r="A778" s="1">
        <v>44862</v>
      </c>
      <c r="B778">
        <f>-0.3</f>
        <v>-0.3</v>
      </c>
      <c r="C778">
        <f>0</f>
        <v>0</v>
      </c>
      <c r="D778" t="e">
        <f>NA()</f>
        <v>#N/A</v>
      </c>
      <c r="E778" t="e">
        <f>NA()</f>
        <v>#N/A</v>
      </c>
      <c r="F778" t="e">
        <f>NA()</f>
        <v>#N/A</v>
      </c>
      <c r="G778" t="e">
        <f>NA()</f>
        <v>#N/A</v>
      </c>
      <c r="H778" t="e">
        <f>NA()</f>
        <v>#N/A</v>
      </c>
      <c r="I778" t="e">
        <f>NA()</f>
        <v>#N/A</v>
      </c>
      <c r="J778" t="e">
        <f>NA()</f>
        <v>#N/A</v>
      </c>
      <c r="K778" t="e">
        <f>NA()</f>
        <v>#N/A</v>
      </c>
      <c r="L778" t="e">
        <f>NA()</f>
        <v>#N/A</v>
      </c>
      <c r="M778" t="e">
        <f>NA()</f>
        <v>#N/A</v>
      </c>
      <c r="N778" t="e">
        <f>NA()</f>
        <v>#N/A</v>
      </c>
      <c r="O778">
        <f t="shared" si="29"/>
        <v>3.1</v>
      </c>
    </row>
    <row r="779" spans="1:15" x14ac:dyDescent="0.25">
      <c r="A779" s="1">
        <v>44861</v>
      </c>
      <c r="B779" t="e">
        <f>NA()</f>
        <v>#N/A</v>
      </c>
      <c r="C779" t="e">
        <f>NA()</f>
        <v>#N/A</v>
      </c>
      <c r="D779" t="e">
        <f>NA()</f>
        <v>#N/A</v>
      </c>
      <c r="E779" t="e">
        <f>NA()</f>
        <v>#N/A</v>
      </c>
      <c r="F779" t="e">
        <f>NA()</f>
        <v>#N/A</v>
      </c>
      <c r="G779" t="e">
        <f>NA()</f>
        <v>#N/A</v>
      </c>
      <c r="H779" t="e">
        <f>NA()</f>
        <v>#N/A</v>
      </c>
      <c r="I779" t="e">
        <f>NA()</f>
        <v>#N/A</v>
      </c>
      <c r="J779" t="e">
        <f>NA()</f>
        <v>#N/A</v>
      </c>
      <c r="K779" t="e">
        <f>NA()</f>
        <v>#N/A</v>
      </c>
      <c r="L779" t="e">
        <f>NA()</f>
        <v>#N/A</v>
      </c>
      <c r="M779" t="e">
        <f>NA()</f>
        <v>#N/A</v>
      </c>
      <c r="N779" t="e">
        <f>NA()</f>
        <v>#N/A</v>
      </c>
      <c r="O779">
        <f t="shared" si="29"/>
        <v>3.1</v>
      </c>
    </row>
    <row r="780" spans="1:15" x14ac:dyDescent="0.25">
      <c r="A780" s="1">
        <v>44860</v>
      </c>
      <c r="B780" t="e">
        <f>NA()</f>
        <v>#N/A</v>
      </c>
      <c r="C780" t="e">
        <f>NA()</f>
        <v>#N/A</v>
      </c>
      <c r="D780" t="e">
        <f>NA()</f>
        <v>#N/A</v>
      </c>
      <c r="E780" t="e">
        <f>NA()</f>
        <v>#N/A</v>
      </c>
      <c r="F780" t="e">
        <f>NA()</f>
        <v>#N/A</v>
      </c>
      <c r="G780" t="e">
        <f>NA()</f>
        <v>#N/A</v>
      </c>
      <c r="H780" t="e">
        <f>NA()</f>
        <v>#N/A</v>
      </c>
      <c r="I780" t="e">
        <f>NA()</f>
        <v>#N/A</v>
      </c>
      <c r="J780" t="e">
        <f>NA()</f>
        <v>#N/A</v>
      </c>
      <c r="K780" t="e">
        <f>NA()</f>
        <v>#N/A</v>
      </c>
      <c r="L780" t="e">
        <f>NA()</f>
        <v>#N/A</v>
      </c>
      <c r="M780" t="e">
        <f>NA()</f>
        <v>#N/A</v>
      </c>
      <c r="N780" t="e">
        <f>NA()</f>
        <v>#N/A</v>
      </c>
      <c r="O780">
        <f t="shared" si="29"/>
        <v>3.1</v>
      </c>
    </row>
    <row r="781" spans="1:15" x14ac:dyDescent="0.25">
      <c r="A781" s="1">
        <v>44859</v>
      </c>
      <c r="B781" t="e">
        <f>NA()</f>
        <v>#N/A</v>
      </c>
      <c r="C781" t="e">
        <f>NA()</f>
        <v>#N/A</v>
      </c>
      <c r="D781" t="e">
        <f>NA()</f>
        <v>#N/A</v>
      </c>
      <c r="E781" t="e">
        <f>NA()</f>
        <v>#N/A</v>
      </c>
      <c r="F781" t="e">
        <f>NA()</f>
        <v>#N/A</v>
      </c>
      <c r="G781" t="e">
        <f>NA()</f>
        <v>#N/A</v>
      </c>
      <c r="H781" t="e">
        <f>NA()</f>
        <v>#N/A</v>
      </c>
      <c r="I781" t="e">
        <f>NA()</f>
        <v>#N/A</v>
      </c>
      <c r="J781" t="e">
        <f>NA()</f>
        <v>#N/A</v>
      </c>
      <c r="K781" t="e">
        <f>NA()</f>
        <v>#N/A</v>
      </c>
      <c r="L781" t="e">
        <f>NA()</f>
        <v>#N/A</v>
      </c>
      <c r="M781" t="e">
        <f>NA()</f>
        <v>#N/A</v>
      </c>
      <c r="N781" t="e">
        <f>NA()</f>
        <v>#N/A</v>
      </c>
      <c r="O781">
        <f t="shared" si="29"/>
        <v>3.1</v>
      </c>
    </row>
    <row r="782" spans="1:15" x14ac:dyDescent="0.25">
      <c r="A782" s="1">
        <v>44858</v>
      </c>
      <c r="B782" t="e">
        <f>NA()</f>
        <v>#N/A</v>
      </c>
      <c r="C782" t="e">
        <f>NA()</f>
        <v>#N/A</v>
      </c>
      <c r="D782" t="e">
        <f>NA()</f>
        <v>#N/A</v>
      </c>
      <c r="E782" t="e">
        <f>NA()</f>
        <v>#N/A</v>
      </c>
      <c r="F782" t="e">
        <f>NA()</f>
        <v>#N/A</v>
      </c>
      <c r="G782" t="e">
        <f>NA()</f>
        <v>#N/A</v>
      </c>
      <c r="H782" t="e">
        <f>NA()</f>
        <v>#N/A</v>
      </c>
      <c r="I782" t="e">
        <f>NA()</f>
        <v>#N/A</v>
      </c>
      <c r="J782" t="e">
        <f>NA()</f>
        <v>#N/A</v>
      </c>
      <c r="K782" t="e">
        <f>NA()</f>
        <v>#N/A</v>
      </c>
      <c r="L782" t="e">
        <f>NA()</f>
        <v>#N/A</v>
      </c>
      <c r="M782" t="e">
        <f>NA()</f>
        <v>#N/A</v>
      </c>
      <c r="N782" t="e">
        <f>NA()</f>
        <v>#N/A</v>
      </c>
      <c r="O782">
        <f t="shared" si="29"/>
        <v>3.1</v>
      </c>
    </row>
    <row r="783" spans="1:15" x14ac:dyDescent="0.25">
      <c r="A783" s="1">
        <v>44855</v>
      </c>
      <c r="B783">
        <f>-0.2</f>
        <v>-0.2</v>
      </c>
      <c r="C783">
        <f>0</f>
        <v>0</v>
      </c>
      <c r="D783" t="e">
        <f>NA()</f>
        <v>#N/A</v>
      </c>
      <c r="E783" t="e">
        <f>NA()</f>
        <v>#N/A</v>
      </c>
      <c r="F783" t="e">
        <f>NA()</f>
        <v>#N/A</v>
      </c>
      <c r="G783" t="e">
        <f>NA()</f>
        <v>#N/A</v>
      </c>
      <c r="H783" t="e">
        <f>NA()</f>
        <v>#N/A</v>
      </c>
      <c r="I783" t="e">
        <f>NA()</f>
        <v>#N/A</v>
      </c>
      <c r="J783" t="e">
        <f>NA()</f>
        <v>#N/A</v>
      </c>
      <c r="K783" t="e">
        <f>NA()</f>
        <v>#N/A</v>
      </c>
      <c r="L783" t="e">
        <f>NA()</f>
        <v>#N/A</v>
      </c>
      <c r="M783" t="e">
        <f>NA()</f>
        <v>#N/A</v>
      </c>
      <c r="N783" t="e">
        <f>NA()</f>
        <v>#N/A</v>
      </c>
      <c r="O783">
        <f t="shared" si="29"/>
        <v>3.1</v>
      </c>
    </row>
    <row r="784" spans="1:15" x14ac:dyDescent="0.25">
      <c r="A784" s="1">
        <v>44854</v>
      </c>
      <c r="B784" t="e">
        <f>NA()</f>
        <v>#N/A</v>
      </c>
      <c r="C784" t="e">
        <f>NA()</f>
        <v>#N/A</v>
      </c>
      <c r="D784" t="e">
        <f>NA()</f>
        <v>#N/A</v>
      </c>
      <c r="E784" t="e">
        <f>NA()</f>
        <v>#N/A</v>
      </c>
      <c r="F784" t="e">
        <f>NA()</f>
        <v>#N/A</v>
      </c>
      <c r="G784" t="e">
        <f>NA()</f>
        <v>#N/A</v>
      </c>
      <c r="H784" t="e">
        <f>NA()</f>
        <v>#N/A</v>
      </c>
      <c r="I784" t="e">
        <f>NA()</f>
        <v>#N/A</v>
      </c>
      <c r="J784" t="e">
        <f>NA()</f>
        <v>#N/A</v>
      </c>
      <c r="K784" t="e">
        <f>NA()</f>
        <v>#N/A</v>
      </c>
      <c r="L784" t="e">
        <f>NA()</f>
        <v>#N/A</v>
      </c>
      <c r="M784" t="e">
        <f>NA()</f>
        <v>#N/A</v>
      </c>
      <c r="N784" t="e">
        <f>NA()</f>
        <v>#N/A</v>
      </c>
      <c r="O784">
        <f t="shared" si="29"/>
        <v>3.1</v>
      </c>
    </row>
    <row r="785" spans="1:15" x14ac:dyDescent="0.25">
      <c r="A785" s="1">
        <v>44853</v>
      </c>
      <c r="B785" t="e">
        <f>NA()</f>
        <v>#N/A</v>
      </c>
      <c r="C785" t="e">
        <f>NA()</f>
        <v>#N/A</v>
      </c>
      <c r="D785" t="e">
        <f>NA()</f>
        <v>#N/A</v>
      </c>
      <c r="E785" t="e">
        <f>NA()</f>
        <v>#N/A</v>
      </c>
      <c r="F785" t="e">
        <f>NA()</f>
        <v>#N/A</v>
      </c>
      <c r="G785" t="e">
        <f>NA()</f>
        <v>#N/A</v>
      </c>
      <c r="H785" t="e">
        <f>NA()</f>
        <v>#N/A</v>
      </c>
      <c r="I785" t="e">
        <f>NA()</f>
        <v>#N/A</v>
      </c>
      <c r="J785" t="e">
        <f>NA()</f>
        <v>#N/A</v>
      </c>
      <c r="K785" t="e">
        <f>NA()</f>
        <v>#N/A</v>
      </c>
      <c r="L785" t="e">
        <f>NA()</f>
        <v>#N/A</v>
      </c>
      <c r="M785" t="e">
        <f>NA()</f>
        <v>#N/A</v>
      </c>
      <c r="N785" t="e">
        <f>NA()</f>
        <v>#N/A</v>
      </c>
      <c r="O785">
        <f t="shared" si="29"/>
        <v>3.1</v>
      </c>
    </row>
    <row r="786" spans="1:15" x14ac:dyDescent="0.25">
      <c r="A786" s="1">
        <v>44852</v>
      </c>
      <c r="B786" t="e">
        <f>NA()</f>
        <v>#N/A</v>
      </c>
      <c r="C786" t="e">
        <f>NA()</f>
        <v>#N/A</v>
      </c>
      <c r="D786" t="e">
        <f>NA()</f>
        <v>#N/A</v>
      </c>
      <c r="E786" t="e">
        <f>NA()</f>
        <v>#N/A</v>
      </c>
      <c r="F786" t="e">
        <f>NA()</f>
        <v>#N/A</v>
      </c>
      <c r="G786" t="e">
        <f>NA()</f>
        <v>#N/A</v>
      </c>
      <c r="H786" t="e">
        <f>NA()</f>
        <v>#N/A</v>
      </c>
      <c r="I786" t="e">
        <f>NA()</f>
        <v>#N/A</v>
      </c>
      <c r="J786" t="e">
        <f>NA()</f>
        <v>#N/A</v>
      </c>
      <c r="K786" t="e">
        <f>NA()</f>
        <v>#N/A</v>
      </c>
      <c r="L786" t="e">
        <f>NA()</f>
        <v>#N/A</v>
      </c>
      <c r="M786" t="e">
        <f>NA()</f>
        <v>#N/A</v>
      </c>
      <c r="N786" t="e">
        <f>NA()</f>
        <v>#N/A</v>
      </c>
      <c r="O786">
        <f t="shared" si="29"/>
        <v>3.1</v>
      </c>
    </row>
    <row r="787" spans="1:15" x14ac:dyDescent="0.25">
      <c r="A787" s="1">
        <v>44851</v>
      </c>
      <c r="B787" t="e">
        <f>NA()</f>
        <v>#N/A</v>
      </c>
      <c r="C787" t="e">
        <f>NA()</f>
        <v>#N/A</v>
      </c>
      <c r="D787" t="e">
        <f>NA()</f>
        <v>#N/A</v>
      </c>
      <c r="E787" t="e">
        <f>NA()</f>
        <v>#N/A</v>
      </c>
      <c r="F787" t="e">
        <f>NA()</f>
        <v>#N/A</v>
      </c>
      <c r="G787" t="e">
        <f>NA()</f>
        <v>#N/A</v>
      </c>
      <c r="H787" t="e">
        <f>NA()</f>
        <v>#N/A</v>
      </c>
      <c r="I787" t="e">
        <f>NA()</f>
        <v>#N/A</v>
      </c>
      <c r="J787" t="e">
        <f>NA()</f>
        <v>#N/A</v>
      </c>
      <c r="K787" t="e">
        <f>NA()</f>
        <v>#N/A</v>
      </c>
      <c r="L787" t="e">
        <f>NA()</f>
        <v>#N/A</v>
      </c>
      <c r="M787" t="e">
        <f>NA()</f>
        <v>#N/A</v>
      </c>
      <c r="N787" t="e">
        <f>NA()</f>
        <v>#N/A</v>
      </c>
      <c r="O787">
        <f t="shared" si="29"/>
        <v>3.1</v>
      </c>
    </row>
    <row r="788" spans="1:15" x14ac:dyDescent="0.25">
      <c r="A788" s="1">
        <v>44848</v>
      </c>
      <c r="B788">
        <f>0.3</f>
        <v>0.3</v>
      </c>
      <c r="C788">
        <f>0</f>
        <v>0</v>
      </c>
      <c r="D788" t="e">
        <f>NA()</f>
        <v>#N/A</v>
      </c>
      <c r="E788" t="e">
        <f>NA()</f>
        <v>#N/A</v>
      </c>
      <c r="F788" t="e">
        <f>NA()</f>
        <v>#N/A</v>
      </c>
      <c r="G788" t="e">
        <f>NA()</f>
        <v>#N/A</v>
      </c>
      <c r="H788" t="e">
        <f>NA()</f>
        <v>#N/A</v>
      </c>
      <c r="I788" t="e">
        <f>NA()</f>
        <v>#N/A</v>
      </c>
      <c r="J788" t="e">
        <f>NA()</f>
        <v>#N/A</v>
      </c>
      <c r="K788" t="e">
        <f>NA()</f>
        <v>#N/A</v>
      </c>
      <c r="L788" t="e">
        <f>NA()</f>
        <v>#N/A</v>
      </c>
      <c r="M788" t="e">
        <f>NA()</f>
        <v>#N/A</v>
      </c>
      <c r="N788" t="e">
        <f>NA()</f>
        <v>#N/A</v>
      </c>
      <c r="O788">
        <f t="shared" si="29"/>
        <v>3.1</v>
      </c>
    </row>
    <row r="789" spans="1:15" x14ac:dyDescent="0.25">
      <c r="A789" s="1">
        <v>44847</v>
      </c>
      <c r="B789" t="e">
        <f>NA()</f>
        <v>#N/A</v>
      </c>
      <c r="C789" t="e">
        <f>NA()</f>
        <v>#N/A</v>
      </c>
      <c r="D789" t="e">
        <f>NA()</f>
        <v>#N/A</v>
      </c>
      <c r="E789" t="e">
        <f>NA()</f>
        <v>#N/A</v>
      </c>
      <c r="F789" t="e">
        <f>NA()</f>
        <v>#N/A</v>
      </c>
      <c r="G789" t="e">
        <f>NA()</f>
        <v>#N/A</v>
      </c>
      <c r="H789" t="e">
        <f>NA()</f>
        <v>#N/A</v>
      </c>
      <c r="I789" t="e">
        <f>NA()</f>
        <v>#N/A</v>
      </c>
      <c r="J789" t="e">
        <f>NA()</f>
        <v>#N/A</v>
      </c>
      <c r="K789" t="e">
        <f>NA()</f>
        <v>#N/A</v>
      </c>
      <c r="L789" t="e">
        <f>NA()</f>
        <v>#N/A</v>
      </c>
      <c r="M789" t="e">
        <f>NA()</f>
        <v>#N/A</v>
      </c>
      <c r="N789" t="e">
        <f>NA()</f>
        <v>#N/A</v>
      </c>
      <c r="O789">
        <f t="shared" si="29"/>
        <v>3.1</v>
      </c>
    </row>
    <row r="790" spans="1:15" x14ac:dyDescent="0.25">
      <c r="A790" s="1">
        <v>44846</v>
      </c>
      <c r="B790" t="e">
        <f>NA()</f>
        <v>#N/A</v>
      </c>
      <c r="C790" t="e">
        <f>NA()</f>
        <v>#N/A</v>
      </c>
      <c r="D790" t="e">
        <f>NA()</f>
        <v>#N/A</v>
      </c>
      <c r="E790" t="e">
        <f>NA()</f>
        <v>#N/A</v>
      </c>
      <c r="F790" t="e">
        <f>NA()</f>
        <v>#N/A</v>
      </c>
      <c r="G790" t="e">
        <f>NA()</f>
        <v>#N/A</v>
      </c>
      <c r="H790" t="e">
        <f>NA()</f>
        <v>#N/A</v>
      </c>
      <c r="I790" t="e">
        <f>NA()</f>
        <v>#N/A</v>
      </c>
      <c r="J790" t="e">
        <f>NA()</f>
        <v>#N/A</v>
      </c>
      <c r="K790" t="e">
        <f>NA()</f>
        <v>#N/A</v>
      </c>
      <c r="L790" t="e">
        <f>NA()</f>
        <v>#N/A</v>
      </c>
      <c r="M790" t="e">
        <f>NA()</f>
        <v>#N/A</v>
      </c>
      <c r="N790" t="e">
        <f>NA()</f>
        <v>#N/A</v>
      </c>
      <c r="O790">
        <f t="shared" si="29"/>
        <v>3.1</v>
      </c>
    </row>
    <row r="791" spans="1:15" x14ac:dyDescent="0.25">
      <c r="A791" s="1">
        <v>44845</v>
      </c>
      <c r="B791" t="e">
        <f>NA()</f>
        <v>#N/A</v>
      </c>
      <c r="C791" t="e">
        <f>NA()</f>
        <v>#N/A</v>
      </c>
      <c r="D791" t="e">
        <f>NA()</f>
        <v>#N/A</v>
      </c>
      <c r="E791" t="e">
        <f>NA()</f>
        <v>#N/A</v>
      </c>
      <c r="F791" t="e">
        <f>NA()</f>
        <v>#N/A</v>
      </c>
      <c r="G791" t="e">
        <f>NA()</f>
        <v>#N/A</v>
      </c>
      <c r="H791" t="e">
        <f>NA()</f>
        <v>#N/A</v>
      </c>
      <c r="I791" t="e">
        <f>NA()</f>
        <v>#N/A</v>
      </c>
      <c r="J791" t="e">
        <f>NA()</f>
        <v>#N/A</v>
      </c>
      <c r="K791" t="e">
        <f>NA()</f>
        <v>#N/A</v>
      </c>
      <c r="L791" t="e">
        <f>NA()</f>
        <v>#N/A</v>
      </c>
      <c r="M791" t="e">
        <f>NA()</f>
        <v>#N/A</v>
      </c>
      <c r="N791" t="e">
        <f>NA()</f>
        <v>#N/A</v>
      </c>
      <c r="O791">
        <f t="shared" si="29"/>
        <v>3.1</v>
      </c>
    </row>
    <row r="792" spans="1:15" x14ac:dyDescent="0.25">
      <c r="A792" s="1">
        <v>44841</v>
      </c>
      <c r="B792">
        <f>0.2</f>
        <v>0.2</v>
      </c>
      <c r="C792">
        <f>0</f>
        <v>0</v>
      </c>
      <c r="D792" t="e">
        <f>NA()</f>
        <v>#N/A</v>
      </c>
      <c r="E792" t="e">
        <f>NA()</f>
        <v>#N/A</v>
      </c>
      <c r="F792" t="e">
        <f>NA()</f>
        <v>#N/A</v>
      </c>
      <c r="G792" t="e">
        <f>NA()</f>
        <v>#N/A</v>
      </c>
      <c r="H792" t="e">
        <f>NA()</f>
        <v>#N/A</v>
      </c>
      <c r="I792" t="e">
        <f>NA()</f>
        <v>#N/A</v>
      </c>
      <c r="J792" t="e">
        <f>NA()</f>
        <v>#N/A</v>
      </c>
      <c r="K792" t="e">
        <f>NA()</f>
        <v>#N/A</v>
      </c>
      <c r="L792" t="e">
        <f>NA()</f>
        <v>#N/A</v>
      </c>
      <c r="M792" t="e">
        <f>NA()</f>
        <v>#N/A</v>
      </c>
      <c r="N792" t="e">
        <f>NA()</f>
        <v>#N/A</v>
      </c>
      <c r="O792">
        <f t="shared" si="29"/>
        <v>3.1</v>
      </c>
    </row>
    <row r="793" spans="1:15" x14ac:dyDescent="0.25">
      <c r="A793" s="1">
        <v>44840</v>
      </c>
      <c r="B793" t="e">
        <f>NA()</f>
        <v>#N/A</v>
      </c>
      <c r="C793" t="e">
        <f>NA()</f>
        <v>#N/A</v>
      </c>
      <c r="D793" t="e">
        <f>NA()</f>
        <v>#N/A</v>
      </c>
      <c r="E793" t="e">
        <f>NA()</f>
        <v>#N/A</v>
      </c>
      <c r="F793" t="e">
        <f>NA()</f>
        <v>#N/A</v>
      </c>
      <c r="G793" t="e">
        <f>NA()</f>
        <v>#N/A</v>
      </c>
      <c r="H793" t="e">
        <f>NA()</f>
        <v>#N/A</v>
      </c>
      <c r="I793" t="e">
        <f>NA()</f>
        <v>#N/A</v>
      </c>
      <c r="J793" t="e">
        <f>NA()</f>
        <v>#N/A</v>
      </c>
      <c r="K793" t="e">
        <f>NA()</f>
        <v>#N/A</v>
      </c>
      <c r="L793" t="e">
        <f>NA()</f>
        <v>#N/A</v>
      </c>
      <c r="M793" t="e">
        <f>NA()</f>
        <v>#N/A</v>
      </c>
      <c r="N793" t="e">
        <f>NA()</f>
        <v>#N/A</v>
      </c>
      <c r="O793">
        <f t="shared" si="29"/>
        <v>3.1</v>
      </c>
    </row>
    <row r="794" spans="1:15" x14ac:dyDescent="0.25">
      <c r="A794" s="1">
        <v>44839</v>
      </c>
      <c r="B794" t="e">
        <f>NA()</f>
        <v>#N/A</v>
      </c>
      <c r="C794" t="e">
        <f>NA()</f>
        <v>#N/A</v>
      </c>
      <c r="D794" t="e">
        <f>NA()</f>
        <v>#N/A</v>
      </c>
      <c r="E794" t="e">
        <f>NA()</f>
        <v>#N/A</v>
      </c>
      <c r="F794" t="e">
        <f>NA()</f>
        <v>#N/A</v>
      </c>
      <c r="G794" t="e">
        <f>NA()</f>
        <v>#N/A</v>
      </c>
      <c r="H794" t="e">
        <f>NA()</f>
        <v>#N/A</v>
      </c>
      <c r="I794" t="e">
        <f>NA()</f>
        <v>#N/A</v>
      </c>
      <c r="J794" t="e">
        <f>NA()</f>
        <v>#N/A</v>
      </c>
      <c r="K794" t="e">
        <f>NA()</f>
        <v>#N/A</v>
      </c>
      <c r="L794" t="e">
        <f>NA()</f>
        <v>#N/A</v>
      </c>
      <c r="M794" t="e">
        <f>NA()</f>
        <v>#N/A</v>
      </c>
      <c r="N794" t="e">
        <f>NA()</f>
        <v>#N/A</v>
      </c>
      <c r="O794">
        <f t="shared" si="29"/>
        <v>3.1</v>
      </c>
    </row>
    <row r="795" spans="1:15" x14ac:dyDescent="0.25">
      <c r="A795" s="1">
        <v>44838</v>
      </c>
      <c r="B795" t="e">
        <f>NA()</f>
        <v>#N/A</v>
      </c>
      <c r="C795" t="e">
        <f>NA()</f>
        <v>#N/A</v>
      </c>
      <c r="D795" t="e">
        <f>NA()</f>
        <v>#N/A</v>
      </c>
      <c r="E795" t="e">
        <f>NA()</f>
        <v>#N/A</v>
      </c>
      <c r="F795" t="e">
        <f>NA()</f>
        <v>#N/A</v>
      </c>
      <c r="G795" t="e">
        <f>NA()</f>
        <v>#N/A</v>
      </c>
      <c r="H795" t="e">
        <f>NA()</f>
        <v>#N/A</v>
      </c>
      <c r="I795" t="e">
        <f>NA()</f>
        <v>#N/A</v>
      </c>
      <c r="J795" t="e">
        <f>NA()</f>
        <v>#N/A</v>
      </c>
      <c r="K795" t="e">
        <f>NA()</f>
        <v>#N/A</v>
      </c>
      <c r="L795" t="e">
        <f>NA()</f>
        <v>#N/A</v>
      </c>
      <c r="M795" t="e">
        <f>NA()</f>
        <v>#N/A</v>
      </c>
      <c r="N795" t="e">
        <f>NA()</f>
        <v>#N/A</v>
      </c>
      <c r="O795">
        <f t="shared" si="29"/>
        <v>3.1</v>
      </c>
    </row>
    <row r="796" spans="1:15" x14ac:dyDescent="0.25">
      <c r="A796" s="1">
        <v>44837</v>
      </c>
      <c r="B796" t="e">
        <f>NA()</f>
        <v>#N/A</v>
      </c>
      <c r="C796" t="e">
        <f>NA()</f>
        <v>#N/A</v>
      </c>
      <c r="D796" t="e">
        <f>NA()</f>
        <v>#N/A</v>
      </c>
      <c r="E796" t="e">
        <f>NA()</f>
        <v>#N/A</v>
      </c>
      <c r="F796" t="e">
        <f>NA()</f>
        <v>#N/A</v>
      </c>
      <c r="G796" t="e">
        <f>NA()</f>
        <v>#N/A</v>
      </c>
      <c r="H796" t="e">
        <f>NA()</f>
        <v>#N/A</v>
      </c>
      <c r="I796" t="e">
        <f>NA()</f>
        <v>#N/A</v>
      </c>
      <c r="J796" t="e">
        <f>NA()</f>
        <v>#N/A</v>
      </c>
      <c r="K796" t="e">
        <f>NA()</f>
        <v>#N/A</v>
      </c>
      <c r="L796" t="e">
        <f>NA()</f>
        <v>#N/A</v>
      </c>
      <c r="M796" t="e">
        <f>NA()</f>
        <v>#N/A</v>
      </c>
      <c r="N796" t="e">
        <f>NA()</f>
        <v>#N/A</v>
      </c>
      <c r="O796">
        <f t="shared" si="29"/>
        <v>3.1</v>
      </c>
    </row>
    <row r="797" spans="1:15" x14ac:dyDescent="0.25">
      <c r="A797" s="1">
        <v>44834</v>
      </c>
      <c r="B797">
        <f>0.5</f>
        <v>0.5</v>
      </c>
      <c r="C797">
        <f>0</f>
        <v>0</v>
      </c>
      <c r="D797">
        <f>0.3</f>
        <v>0.3</v>
      </c>
      <c r="E797">
        <f>-2.8</f>
        <v>-2.8</v>
      </c>
      <c r="F797">
        <f>10812</f>
        <v>10812</v>
      </c>
      <c r="G797">
        <f>62.3</f>
        <v>62.3</v>
      </c>
      <c r="H797">
        <f>9.1</f>
        <v>9.1</v>
      </c>
      <c r="I797">
        <f>296.8</f>
        <v>296.8</v>
      </c>
      <c r="J797">
        <f>8.2</f>
        <v>8.1999999999999993</v>
      </c>
      <c r="K797">
        <f>51.1</f>
        <v>51.1</v>
      </c>
      <c r="L797">
        <f>0.4</f>
        <v>0.4</v>
      </c>
      <c r="M797">
        <f>2.9</f>
        <v>2.9</v>
      </c>
      <c r="N797">
        <f>3.5</f>
        <v>3.5</v>
      </c>
      <c r="O797">
        <f t="shared" si="29"/>
        <v>3.1</v>
      </c>
    </row>
    <row r="798" spans="1:15" x14ac:dyDescent="0.25">
      <c r="A798" s="1">
        <v>44833</v>
      </c>
      <c r="B798" t="e">
        <f>NA()</f>
        <v>#N/A</v>
      </c>
      <c r="C798" t="e">
        <f>NA()</f>
        <v>#N/A</v>
      </c>
      <c r="D798" t="e">
        <f>NA()</f>
        <v>#N/A</v>
      </c>
      <c r="E798" t="e">
        <f>NA()</f>
        <v>#N/A</v>
      </c>
      <c r="F798" t="e">
        <f>NA()</f>
        <v>#N/A</v>
      </c>
      <c r="G798" t="e">
        <f>NA()</f>
        <v>#N/A</v>
      </c>
      <c r="H798" t="e">
        <f>NA()</f>
        <v>#N/A</v>
      </c>
      <c r="I798" t="e">
        <f>NA()</f>
        <v>#N/A</v>
      </c>
      <c r="J798" t="e">
        <f>NA()</f>
        <v>#N/A</v>
      </c>
      <c r="K798" t="e">
        <f>NA()</f>
        <v>#N/A</v>
      </c>
      <c r="L798" t="e">
        <f>NA()</f>
        <v>#N/A</v>
      </c>
      <c r="M798" t="e">
        <f>NA()</f>
        <v>#N/A</v>
      </c>
      <c r="N798" t="e">
        <f>NA()</f>
        <v>#N/A</v>
      </c>
      <c r="O798">
        <f t="shared" si="29"/>
        <v>3.1</v>
      </c>
    </row>
    <row r="799" spans="1:15" x14ac:dyDescent="0.25">
      <c r="A799" s="1">
        <v>44832</v>
      </c>
      <c r="B799" t="e">
        <f>NA()</f>
        <v>#N/A</v>
      </c>
      <c r="C799" t="e">
        <f>NA()</f>
        <v>#N/A</v>
      </c>
      <c r="D799" t="e">
        <f>NA()</f>
        <v>#N/A</v>
      </c>
      <c r="E799" t="e">
        <f>NA()</f>
        <v>#N/A</v>
      </c>
      <c r="F799" t="e">
        <f>NA()</f>
        <v>#N/A</v>
      </c>
      <c r="G799" t="e">
        <f>NA()</f>
        <v>#N/A</v>
      </c>
      <c r="H799" t="e">
        <f>NA()</f>
        <v>#N/A</v>
      </c>
      <c r="I799" t="e">
        <f>NA()</f>
        <v>#N/A</v>
      </c>
      <c r="J799" t="e">
        <f>NA()</f>
        <v>#N/A</v>
      </c>
      <c r="K799" t="e">
        <f>NA()</f>
        <v>#N/A</v>
      </c>
      <c r="L799" t="e">
        <f>NA()</f>
        <v>#N/A</v>
      </c>
      <c r="M799" t="e">
        <f>NA()</f>
        <v>#N/A</v>
      </c>
      <c r="N799" t="e">
        <f>NA()</f>
        <v>#N/A</v>
      </c>
      <c r="O799">
        <f t="shared" si="29"/>
        <v>3.1</v>
      </c>
    </row>
    <row r="800" spans="1:15" x14ac:dyDescent="0.25">
      <c r="A800" s="1">
        <v>44831</v>
      </c>
      <c r="B800" t="e">
        <f>NA()</f>
        <v>#N/A</v>
      </c>
      <c r="C800" t="e">
        <f>NA()</f>
        <v>#N/A</v>
      </c>
      <c r="D800" t="e">
        <f>NA()</f>
        <v>#N/A</v>
      </c>
      <c r="E800" t="e">
        <f>NA()</f>
        <v>#N/A</v>
      </c>
      <c r="F800" t="e">
        <f>NA()</f>
        <v>#N/A</v>
      </c>
      <c r="G800" t="e">
        <f>NA()</f>
        <v>#N/A</v>
      </c>
      <c r="H800" t="e">
        <f>NA()</f>
        <v>#N/A</v>
      </c>
      <c r="I800" t="e">
        <f>NA()</f>
        <v>#N/A</v>
      </c>
      <c r="J800" t="e">
        <f>NA()</f>
        <v>#N/A</v>
      </c>
      <c r="K800" t="e">
        <f>NA()</f>
        <v>#N/A</v>
      </c>
      <c r="L800" t="e">
        <f>NA()</f>
        <v>#N/A</v>
      </c>
      <c r="M800" t="e">
        <f>NA()</f>
        <v>#N/A</v>
      </c>
      <c r="N800" t="e">
        <f>NA()</f>
        <v>#N/A</v>
      </c>
      <c r="O800">
        <f t="shared" si="29"/>
        <v>3.1</v>
      </c>
    </row>
    <row r="801" spans="1:15" x14ac:dyDescent="0.25">
      <c r="A801" s="1">
        <v>44830</v>
      </c>
      <c r="B801" t="e">
        <f>NA()</f>
        <v>#N/A</v>
      </c>
      <c r="C801" t="e">
        <f>NA()</f>
        <v>#N/A</v>
      </c>
      <c r="D801" t="e">
        <f>NA()</f>
        <v>#N/A</v>
      </c>
      <c r="E801" t="e">
        <f>NA()</f>
        <v>#N/A</v>
      </c>
      <c r="F801" t="e">
        <f>NA()</f>
        <v>#N/A</v>
      </c>
      <c r="G801" t="e">
        <f>NA()</f>
        <v>#N/A</v>
      </c>
      <c r="H801" t="e">
        <f>NA()</f>
        <v>#N/A</v>
      </c>
      <c r="I801" t="e">
        <f>NA()</f>
        <v>#N/A</v>
      </c>
      <c r="J801" t="e">
        <f>NA()</f>
        <v>#N/A</v>
      </c>
      <c r="K801" t="e">
        <f>NA()</f>
        <v>#N/A</v>
      </c>
      <c r="L801" t="e">
        <f>NA()</f>
        <v>#N/A</v>
      </c>
      <c r="M801" t="e">
        <f>NA()</f>
        <v>#N/A</v>
      </c>
      <c r="N801" t="e">
        <f>NA()</f>
        <v>#N/A</v>
      </c>
      <c r="O801">
        <f t="shared" si="29"/>
        <v>3.1</v>
      </c>
    </row>
    <row r="802" spans="1:15" x14ac:dyDescent="0.25">
      <c r="A802" s="1">
        <v>44827</v>
      </c>
      <c r="B802">
        <f>0.1</f>
        <v>0.1</v>
      </c>
      <c r="C802">
        <f>0</f>
        <v>0</v>
      </c>
      <c r="D802" t="e">
        <f>NA()</f>
        <v>#N/A</v>
      </c>
      <c r="E802" t="e">
        <f>NA()</f>
        <v>#N/A</v>
      </c>
      <c r="F802" t="e">
        <f>NA()</f>
        <v>#N/A</v>
      </c>
      <c r="G802" t="e">
        <f>NA()</f>
        <v>#N/A</v>
      </c>
      <c r="H802" t="e">
        <f>NA()</f>
        <v>#N/A</v>
      </c>
      <c r="I802" t="e">
        <f>NA()</f>
        <v>#N/A</v>
      </c>
      <c r="J802" t="e">
        <f>NA()</f>
        <v>#N/A</v>
      </c>
      <c r="K802" t="e">
        <f>NA()</f>
        <v>#N/A</v>
      </c>
      <c r="L802" t="e">
        <f>NA()</f>
        <v>#N/A</v>
      </c>
      <c r="M802" t="e">
        <f>NA()</f>
        <v>#N/A</v>
      </c>
      <c r="N802" t="e">
        <f>NA()</f>
        <v>#N/A</v>
      </c>
      <c r="O802">
        <f t="shared" si="29"/>
        <v>3.1</v>
      </c>
    </row>
    <row r="803" spans="1:15" x14ac:dyDescent="0.25">
      <c r="A803" s="1">
        <v>44826</v>
      </c>
      <c r="B803" t="e">
        <f>NA()</f>
        <v>#N/A</v>
      </c>
      <c r="C803" t="e">
        <f>NA()</f>
        <v>#N/A</v>
      </c>
      <c r="D803" t="e">
        <f>NA()</f>
        <v>#N/A</v>
      </c>
      <c r="E803" t="e">
        <f>NA()</f>
        <v>#N/A</v>
      </c>
      <c r="F803" t="e">
        <f>NA()</f>
        <v>#N/A</v>
      </c>
      <c r="G803" t="e">
        <f>NA()</f>
        <v>#N/A</v>
      </c>
      <c r="H803" t="e">
        <f>NA()</f>
        <v>#N/A</v>
      </c>
      <c r="I803" t="e">
        <f>NA()</f>
        <v>#N/A</v>
      </c>
      <c r="J803" t="e">
        <f>NA()</f>
        <v>#N/A</v>
      </c>
      <c r="K803" t="e">
        <f>NA()</f>
        <v>#N/A</v>
      </c>
      <c r="L803" t="e">
        <f>NA()</f>
        <v>#N/A</v>
      </c>
      <c r="M803" t="e">
        <f>NA()</f>
        <v>#N/A</v>
      </c>
      <c r="N803" t="e">
        <f>NA()</f>
        <v>#N/A</v>
      </c>
      <c r="O803">
        <f t="shared" si="29"/>
        <v>3.1</v>
      </c>
    </row>
    <row r="804" spans="1:15" x14ac:dyDescent="0.25">
      <c r="A804" s="1">
        <v>44825</v>
      </c>
      <c r="B804" t="e">
        <f>NA()</f>
        <v>#N/A</v>
      </c>
      <c r="C804" t="e">
        <f>NA()</f>
        <v>#N/A</v>
      </c>
      <c r="D804" t="e">
        <f>NA()</f>
        <v>#N/A</v>
      </c>
      <c r="E804" t="e">
        <f>NA()</f>
        <v>#N/A</v>
      </c>
      <c r="F804" t="e">
        <f>NA()</f>
        <v>#N/A</v>
      </c>
      <c r="G804" t="e">
        <f>NA()</f>
        <v>#N/A</v>
      </c>
      <c r="H804" t="e">
        <f>NA()</f>
        <v>#N/A</v>
      </c>
      <c r="I804" t="e">
        <f>NA()</f>
        <v>#N/A</v>
      </c>
      <c r="J804" t="e">
        <f>NA()</f>
        <v>#N/A</v>
      </c>
      <c r="K804" t="e">
        <f>NA()</f>
        <v>#N/A</v>
      </c>
      <c r="L804" t="e">
        <f>NA()</f>
        <v>#N/A</v>
      </c>
      <c r="M804" t="e">
        <f>NA()</f>
        <v>#N/A</v>
      </c>
      <c r="N804" t="e">
        <f>NA()</f>
        <v>#N/A</v>
      </c>
      <c r="O804">
        <f t="shared" ref="O804:O840" si="30">2.3</f>
        <v>2.2999999999999998</v>
      </c>
    </row>
    <row r="805" spans="1:15" x14ac:dyDescent="0.25">
      <c r="A805" s="1">
        <v>44824</v>
      </c>
      <c r="B805" t="e">
        <f>NA()</f>
        <v>#N/A</v>
      </c>
      <c r="C805" t="e">
        <f>NA()</f>
        <v>#N/A</v>
      </c>
      <c r="D805" t="e">
        <f>NA()</f>
        <v>#N/A</v>
      </c>
      <c r="E805" t="e">
        <f>NA()</f>
        <v>#N/A</v>
      </c>
      <c r="F805" t="e">
        <f>NA()</f>
        <v>#N/A</v>
      </c>
      <c r="G805" t="e">
        <f>NA()</f>
        <v>#N/A</v>
      </c>
      <c r="H805" t="e">
        <f>NA()</f>
        <v>#N/A</v>
      </c>
      <c r="I805" t="e">
        <f>NA()</f>
        <v>#N/A</v>
      </c>
      <c r="J805" t="e">
        <f>NA()</f>
        <v>#N/A</v>
      </c>
      <c r="K805" t="e">
        <f>NA()</f>
        <v>#N/A</v>
      </c>
      <c r="L805" t="e">
        <f>NA()</f>
        <v>#N/A</v>
      </c>
      <c r="M805" t="e">
        <f>NA()</f>
        <v>#N/A</v>
      </c>
      <c r="N805" t="e">
        <f>NA()</f>
        <v>#N/A</v>
      </c>
      <c r="O805">
        <f t="shared" si="30"/>
        <v>2.2999999999999998</v>
      </c>
    </row>
    <row r="806" spans="1:15" x14ac:dyDescent="0.25">
      <c r="A806" s="1">
        <v>44823</v>
      </c>
      <c r="B806" t="e">
        <f>NA()</f>
        <v>#N/A</v>
      </c>
      <c r="C806" t="e">
        <f>NA()</f>
        <v>#N/A</v>
      </c>
      <c r="D806" t="e">
        <f>NA()</f>
        <v>#N/A</v>
      </c>
      <c r="E806" t="e">
        <f>NA()</f>
        <v>#N/A</v>
      </c>
      <c r="F806" t="e">
        <f>NA()</f>
        <v>#N/A</v>
      </c>
      <c r="G806" t="e">
        <f>NA()</f>
        <v>#N/A</v>
      </c>
      <c r="H806" t="e">
        <f>NA()</f>
        <v>#N/A</v>
      </c>
      <c r="I806" t="e">
        <f>NA()</f>
        <v>#N/A</v>
      </c>
      <c r="J806" t="e">
        <f>NA()</f>
        <v>#N/A</v>
      </c>
      <c r="K806" t="e">
        <f>NA()</f>
        <v>#N/A</v>
      </c>
      <c r="L806" t="e">
        <f>NA()</f>
        <v>#N/A</v>
      </c>
      <c r="M806" t="e">
        <f>NA()</f>
        <v>#N/A</v>
      </c>
      <c r="N806" t="e">
        <f>NA()</f>
        <v>#N/A</v>
      </c>
      <c r="O806">
        <f t="shared" si="30"/>
        <v>2.2999999999999998</v>
      </c>
    </row>
    <row r="807" spans="1:15" x14ac:dyDescent="0.25">
      <c r="A807" s="1">
        <v>44820</v>
      </c>
      <c r="B807">
        <f>-0.4</f>
        <v>-0.4</v>
      </c>
      <c r="C807">
        <f>0</f>
        <v>0</v>
      </c>
      <c r="D807" t="e">
        <f>NA()</f>
        <v>#N/A</v>
      </c>
      <c r="E807" t="e">
        <f>NA()</f>
        <v>#N/A</v>
      </c>
      <c r="F807" t="e">
        <f>NA()</f>
        <v>#N/A</v>
      </c>
      <c r="G807" t="e">
        <f>NA()</f>
        <v>#N/A</v>
      </c>
      <c r="H807" t="e">
        <f>NA()</f>
        <v>#N/A</v>
      </c>
      <c r="I807" t="e">
        <f>NA()</f>
        <v>#N/A</v>
      </c>
      <c r="J807" t="e">
        <f>NA()</f>
        <v>#N/A</v>
      </c>
      <c r="K807" t="e">
        <f>NA()</f>
        <v>#N/A</v>
      </c>
      <c r="L807" t="e">
        <f>NA()</f>
        <v>#N/A</v>
      </c>
      <c r="M807" t="e">
        <f>NA()</f>
        <v>#N/A</v>
      </c>
      <c r="N807" t="e">
        <f>NA()</f>
        <v>#N/A</v>
      </c>
      <c r="O807">
        <f t="shared" si="30"/>
        <v>2.2999999999999998</v>
      </c>
    </row>
    <row r="808" spans="1:15" x14ac:dyDescent="0.25">
      <c r="A808" s="1">
        <v>44819</v>
      </c>
      <c r="B808" t="e">
        <f>NA()</f>
        <v>#N/A</v>
      </c>
      <c r="C808" t="e">
        <f>NA()</f>
        <v>#N/A</v>
      </c>
      <c r="D808" t="e">
        <f>NA()</f>
        <v>#N/A</v>
      </c>
      <c r="E808" t="e">
        <f>NA()</f>
        <v>#N/A</v>
      </c>
      <c r="F808" t="e">
        <f>NA()</f>
        <v>#N/A</v>
      </c>
      <c r="G808" t="e">
        <f>NA()</f>
        <v>#N/A</v>
      </c>
      <c r="H808" t="e">
        <f>NA()</f>
        <v>#N/A</v>
      </c>
      <c r="I808" t="e">
        <f>NA()</f>
        <v>#N/A</v>
      </c>
      <c r="J808" t="e">
        <f>NA()</f>
        <v>#N/A</v>
      </c>
      <c r="K808" t="e">
        <f>NA()</f>
        <v>#N/A</v>
      </c>
      <c r="L808" t="e">
        <f>NA()</f>
        <v>#N/A</v>
      </c>
      <c r="M808" t="e">
        <f>NA()</f>
        <v>#N/A</v>
      </c>
      <c r="N808" t="e">
        <f>NA()</f>
        <v>#N/A</v>
      </c>
      <c r="O808">
        <f t="shared" si="30"/>
        <v>2.2999999999999998</v>
      </c>
    </row>
    <row r="809" spans="1:15" x14ac:dyDescent="0.25">
      <c r="A809" s="1">
        <v>44818</v>
      </c>
      <c r="B809" t="e">
        <f>NA()</f>
        <v>#N/A</v>
      </c>
      <c r="C809" t="e">
        <f>NA()</f>
        <v>#N/A</v>
      </c>
      <c r="D809" t="e">
        <f>NA()</f>
        <v>#N/A</v>
      </c>
      <c r="E809" t="e">
        <f>NA()</f>
        <v>#N/A</v>
      </c>
      <c r="F809" t="e">
        <f>NA()</f>
        <v>#N/A</v>
      </c>
      <c r="G809" t="e">
        <f>NA()</f>
        <v>#N/A</v>
      </c>
      <c r="H809" t="e">
        <f>NA()</f>
        <v>#N/A</v>
      </c>
      <c r="I809" t="e">
        <f>NA()</f>
        <v>#N/A</v>
      </c>
      <c r="J809" t="e">
        <f>NA()</f>
        <v>#N/A</v>
      </c>
      <c r="K809" t="e">
        <f>NA()</f>
        <v>#N/A</v>
      </c>
      <c r="L809" t="e">
        <f>NA()</f>
        <v>#N/A</v>
      </c>
      <c r="M809" t="e">
        <f>NA()</f>
        <v>#N/A</v>
      </c>
      <c r="N809" t="e">
        <f>NA()</f>
        <v>#N/A</v>
      </c>
      <c r="O809">
        <f t="shared" si="30"/>
        <v>2.2999999999999998</v>
      </c>
    </row>
    <row r="810" spans="1:15" x14ac:dyDescent="0.25">
      <c r="A810" s="1">
        <v>44817</v>
      </c>
      <c r="B810" t="e">
        <f>NA()</f>
        <v>#N/A</v>
      </c>
      <c r="C810" t="e">
        <f>NA()</f>
        <v>#N/A</v>
      </c>
      <c r="D810" t="e">
        <f>NA()</f>
        <v>#N/A</v>
      </c>
      <c r="E810" t="e">
        <f>NA()</f>
        <v>#N/A</v>
      </c>
      <c r="F810" t="e">
        <f>NA()</f>
        <v>#N/A</v>
      </c>
      <c r="G810" t="e">
        <f>NA()</f>
        <v>#N/A</v>
      </c>
      <c r="H810" t="e">
        <f>NA()</f>
        <v>#N/A</v>
      </c>
      <c r="I810" t="e">
        <f>NA()</f>
        <v>#N/A</v>
      </c>
      <c r="J810" t="e">
        <f>NA()</f>
        <v>#N/A</v>
      </c>
      <c r="K810" t="e">
        <f>NA()</f>
        <v>#N/A</v>
      </c>
      <c r="L810" t="e">
        <f>NA()</f>
        <v>#N/A</v>
      </c>
      <c r="M810" t="e">
        <f>NA()</f>
        <v>#N/A</v>
      </c>
      <c r="N810" t="e">
        <f>NA()</f>
        <v>#N/A</v>
      </c>
      <c r="O810">
        <f t="shared" si="30"/>
        <v>2.2999999999999998</v>
      </c>
    </row>
    <row r="811" spans="1:15" x14ac:dyDescent="0.25">
      <c r="A811" s="1">
        <v>44816</v>
      </c>
      <c r="B811" t="e">
        <f>NA()</f>
        <v>#N/A</v>
      </c>
      <c r="C811" t="e">
        <f>NA()</f>
        <v>#N/A</v>
      </c>
      <c r="D811" t="e">
        <f>NA()</f>
        <v>#N/A</v>
      </c>
      <c r="E811" t="e">
        <f>NA()</f>
        <v>#N/A</v>
      </c>
      <c r="F811" t="e">
        <f>NA()</f>
        <v>#N/A</v>
      </c>
      <c r="G811" t="e">
        <f>NA()</f>
        <v>#N/A</v>
      </c>
      <c r="H811" t="e">
        <f>NA()</f>
        <v>#N/A</v>
      </c>
      <c r="I811" t="e">
        <f>NA()</f>
        <v>#N/A</v>
      </c>
      <c r="J811" t="e">
        <f>NA()</f>
        <v>#N/A</v>
      </c>
      <c r="K811" t="e">
        <f>NA()</f>
        <v>#N/A</v>
      </c>
      <c r="L811" t="e">
        <f>NA()</f>
        <v>#N/A</v>
      </c>
      <c r="M811" t="e">
        <f>NA()</f>
        <v>#N/A</v>
      </c>
      <c r="N811" t="e">
        <f>NA()</f>
        <v>#N/A</v>
      </c>
      <c r="O811">
        <f t="shared" si="30"/>
        <v>2.2999999999999998</v>
      </c>
    </row>
    <row r="812" spans="1:15" x14ac:dyDescent="0.25">
      <c r="A812" s="1">
        <v>44813</v>
      </c>
      <c r="B812">
        <f>-0.3</f>
        <v>-0.3</v>
      </c>
      <c r="C812">
        <f>0</f>
        <v>0</v>
      </c>
      <c r="D812" t="e">
        <f>NA()</f>
        <v>#N/A</v>
      </c>
      <c r="E812" t="e">
        <f>NA()</f>
        <v>#N/A</v>
      </c>
      <c r="F812" t="e">
        <f>NA()</f>
        <v>#N/A</v>
      </c>
      <c r="G812" t="e">
        <f>NA()</f>
        <v>#N/A</v>
      </c>
      <c r="H812" t="e">
        <f>NA()</f>
        <v>#N/A</v>
      </c>
      <c r="I812" t="e">
        <f>NA()</f>
        <v>#N/A</v>
      </c>
      <c r="J812" t="e">
        <f>NA()</f>
        <v>#N/A</v>
      </c>
      <c r="K812" t="e">
        <f>NA()</f>
        <v>#N/A</v>
      </c>
      <c r="L812" t="e">
        <f>NA()</f>
        <v>#N/A</v>
      </c>
      <c r="M812" t="e">
        <f>NA()</f>
        <v>#N/A</v>
      </c>
      <c r="N812" t="e">
        <f>NA()</f>
        <v>#N/A</v>
      </c>
      <c r="O812">
        <f t="shared" si="30"/>
        <v>2.2999999999999998</v>
      </c>
    </row>
    <row r="813" spans="1:15" x14ac:dyDescent="0.25">
      <c r="A813" s="1">
        <v>44812</v>
      </c>
      <c r="B813" t="e">
        <f>NA()</f>
        <v>#N/A</v>
      </c>
      <c r="C813" t="e">
        <f>NA()</f>
        <v>#N/A</v>
      </c>
      <c r="D813" t="e">
        <f>NA()</f>
        <v>#N/A</v>
      </c>
      <c r="E813" t="e">
        <f>NA()</f>
        <v>#N/A</v>
      </c>
      <c r="F813" t="e">
        <f>NA()</f>
        <v>#N/A</v>
      </c>
      <c r="G813" t="e">
        <f>NA()</f>
        <v>#N/A</v>
      </c>
      <c r="H813" t="e">
        <f>NA()</f>
        <v>#N/A</v>
      </c>
      <c r="I813" t="e">
        <f>NA()</f>
        <v>#N/A</v>
      </c>
      <c r="J813" t="e">
        <f>NA()</f>
        <v>#N/A</v>
      </c>
      <c r="K813" t="e">
        <f>NA()</f>
        <v>#N/A</v>
      </c>
      <c r="L813" t="e">
        <f>NA()</f>
        <v>#N/A</v>
      </c>
      <c r="M813" t="e">
        <f>NA()</f>
        <v>#N/A</v>
      </c>
      <c r="N813" t="e">
        <f>NA()</f>
        <v>#N/A</v>
      </c>
      <c r="O813">
        <f t="shared" si="30"/>
        <v>2.2999999999999998</v>
      </c>
    </row>
    <row r="814" spans="1:15" x14ac:dyDescent="0.25">
      <c r="A814" s="1">
        <v>44811</v>
      </c>
      <c r="B814" t="e">
        <f>NA()</f>
        <v>#N/A</v>
      </c>
      <c r="C814" t="e">
        <f>NA()</f>
        <v>#N/A</v>
      </c>
      <c r="D814" t="e">
        <f>NA()</f>
        <v>#N/A</v>
      </c>
      <c r="E814" t="e">
        <f>NA()</f>
        <v>#N/A</v>
      </c>
      <c r="F814" t="e">
        <f>NA()</f>
        <v>#N/A</v>
      </c>
      <c r="G814" t="e">
        <f>NA()</f>
        <v>#N/A</v>
      </c>
      <c r="H814" t="e">
        <f>NA()</f>
        <v>#N/A</v>
      </c>
      <c r="I814" t="e">
        <f>NA()</f>
        <v>#N/A</v>
      </c>
      <c r="J814" t="e">
        <f>NA()</f>
        <v>#N/A</v>
      </c>
      <c r="K814" t="e">
        <f>NA()</f>
        <v>#N/A</v>
      </c>
      <c r="L814" t="e">
        <f>NA()</f>
        <v>#N/A</v>
      </c>
      <c r="M814" t="e">
        <f>NA()</f>
        <v>#N/A</v>
      </c>
      <c r="N814" t="e">
        <f>NA()</f>
        <v>#N/A</v>
      </c>
      <c r="O814">
        <f t="shared" si="30"/>
        <v>2.2999999999999998</v>
      </c>
    </row>
    <row r="815" spans="1:15" x14ac:dyDescent="0.25">
      <c r="A815" s="1">
        <v>44810</v>
      </c>
      <c r="B815" t="e">
        <f>NA()</f>
        <v>#N/A</v>
      </c>
      <c r="C815" t="e">
        <f>NA()</f>
        <v>#N/A</v>
      </c>
      <c r="D815" t="e">
        <f>NA()</f>
        <v>#N/A</v>
      </c>
      <c r="E815" t="e">
        <f>NA()</f>
        <v>#N/A</v>
      </c>
      <c r="F815" t="e">
        <f>NA()</f>
        <v>#N/A</v>
      </c>
      <c r="G815" t="e">
        <f>NA()</f>
        <v>#N/A</v>
      </c>
      <c r="H815" t="e">
        <f>NA()</f>
        <v>#N/A</v>
      </c>
      <c r="I815" t="e">
        <f>NA()</f>
        <v>#N/A</v>
      </c>
      <c r="J815" t="e">
        <f>NA()</f>
        <v>#N/A</v>
      </c>
      <c r="K815" t="e">
        <f>NA()</f>
        <v>#N/A</v>
      </c>
      <c r="L815" t="e">
        <f>NA()</f>
        <v>#N/A</v>
      </c>
      <c r="M815" t="e">
        <f>NA()</f>
        <v>#N/A</v>
      </c>
      <c r="N815" t="e">
        <f>NA()</f>
        <v>#N/A</v>
      </c>
      <c r="O815">
        <f t="shared" si="30"/>
        <v>2.2999999999999998</v>
      </c>
    </row>
    <row r="816" spans="1:15" x14ac:dyDescent="0.25">
      <c r="A816" s="1">
        <v>44806</v>
      </c>
      <c r="B816">
        <f>-0.1</f>
        <v>-0.1</v>
      </c>
      <c r="C816">
        <f>0</f>
        <v>0</v>
      </c>
      <c r="D816" t="e">
        <f>NA()</f>
        <v>#N/A</v>
      </c>
      <c r="E816" t="e">
        <f>NA()</f>
        <v>#N/A</v>
      </c>
      <c r="F816" t="e">
        <f>NA()</f>
        <v>#N/A</v>
      </c>
      <c r="G816" t="e">
        <f>NA()</f>
        <v>#N/A</v>
      </c>
      <c r="H816" t="e">
        <f>NA()</f>
        <v>#N/A</v>
      </c>
      <c r="I816" t="e">
        <f>NA()</f>
        <v>#N/A</v>
      </c>
      <c r="J816" t="e">
        <f>NA()</f>
        <v>#N/A</v>
      </c>
      <c r="K816" t="e">
        <f>NA()</f>
        <v>#N/A</v>
      </c>
      <c r="L816" t="e">
        <f>NA()</f>
        <v>#N/A</v>
      </c>
      <c r="M816" t="e">
        <f>NA()</f>
        <v>#N/A</v>
      </c>
      <c r="N816" t="e">
        <f>NA()</f>
        <v>#N/A</v>
      </c>
      <c r="O816">
        <f t="shared" si="30"/>
        <v>2.2999999999999998</v>
      </c>
    </row>
    <row r="817" spans="1:15" x14ac:dyDescent="0.25">
      <c r="A817" s="1">
        <v>44805</v>
      </c>
      <c r="B817" t="e">
        <f>NA()</f>
        <v>#N/A</v>
      </c>
      <c r="C817" t="e">
        <f>NA()</f>
        <v>#N/A</v>
      </c>
      <c r="D817" t="e">
        <f>NA()</f>
        <v>#N/A</v>
      </c>
      <c r="E817" t="e">
        <f>NA()</f>
        <v>#N/A</v>
      </c>
      <c r="F817" t="e">
        <f>NA()</f>
        <v>#N/A</v>
      </c>
      <c r="G817" t="e">
        <f>NA()</f>
        <v>#N/A</v>
      </c>
      <c r="H817" t="e">
        <f>NA()</f>
        <v>#N/A</v>
      </c>
      <c r="I817" t="e">
        <f>NA()</f>
        <v>#N/A</v>
      </c>
      <c r="J817" t="e">
        <f>NA()</f>
        <v>#N/A</v>
      </c>
      <c r="K817" t="e">
        <f>NA()</f>
        <v>#N/A</v>
      </c>
      <c r="L817" t="e">
        <f>NA()</f>
        <v>#N/A</v>
      </c>
      <c r="M817" t="e">
        <f>NA()</f>
        <v>#N/A</v>
      </c>
      <c r="N817" t="e">
        <f>NA()</f>
        <v>#N/A</v>
      </c>
      <c r="O817">
        <f t="shared" si="30"/>
        <v>2.2999999999999998</v>
      </c>
    </row>
    <row r="818" spans="1:15" x14ac:dyDescent="0.25">
      <c r="A818" s="1">
        <v>44804</v>
      </c>
      <c r="B818" t="e">
        <f>NA()</f>
        <v>#N/A</v>
      </c>
      <c r="C818" t="e">
        <f>NA()</f>
        <v>#N/A</v>
      </c>
      <c r="D818">
        <f>0.3</f>
        <v>0.3</v>
      </c>
      <c r="E818">
        <f>-2.7</f>
        <v>-2.7</v>
      </c>
      <c r="F818">
        <f>10148</f>
        <v>10148</v>
      </c>
      <c r="G818">
        <f>62.3</f>
        <v>62.3</v>
      </c>
      <c r="H818">
        <f>9.2</f>
        <v>9.1999999999999993</v>
      </c>
      <c r="I818">
        <f>296.2</f>
        <v>296.2</v>
      </c>
      <c r="J818">
        <f>8.3</f>
        <v>8.3000000000000007</v>
      </c>
      <c r="K818">
        <f>53</f>
        <v>53</v>
      </c>
      <c r="L818">
        <f>0.1</f>
        <v>0.1</v>
      </c>
      <c r="M818" t="e">
        <f>NA()</f>
        <v>#N/A</v>
      </c>
      <c r="N818">
        <f>3.6</f>
        <v>3.6</v>
      </c>
      <c r="O818">
        <f t="shared" si="30"/>
        <v>2.2999999999999998</v>
      </c>
    </row>
    <row r="819" spans="1:15" x14ac:dyDescent="0.25">
      <c r="A819" s="1">
        <v>44803</v>
      </c>
      <c r="B819" t="e">
        <f>NA()</f>
        <v>#N/A</v>
      </c>
      <c r="C819" t="e">
        <f>NA()</f>
        <v>#N/A</v>
      </c>
      <c r="D819" t="e">
        <f>NA()</f>
        <v>#N/A</v>
      </c>
      <c r="E819" t="e">
        <f>NA()</f>
        <v>#N/A</v>
      </c>
      <c r="F819" t="e">
        <f>NA()</f>
        <v>#N/A</v>
      </c>
      <c r="G819" t="e">
        <f>NA()</f>
        <v>#N/A</v>
      </c>
      <c r="H819" t="e">
        <f>NA()</f>
        <v>#N/A</v>
      </c>
      <c r="I819" t="e">
        <f>NA()</f>
        <v>#N/A</v>
      </c>
      <c r="J819" t="e">
        <f>NA()</f>
        <v>#N/A</v>
      </c>
      <c r="K819" t="e">
        <f>NA()</f>
        <v>#N/A</v>
      </c>
      <c r="L819" t="e">
        <f>NA()</f>
        <v>#N/A</v>
      </c>
      <c r="M819" t="e">
        <f>NA()</f>
        <v>#N/A</v>
      </c>
      <c r="N819" t="e">
        <f>NA()</f>
        <v>#N/A</v>
      </c>
      <c r="O819">
        <f t="shared" si="30"/>
        <v>2.2999999999999998</v>
      </c>
    </row>
    <row r="820" spans="1:15" x14ac:dyDescent="0.25">
      <c r="A820" s="1">
        <v>44802</v>
      </c>
      <c r="B820" t="e">
        <f>NA()</f>
        <v>#N/A</v>
      </c>
      <c r="C820" t="e">
        <f>NA()</f>
        <v>#N/A</v>
      </c>
      <c r="D820" t="e">
        <f>NA()</f>
        <v>#N/A</v>
      </c>
      <c r="E820" t="e">
        <f>NA()</f>
        <v>#N/A</v>
      </c>
      <c r="F820" t="e">
        <f>NA()</f>
        <v>#N/A</v>
      </c>
      <c r="G820" t="e">
        <f>NA()</f>
        <v>#N/A</v>
      </c>
      <c r="H820" t="e">
        <f>NA()</f>
        <v>#N/A</v>
      </c>
      <c r="I820" t="e">
        <f>NA()</f>
        <v>#N/A</v>
      </c>
      <c r="J820" t="e">
        <f>NA()</f>
        <v>#N/A</v>
      </c>
      <c r="K820" t="e">
        <f>NA()</f>
        <v>#N/A</v>
      </c>
      <c r="L820" t="e">
        <f>NA()</f>
        <v>#N/A</v>
      </c>
      <c r="M820" t="e">
        <f>NA()</f>
        <v>#N/A</v>
      </c>
      <c r="N820" t="e">
        <f>NA()</f>
        <v>#N/A</v>
      </c>
      <c r="O820">
        <f t="shared" si="30"/>
        <v>2.2999999999999998</v>
      </c>
    </row>
    <row r="821" spans="1:15" x14ac:dyDescent="0.25">
      <c r="A821" s="1">
        <v>44799</v>
      </c>
      <c r="B821">
        <f>-0.2</f>
        <v>-0.2</v>
      </c>
      <c r="C821">
        <f>0</f>
        <v>0</v>
      </c>
      <c r="D821" t="e">
        <f>NA()</f>
        <v>#N/A</v>
      </c>
      <c r="E821" t="e">
        <f>NA()</f>
        <v>#N/A</v>
      </c>
      <c r="F821" t="e">
        <f>NA()</f>
        <v>#N/A</v>
      </c>
      <c r="G821" t="e">
        <f>NA()</f>
        <v>#N/A</v>
      </c>
      <c r="H821" t="e">
        <f>NA()</f>
        <v>#N/A</v>
      </c>
      <c r="I821" t="e">
        <f>NA()</f>
        <v>#N/A</v>
      </c>
      <c r="J821" t="e">
        <f>NA()</f>
        <v>#N/A</v>
      </c>
      <c r="K821" t="e">
        <f>NA()</f>
        <v>#N/A</v>
      </c>
      <c r="L821" t="e">
        <f>NA()</f>
        <v>#N/A</v>
      </c>
      <c r="M821" t="e">
        <f>NA()</f>
        <v>#N/A</v>
      </c>
      <c r="N821" t="e">
        <f>NA()</f>
        <v>#N/A</v>
      </c>
      <c r="O821">
        <f t="shared" si="30"/>
        <v>2.2999999999999998</v>
      </c>
    </row>
    <row r="822" spans="1:15" x14ac:dyDescent="0.25">
      <c r="A822" s="1">
        <v>44798</v>
      </c>
      <c r="B822" t="e">
        <f>NA()</f>
        <v>#N/A</v>
      </c>
      <c r="C822" t="e">
        <f>NA()</f>
        <v>#N/A</v>
      </c>
      <c r="D822" t="e">
        <f>NA()</f>
        <v>#N/A</v>
      </c>
      <c r="E822" t="e">
        <f>NA()</f>
        <v>#N/A</v>
      </c>
      <c r="F822" t="e">
        <f>NA()</f>
        <v>#N/A</v>
      </c>
      <c r="G822" t="e">
        <f>NA()</f>
        <v>#N/A</v>
      </c>
      <c r="H822" t="e">
        <f>NA()</f>
        <v>#N/A</v>
      </c>
      <c r="I822" t="e">
        <f>NA()</f>
        <v>#N/A</v>
      </c>
      <c r="J822" t="e">
        <f>NA()</f>
        <v>#N/A</v>
      </c>
      <c r="K822" t="e">
        <f>NA()</f>
        <v>#N/A</v>
      </c>
      <c r="L822" t="e">
        <f>NA()</f>
        <v>#N/A</v>
      </c>
      <c r="M822" t="e">
        <f>NA()</f>
        <v>#N/A</v>
      </c>
      <c r="N822" t="e">
        <f>NA()</f>
        <v>#N/A</v>
      </c>
      <c r="O822">
        <f t="shared" si="30"/>
        <v>2.2999999999999998</v>
      </c>
    </row>
    <row r="823" spans="1:15" x14ac:dyDescent="0.25">
      <c r="A823" s="1">
        <v>44797</v>
      </c>
      <c r="B823" t="e">
        <f>NA()</f>
        <v>#N/A</v>
      </c>
      <c r="C823" t="e">
        <f>NA()</f>
        <v>#N/A</v>
      </c>
      <c r="D823" t="e">
        <f>NA()</f>
        <v>#N/A</v>
      </c>
      <c r="E823" t="e">
        <f>NA()</f>
        <v>#N/A</v>
      </c>
      <c r="F823" t="e">
        <f>NA()</f>
        <v>#N/A</v>
      </c>
      <c r="G823" t="e">
        <f>NA()</f>
        <v>#N/A</v>
      </c>
      <c r="H823" t="e">
        <f>NA()</f>
        <v>#N/A</v>
      </c>
      <c r="I823" t="e">
        <f>NA()</f>
        <v>#N/A</v>
      </c>
      <c r="J823" t="e">
        <f>NA()</f>
        <v>#N/A</v>
      </c>
      <c r="K823" t="e">
        <f>NA()</f>
        <v>#N/A</v>
      </c>
      <c r="L823" t="e">
        <f>NA()</f>
        <v>#N/A</v>
      </c>
      <c r="M823" t="e">
        <f>NA()</f>
        <v>#N/A</v>
      </c>
      <c r="N823" t="e">
        <f>NA()</f>
        <v>#N/A</v>
      </c>
      <c r="O823">
        <f t="shared" si="30"/>
        <v>2.2999999999999998</v>
      </c>
    </row>
    <row r="824" spans="1:15" x14ac:dyDescent="0.25">
      <c r="A824" s="1">
        <v>44796</v>
      </c>
      <c r="B824" t="e">
        <f>NA()</f>
        <v>#N/A</v>
      </c>
      <c r="C824" t="e">
        <f>NA()</f>
        <v>#N/A</v>
      </c>
      <c r="D824" t="e">
        <f>NA()</f>
        <v>#N/A</v>
      </c>
      <c r="E824" t="e">
        <f>NA()</f>
        <v>#N/A</v>
      </c>
      <c r="F824" t="e">
        <f>NA()</f>
        <v>#N/A</v>
      </c>
      <c r="G824" t="e">
        <f>NA()</f>
        <v>#N/A</v>
      </c>
      <c r="H824" t="e">
        <f>NA()</f>
        <v>#N/A</v>
      </c>
      <c r="I824" t="e">
        <f>NA()</f>
        <v>#N/A</v>
      </c>
      <c r="J824" t="e">
        <f>NA()</f>
        <v>#N/A</v>
      </c>
      <c r="K824" t="e">
        <f>NA()</f>
        <v>#N/A</v>
      </c>
      <c r="L824" t="e">
        <f>NA()</f>
        <v>#N/A</v>
      </c>
      <c r="M824" t="e">
        <f>NA()</f>
        <v>#N/A</v>
      </c>
      <c r="N824" t="e">
        <f>NA()</f>
        <v>#N/A</v>
      </c>
      <c r="O824">
        <f t="shared" si="30"/>
        <v>2.2999999999999998</v>
      </c>
    </row>
    <row r="825" spans="1:15" x14ac:dyDescent="0.25">
      <c r="A825" s="1">
        <v>44795</v>
      </c>
      <c r="B825" t="e">
        <f>NA()</f>
        <v>#N/A</v>
      </c>
      <c r="C825" t="e">
        <f>NA()</f>
        <v>#N/A</v>
      </c>
      <c r="D825" t="e">
        <f>NA()</f>
        <v>#N/A</v>
      </c>
      <c r="E825" t="e">
        <f>NA()</f>
        <v>#N/A</v>
      </c>
      <c r="F825" t="e">
        <f>NA()</f>
        <v>#N/A</v>
      </c>
      <c r="G825" t="e">
        <f>NA()</f>
        <v>#N/A</v>
      </c>
      <c r="H825" t="e">
        <f>NA()</f>
        <v>#N/A</v>
      </c>
      <c r="I825" t="e">
        <f>NA()</f>
        <v>#N/A</v>
      </c>
      <c r="J825" t="e">
        <f>NA()</f>
        <v>#N/A</v>
      </c>
      <c r="K825" t="e">
        <f>NA()</f>
        <v>#N/A</v>
      </c>
      <c r="L825" t="e">
        <f>NA()</f>
        <v>#N/A</v>
      </c>
      <c r="M825" t="e">
        <f>NA()</f>
        <v>#N/A</v>
      </c>
      <c r="N825" t="e">
        <f>NA()</f>
        <v>#N/A</v>
      </c>
      <c r="O825">
        <f t="shared" si="30"/>
        <v>2.2999999999999998</v>
      </c>
    </row>
    <row r="826" spans="1:15" x14ac:dyDescent="0.25">
      <c r="A826" s="1">
        <v>44792</v>
      </c>
      <c r="B826">
        <f>-0.4</f>
        <v>-0.4</v>
      </c>
      <c r="C826">
        <f>0</f>
        <v>0</v>
      </c>
      <c r="D826" t="e">
        <f>NA()</f>
        <v>#N/A</v>
      </c>
      <c r="E826" t="e">
        <f>NA()</f>
        <v>#N/A</v>
      </c>
      <c r="F826" t="e">
        <f>NA()</f>
        <v>#N/A</v>
      </c>
      <c r="G826" t="e">
        <f>NA()</f>
        <v>#N/A</v>
      </c>
      <c r="H826" t="e">
        <f>NA()</f>
        <v>#N/A</v>
      </c>
      <c r="I826" t="e">
        <f>NA()</f>
        <v>#N/A</v>
      </c>
      <c r="J826" t="e">
        <f>NA()</f>
        <v>#N/A</v>
      </c>
      <c r="K826" t="e">
        <f>NA()</f>
        <v>#N/A</v>
      </c>
      <c r="L826" t="e">
        <f>NA()</f>
        <v>#N/A</v>
      </c>
      <c r="M826" t="e">
        <f>NA()</f>
        <v>#N/A</v>
      </c>
      <c r="N826" t="e">
        <f>NA()</f>
        <v>#N/A</v>
      </c>
      <c r="O826">
        <f t="shared" si="30"/>
        <v>2.2999999999999998</v>
      </c>
    </row>
    <row r="827" spans="1:15" x14ac:dyDescent="0.25">
      <c r="A827" s="1">
        <v>44791</v>
      </c>
      <c r="B827" t="e">
        <f>NA()</f>
        <v>#N/A</v>
      </c>
      <c r="C827" t="e">
        <f>NA()</f>
        <v>#N/A</v>
      </c>
      <c r="D827" t="e">
        <f>NA()</f>
        <v>#N/A</v>
      </c>
      <c r="E827" t="e">
        <f>NA()</f>
        <v>#N/A</v>
      </c>
      <c r="F827" t="e">
        <f>NA()</f>
        <v>#N/A</v>
      </c>
      <c r="G827" t="e">
        <f>NA()</f>
        <v>#N/A</v>
      </c>
      <c r="H827" t="e">
        <f>NA()</f>
        <v>#N/A</v>
      </c>
      <c r="I827" t="e">
        <f>NA()</f>
        <v>#N/A</v>
      </c>
      <c r="J827" t="e">
        <f>NA()</f>
        <v>#N/A</v>
      </c>
      <c r="K827" t="e">
        <f>NA()</f>
        <v>#N/A</v>
      </c>
      <c r="L827" t="e">
        <f>NA()</f>
        <v>#N/A</v>
      </c>
      <c r="M827" t="e">
        <f>NA()</f>
        <v>#N/A</v>
      </c>
      <c r="N827" t="e">
        <f>NA()</f>
        <v>#N/A</v>
      </c>
      <c r="O827">
        <f t="shared" si="30"/>
        <v>2.2999999999999998</v>
      </c>
    </row>
    <row r="828" spans="1:15" x14ac:dyDescent="0.25">
      <c r="A828" s="1">
        <v>44790</v>
      </c>
      <c r="B828" t="e">
        <f>NA()</f>
        <v>#N/A</v>
      </c>
      <c r="C828" t="e">
        <f>NA()</f>
        <v>#N/A</v>
      </c>
      <c r="D828" t="e">
        <f>NA()</f>
        <v>#N/A</v>
      </c>
      <c r="E828" t="e">
        <f>NA()</f>
        <v>#N/A</v>
      </c>
      <c r="F828" t="e">
        <f>NA()</f>
        <v>#N/A</v>
      </c>
      <c r="G828" t="e">
        <f>NA()</f>
        <v>#N/A</v>
      </c>
      <c r="H828" t="e">
        <f>NA()</f>
        <v>#N/A</v>
      </c>
      <c r="I828" t="e">
        <f>NA()</f>
        <v>#N/A</v>
      </c>
      <c r="J828" t="e">
        <f>NA()</f>
        <v>#N/A</v>
      </c>
      <c r="K828" t="e">
        <f>NA()</f>
        <v>#N/A</v>
      </c>
      <c r="L828" t="e">
        <f>NA()</f>
        <v>#N/A</v>
      </c>
      <c r="M828" t="e">
        <f>NA()</f>
        <v>#N/A</v>
      </c>
      <c r="N828" t="e">
        <f>NA()</f>
        <v>#N/A</v>
      </c>
      <c r="O828">
        <f t="shared" si="30"/>
        <v>2.2999999999999998</v>
      </c>
    </row>
    <row r="829" spans="1:15" x14ac:dyDescent="0.25">
      <c r="A829" s="1">
        <v>44789</v>
      </c>
      <c r="B829" t="e">
        <f>NA()</f>
        <v>#N/A</v>
      </c>
      <c r="C829" t="e">
        <f>NA()</f>
        <v>#N/A</v>
      </c>
      <c r="D829" t="e">
        <f>NA()</f>
        <v>#N/A</v>
      </c>
      <c r="E829" t="e">
        <f>NA()</f>
        <v>#N/A</v>
      </c>
      <c r="F829" t="e">
        <f>NA()</f>
        <v>#N/A</v>
      </c>
      <c r="G829" t="e">
        <f>NA()</f>
        <v>#N/A</v>
      </c>
      <c r="H829" t="e">
        <f>NA()</f>
        <v>#N/A</v>
      </c>
      <c r="I829" t="e">
        <f>NA()</f>
        <v>#N/A</v>
      </c>
      <c r="J829" t="e">
        <f>NA()</f>
        <v>#N/A</v>
      </c>
      <c r="K829" t="e">
        <f>NA()</f>
        <v>#N/A</v>
      </c>
      <c r="L829" t="e">
        <f>NA()</f>
        <v>#N/A</v>
      </c>
      <c r="M829" t="e">
        <f>NA()</f>
        <v>#N/A</v>
      </c>
      <c r="N829" t="e">
        <f>NA()</f>
        <v>#N/A</v>
      </c>
      <c r="O829">
        <f t="shared" si="30"/>
        <v>2.2999999999999998</v>
      </c>
    </row>
    <row r="830" spans="1:15" x14ac:dyDescent="0.25">
      <c r="A830" s="1">
        <v>44788</v>
      </c>
      <c r="B830" t="e">
        <f>NA()</f>
        <v>#N/A</v>
      </c>
      <c r="C830" t="e">
        <f>NA()</f>
        <v>#N/A</v>
      </c>
      <c r="D830" t="e">
        <f>NA()</f>
        <v>#N/A</v>
      </c>
      <c r="E830" t="e">
        <f>NA()</f>
        <v>#N/A</v>
      </c>
      <c r="F830" t="e">
        <f>NA()</f>
        <v>#N/A</v>
      </c>
      <c r="G830" t="e">
        <f>NA()</f>
        <v>#N/A</v>
      </c>
      <c r="H830" t="e">
        <f>NA()</f>
        <v>#N/A</v>
      </c>
      <c r="I830" t="e">
        <f>NA()</f>
        <v>#N/A</v>
      </c>
      <c r="J830" t="e">
        <f>NA()</f>
        <v>#N/A</v>
      </c>
      <c r="K830" t="e">
        <f>NA()</f>
        <v>#N/A</v>
      </c>
      <c r="L830" t="e">
        <f>NA()</f>
        <v>#N/A</v>
      </c>
      <c r="M830" t="e">
        <f>NA()</f>
        <v>#N/A</v>
      </c>
      <c r="N830" t="e">
        <f>NA()</f>
        <v>#N/A</v>
      </c>
      <c r="O830">
        <f t="shared" si="30"/>
        <v>2.2999999999999998</v>
      </c>
    </row>
    <row r="831" spans="1:15" x14ac:dyDescent="0.25">
      <c r="A831" s="1">
        <v>44785</v>
      </c>
      <c r="B831">
        <f>-0.4</f>
        <v>-0.4</v>
      </c>
      <c r="C831">
        <f>0</f>
        <v>0</v>
      </c>
      <c r="D831" t="e">
        <f>NA()</f>
        <v>#N/A</v>
      </c>
      <c r="E831" t="e">
        <f>NA()</f>
        <v>#N/A</v>
      </c>
      <c r="F831" t="e">
        <f>NA()</f>
        <v>#N/A</v>
      </c>
      <c r="G831" t="e">
        <f>NA()</f>
        <v>#N/A</v>
      </c>
      <c r="H831" t="e">
        <f>NA()</f>
        <v>#N/A</v>
      </c>
      <c r="I831" t="e">
        <f>NA()</f>
        <v>#N/A</v>
      </c>
      <c r="J831" t="e">
        <f>NA()</f>
        <v>#N/A</v>
      </c>
      <c r="K831" t="e">
        <f>NA()</f>
        <v>#N/A</v>
      </c>
      <c r="L831" t="e">
        <f>NA()</f>
        <v>#N/A</v>
      </c>
      <c r="M831" t="e">
        <f>NA()</f>
        <v>#N/A</v>
      </c>
      <c r="N831" t="e">
        <f>NA()</f>
        <v>#N/A</v>
      </c>
      <c r="O831">
        <f t="shared" si="30"/>
        <v>2.2999999999999998</v>
      </c>
    </row>
    <row r="832" spans="1:15" x14ac:dyDescent="0.25">
      <c r="A832" s="1">
        <v>44784</v>
      </c>
      <c r="B832" t="e">
        <f>NA()</f>
        <v>#N/A</v>
      </c>
      <c r="C832" t="e">
        <f>NA()</f>
        <v>#N/A</v>
      </c>
      <c r="D832" t="e">
        <f>NA()</f>
        <v>#N/A</v>
      </c>
      <c r="E832" t="e">
        <f>NA()</f>
        <v>#N/A</v>
      </c>
      <c r="F832" t="e">
        <f>NA()</f>
        <v>#N/A</v>
      </c>
      <c r="G832" t="e">
        <f>NA()</f>
        <v>#N/A</v>
      </c>
      <c r="H832" t="e">
        <f>NA()</f>
        <v>#N/A</v>
      </c>
      <c r="I832" t="e">
        <f>NA()</f>
        <v>#N/A</v>
      </c>
      <c r="J832" t="e">
        <f>NA()</f>
        <v>#N/A</v>
      </c>
      <c r="K832" t="e">
        <f>NA()</f>
        <v>#N/A</v>
      </c>
      <c r="L832" t="e">
        <f>NA()</f>
        <v>#N/A</v>
      </c>
      <c r="M832" t="e">
        <f>NA()</f>
        <v>#N/A</v>
      </c>
      <c r="N832" t="e">
        <f>NA()</f>
        <v>#N/A</v>
      </c>
      <c r="O832">
        <f t="shared" si="30"/>
        <v>2.2999999999999998</v>
      </c>
    </row>
    <row r="833" spans="1:15" x14ac:dyDescent="0.25">
      <c r="A833" s="1">
        <v>44783</v>
      </c>
      <c r="B833" t="e">
        <f>NA()</f>
        <v>#N/A</v>
      </c>
      <c r="C833" t="e">
        <f>NA()</f>
        <v>#N/A</v>
      </c>
      <c r="D833" t="e">
        <f>NA()</f>
        <v>#N/A</v>
      </c>
      <c r="E833" t="e">
        <f>NA()</f>
        <v>#N/A</v>
      </c>
      <c r="F833" t="e">
        <f>NA()</f>
        <v>#N/A</v>
      </c>
      <c r="G833" t="e">
        <f>NA()</f>
        <v>#N/A</v>
      </c>
      <c r="H833" t="e">
        <f>NA()</f>
        <v>#N/A</v>
      </c>
      <c r="I833" t="e">
        <f>NA()</f>
        <v>#N/A</v>
      </c>
      <c r="J833" t="e">
        <f>NA()</f>
        <v>#N/A</v>
      </c>
      <c r="K833" t="e">
        <f>NA()</f>
        <v>#N/A</v>
      </c>
      <c r="L833" t="e">
        <f>NA()</f>
        <v>#N/A</v>
      </c>
      <c r="M833" t="e">
        <f>NA()</f>
        <v>#N/A</v>
      </c>
      <c r="N833" t="e">
        <f>NA()</f>
        <v>#N/A</v>
      </c>
      <c r="O833">
        <f t="shared" si="30"/>
        <v>2.2999999999999998</v>
      </c>
    </row>
    <row r="834" spans="1:15" x14ac:dyDescent="0.25">
      <c r="A834" s="1">
        <v>44782</v>
      </c>
      <c r="B834" t="e">
        <f>NA()</f>
        <v>#N/A</v>
      </c>
      <c r="C834" t="e">
        <f>NA()</f>
        <v>#N/A</v>
      </c>
      <c r="D834" t="e">
        <f>NA()</f>
        <v>#N/A</v>
      </c>
      <c r="E834" t="e">
        <f>NA()</f>
        <v>#N/A</v>
      </c>
      <c r="F834" t="e">
        <f>NA()</f>
        <v>#N/A</v>
      </c>
      <c r="G834" t="e">
        <f>NA()</f>
        <v>#N/A</v>
      </c>
      <c r="H834" t="e">
        <f>NA()</f>
        <v>#N/A</v>
      </c>
      <c r="I834" t="e">
        <f>NA()</f>
        <v>#N/A</v>
      </c>
      <c r="J834" t="e">
        <f>NA()</f>
        <v>#N/A</v>
      </c>
      <c r="K834" t="e">
        <f>NA()</f>
        <v>#N/A</v>
      </c>
      <c r="L834" t="e">
        <f>NA()</f>
        <v>#N/A</v>
      </c>
      <c r="M834" t="e">
        <f>NA()</f>
        <v>#N/A</v>
      </c>
      <c r="N834" t="e">
        <f>NA()</f>
        <v>#N/A</v>
      </c>
      <c r="O834">
        <f t="shared" si="30"/>
        <v>2.2999999999999998</v>
      </c>
    </row>
    <row r="835" spans="1:15" x14ac:dyDescent="0.25">
      <c r="A835" s="1">
        <v>44781</v>
      </c>
      <c r="B835" t="e">
        <f>NA()</f>
        <v>#N/A</v>
      </c>
      <c r="C835" t="e">
        <f>NA()</f>
        <v>#N/A</v>
      </c>
      <c r="D835" t="e">
        <f>NA()</f>
        <v>#N/A</v>
      </c>
      <c r="E835" t="e">
        <f>NA()</f>
        <v>#N/A</v>
      </c>
      <c r="F835" t="e">
        <f>NA()</f>
        <v>#N/A</v>
      </c>
      <c r="G835" t="e">
        <f>NA()</f>
        <v>#N/A</v>
      </c>
      <c r="H835" t="e">
        <f>NA()</f>
        <v>#N/A</v>
      </c>
      <c r="I835" t="e">
        <f>NA()</f>
        <v>#N/A</v>
      </c>
      <c r="J835" t="e">
        <f>NA()</f>
        <v>#N/A</v>
      </c>
      <c r="K835" t="e">
        <f>NA()</f>
        <v>#N/A</v>
      </c>
      <c r="L835" t="e">
        <f>NA()</f>
        <v>#N/A</v>
      </c>
      <c r="M835" t="e">
        <f>NA()</f>
        <v>#N/A</v>
      </c>
      <c r="N835" t="e">
        <f>NA()</f>
        <v>#N/A</v>
      </c>
      <c r="O835">
        <f t="shared" si="30"/>
        <v>2.2999999999999998</v>
      </c>
    </row>
    <row r="836" spans="1:15" x14ac:dyDescent="0.25">
      <c r="A836" s="1">
        <v>44778</v>
      </c>
      <c r="B836">
        <f>-0.5</f>
        <v>-0.5</v>
      </c>
      <c r="C836">
        <f>0</f>
        <v>0</v>
      </c>
      <c r="D836" t="e">
        <f>NA()</f>
        <v>#N/A</v>
      </c>
      <c r="E836" t="e">
        <f>NA()</f>
        <v>#N/A</v>
      </c>
      <c r="F836" t="e">
        <f>NA()</f>
        <v>#N/A</v>
      </c>
      <c r="G836" t="e">
        <f>NA()</f>
        <v>#N/A</v>
      </c>
      <c r="H836" t="e">
        <f>NA()</f>
        <v>#N/A</v>
      </c>
      <c r="I836" t="e">
        <f>NA()</f>
        <v>#N/A</v>
      </c>
      <c r="J836" t="e">
        <f>NA()</f>
        <v>#N/A</v>
      </c>
      <c r="K836" t="e">
        <f>NA()</f>
        <v>#N/A</v>
      </c>
      <c r="L836" t="e">
        <f>NA()</f>
        <v>#N/A</v>
      </c>
      <c r="M836" t="e">
        <f>NA()</f>
        <v>#N/A</v>
      </c>
      <c r="N836" t="e">
        <f>NA()</f>
        <v>#N/A</v>
      </c>
      <c r="O836">
        <f t="shared" si="30"/>
        <v>2.2999999999999998</v>
      </c>
    </row>
    <row r="837" spans="1:15" x14ac:dyDescent="0.25">
      <c r="A837" s="1">
        <v>44777</v>
      </c>
      <c r="B837" t="e">
        <f>NA()</f>
        <v>#N/A</v>
      </c>
      <c r="C837" t="e">
        <f>NA()</f>
        <v>#N/A</v>
      </c>
      <c r="D837" t="e">
        <f>NA()</f>
        <v>#N/A</v>
      </c>
      <c r="E837" t="e">
        <f>NA()</f>
        <v>#N/A</v>
      </c>
      <c r="F837" t="e">
        <f>NA()</f>
        <v>#N/A</v>
      </c>
      <c r="G837" t="e">
        <f>NA()</f>
        <v>#N/A</v>
      </c>
      <c r="H837" t="e">
        <f>NA()</f>
        <v>#N/A</v>
      </c>
      <c r="I837" t="e">
        <f>NA()</f>
        <v>#N/A</v>
      </c>
      <c r="J837" t="e">
        <f>NA()</f>
        <v>#N/A</v>
      </c>
      <c r="K837" t="e">
        <f>NA()</f>
        <v>#N/A</v>
      </c>
      <c r="L837" t="e">
        <f>NA()</f>
        <v>#N/A</v>
      </c>
      <c r="M837" t="e">
        <f>NA()</f>
        <v>#N/A</v>
      </c>
      <c r="N837" t="e">
        <f>NA()</f>
        <v>#N/A</v>
      </c>
      <c r="O837">
        <f t="shared" si="30"/>
        <v>2.2999999999999998</v>
      </c>
    </row>
    <row r="838" spans="1:15" x14ac:dyDescent="0.25">
      <c r="A838" s="1">
        <v>44776</v>
      </c>
      <c r="B838" t="e">
        <f>NA()</f>
        <v>#N/A</v>
      </c>
      <c r="C838" t="e">
        <f>NA()</f>
        <v>#N/A</v>
      </c>
      <c r="D838" t="e">
        <f>NA()</f>
        <v>#N/A</v>
      </c>
      <c r="E838" t="e">
        <f>NA()</f>
        <v>#N/A</v>
      </c>
      <c r="F838" t="e">
        <f>NA()</f>
        <v>#N/A</v>
      </c>
      <c r="G838" t="e">
        <f>NA()</f>
        <v>#N/A</v>
      </c>
      <c r="H838" t="e">
        <f>NA()</f>
        <v>#N/A</v>
      </c>
      <c r="I838" t="e">
        <f>NA()</f>
        <v>#N/A</v>
      </c>
      <c r="J838" t="e">
        <f>NA()</f>
        <v>#N/A</v>
      </c>
      <c r="K838" t="e">
        <f>NA()</f>
        <v>#N/A</v>
      </c>
      <c r="L838" t="e">
        <f>NA()</f>
        <v>#N/A</v>
      </c>
      <c r="M838" t="e">
        <f>NA()</f>
        <v>#N/A</v>
      </c>
      <c r="N838" t="e">
        <f>NA()</f>
        <v>#N/A</v>
      </c>
      <c r="O838">
        <f t="shared" si="30"/>
        <v>2.2999999999999998</v>
      </c>
    </row>
    <row r="839" spans="1:15" x14ac:dyDescent="0.25">
      <c r="A839" s="1">
        <v>44775</v>
      </c>
      <c r="B839" t="e">
        <f>NA()</f>
        <v>#N/A</v>
      </c>
      <c r="C839" t="e">
        <f>NA()</f>
        <v>#N/A</v>
      </c>
      <c r="D839" t="e">
        <f>NA()</f>
        <v>#N/A</v>
      </c>
      <c r="E839" t="e">
        <f>NA()</f>
        <v>#N/A</v>
      </c>
      <c r="F839" t="e">
        <f>NA()</f>
        <v>#N/A</v>
      </c>
      <c r="G839" t="e">
        <f>NA()</f>
        <v>#N/A</v>
      </c>
      <c r="H839" t="e">
        <f>NA()</f>
        <v>#N/A</v>
      </c>
      <c r="I839" t="e">
        <f>NA()</f>
        <v>#N/A</v>
      </c>
      <c r="J839" t="e">
        <f>NA()</f>
        <v>#N/A</v>
      </c>
      <c r="K839" t="e">
        <f>NA()</f>
        <v>#N/A</v>
      </c>
      <c r="L839" t="e">
        <f>NA()</f>
        <v>#N/A</v>
      </c>
      <c r="M839" t="e">
        <f>NA()</f>
        <v>#N/A</v>
      </c>
      <c r="N839" t="e">
        <f>NA()</f>
        <v>#N/A</v>
      </c>
      <c r="O839">
        <f t="shared" si="30"/>
        <v>2.2999999999999998</v>
      </c>
    </row>
    <row r="840" spans="1:15" x14ac:dyDescent="0.25">
      <c r="A840" s="1">
        <v>44774</v>
      </c>
      <c r="B840" t="e">
        <f>NA()</f>
        <v>#N/A</v>
      </c>
      <c r="C840" t="e">
        <f>NA()</f>
        <v>#N/A</v>
      </c>
      <c r="D840" t="e">
        <f>NA()</f>
        <v>#N/A</v>
      </c>
      <c r="E840" t="e">
        <f>NA()</f>
        <v>#N/A</v>
      </c>
      <c r="F840" t="e">
        <f>NA()</f>
        <v>#N/A</v>
      </c>
      <c r="G840" t="e">
        <f>NA()</f>
        <v>#N/A</v>
      </c>
      <c r="H840" t="e">
        <f>NA()</f>
        <v>#N/A</v>
      </c>
      <c r="I840" t="e">
        <f>NA()</f>
        <v>#N/A</v>
      </c>
      <c r="J840" t="e">
        <f>NA()</f>
        <v>#N/A</v>
      </c>
      <c r="K840" t="e">
        <f>NA()</f>
        <v>#N/A</v>
      </c>
      <c r="L840" t="e">
        <f>NA()</f>
        <v>#N/A</v>
      </c>
      <c r="M840" t="e">
        <f>NA()</f>
        <v>#N/A</v>
      </c>
      <c r="N840" t="e">
        <f>NA()</f>
        <v>#N/A</v>
      </c>
      <c r="O840">
        <f t="shared" si="30"/>
        <v>2.2999999999999998</v>
      </c>
    </row>
    <row r="841" spans="1:15" x14ac:dyDescent="0.25">
      <c r="A841" s="1">
        <v>44773</v>
      </c>
      <c r="B841" t="e">
        <f>NA()</f>
        <v>#N/A</v>
      </c>
      <c r="C841" t="e">
        <f>NA()</f>
        <v>#N/A</v>
      </c>
      <c r="D841">
        <f>0.5</f>
        <v>0.5</v>
      </c>
      <c r="E841">
        <f>-2.7</f>
        <v>-2.7</v>
      </c>
      <c r="F841">
        <f>11610</f>
        <v>11610</v>
      </c>
      <c r="G841">
        <f>62.1</f>
        <v>62.1</v>
      </c>
      <c r="H841">
        <f>9.4</f>
        <v>9.4</v>
      </c>
      <c r="I841">
        <f>296.3</f>
        <v>296.3</v>
      </c>
      <c r="J841">
        <f>8.5</f>
        <v>8.5</v>
      </c>
      <c r="K841">
        <f>52.9</f>
        <v>52.9</v>
      </c>
      <c r="L841">
        <f>0.2</f>
        <v>0.2</v>
      </c>
      <c r="M841" t="e">
        <f>NA()</f>
        <v>#N/A</v>
      </c>
      <c r="N841">
        <f>3.5</f>
        <v>3.5</v>
      </c>
      <c r="O841" t="e">
        <f>NA()</f>
        <v>#N/A</v>
      </c>
    </row>
    <row r="842" spans="1:15" x14ac:dyDescent="0.25">
      <c r="A842" s="1">
        <v>44771</v>
      </c>
      <c r="B842">
        <f>-0.2</f>
        <v>-0.2</v>
      </c>
      <c r="C842">
        <f>0</f>
        <v>0</v>
      </c>
      <c r="D842" t="e">
        <f>NA()</f>
        <v>#N/A</v>
      </c>
      <c r="E842" t="e">
        <f>NA()</f>
        <v>#N/A</v>
      </c>
      <c r="F842" t="e">
        <f>NA()</f>
        <v>#N/A</v>
      </c>
      <c r="G842" t="e">
        <f>NA()</f>
        <v>#N/A</v>
      </c>
      <c r="H842" t="e">
        <f>NA()</f>
        <v>#N/A</v>
      </c>
      <c r="I842" t="e">
        <f>NA()</f>
        <v>#N/A</v>
      </c>
      <c r="J842" t="e">
        <f>NA()</f>
        <v>#N/A</v>
      </c>
      <c r="K842" t="e">
        <f>NA()</f>
        <v>#N/A</v>
      </c>
      <c r="L842" t="e">
        <f>NA()</f>
        <v>#N/A</v>
      </c>
      <c r="M842" t="e">
        <f>NA()</f>
        <v>#N/A</v>
      </c>
      <c r="N842" t="e">
        <f>NA()</f>
        <v>#N/A</v>
      </c>
      <c r="O842">
        <f>2.3</f>
        <v>2.2999999999999998</v>
      </c>
    </row>
    <row r="843" spans="1:15" x14ac:dyDescent="0.25">
      <c r="A843" s="1">
        <v>44770</v>
      </c>
      <c r="B843" t="e">
        <f>NA()</f>
        <v>#N/A</v>
      </c>
      <c r="C843" t="e">
        <f>NA()</f>
        <v>#N/A</v>
      </c>
      <c r="D843" t="e">
        <f>NA()</f>
        <v>#N/A</v>
      </c>
      <c r="E843" t="e">
        <f>NA()</f>
        <v>#N/A</v>
      </c>
      <c r="F843" t="e">
        <f>NA()</f>
        <v>#N/A</v>
      </c>
      <c r="G843" t="e">
        <f>NA()</f>
        <v>#N/A</v>
      </c>
      <c r="H843" t="e">
        <f>NA()</f>
        <v>#N/A</v>
      </c>
      <c r="I843" t="e">
        <f>NA()</f>
        <v>#N/A</v>
      </c>
      <c r="J843" t="e">
        <f>NA()</f>
        <v>#N/A</v>
      </c>
      <c r="K843" t="e">
        <f>NA()</f>
        <v>#N/A</v>
      </c>
      <c r="L843" t="e">
        <f>NA()</f>
        <v>#N/A</v>
      </c>
      <c r="M843" t="e">
        <f>NA()</f>
        <v>#N/A</v>
      </c>
      <c r="N843" t="e">
        <f>NA()</f>
        <v>#N/A</v>
      </c>
      <c r="O843">
        <f>2.3</f>
        <v>2.2999999999999998</v>
      </c>
    </row>
    <row r="844" spans="1:15" x14ac:dyDescent="0.25">
      <c r="A844" s="1">
        <v>44769</v>
      </c>
      <c r="B844" t="e">
        <f>NA()</f>
        <v>#N/A</v>
      </c>
      <c r="C844" t="e">
        <f>NA()</f>
        <v>#N/A</v>
      </c>
      <c r="D844" t="e">
        <f>NA()</f>
        <v>#N/A</v>
      </c>
      <c r="E844" t="e">
        <f>NA()</f>
        <v>#N/A</v>
      </c>
      <c r="F844" t="e">
        <f>NA()</f>
        <v>#N/A</v>
      </c>
      <c r="G844" t="e">
        <f>NA()</f>
        <v>#N/A</v>
      </c>
      <c r="H844" t="e">
        <f>NA()</f>
        <v>#N/A</v>
      </c>
      <c r="I844" t="e">
        <f>NA()</f>
        <v>#N/A</v>
      </c>
      <c r="J844" t="e">
        <f>NA()</f>
        <v>#N/A</v>
      </c>
      <c r="K844" t="e">
        <f>NA()</f>
        <v>#N/A</v>
      </c>
      <c r="L844" t="e">
        <f>NA()</f>
        <v>#N/A</v>
      </c>
      <c r="M844" t="e">
        <f>NA()</f>
        <v>#N/A</v>
      </c>
      <c r="N844" t="e">
        <f>NA()</f>
        <v>#N/A</v>
      </c>
      <c r="O844">
        <f t="shared" ref="O844:O871" si="31">1.6</f>
        <v>1.6</v>
      </c>
    </row>
    <row r="845" spans="1:15" x14ac:dyDescent="0.25">
      <c r="A845" s="1">
        <v>44768</v>
      </c>
      <c r="B845" t="e">
        <f>NA()</f>
        <v>#N/A</v>
      </c>
      <c r="C845" t="e">
        <f>NA()</f>
        <v>#N/A</v>
      </c>
      <c r="D845" t="e">
        <f>NA()</f>
        <v>#N/A</v>
      </c>
      <c r="E845" t="e">
        <f>NA()</f>
        <v>#N/A</v>
      </c>
      <c r="F845" t="e">
        <f>NA()</f>
        <v>#N/A</v>
      </c>
      <c r="G845" t="e">
        <f>NA()</f>
        <v>#N/A</v>
      </c>
      <c r="H845" t="e">
        <f>NA()</f>
        <v>#N/A</v>
      </c>
      <c r="I845" t="e">
        <f>NA()</f>
        <v>#N/A</v>
      </c>
      <c r="J845" t="e">
        <f>NA()</f>
        <v>#N/A</v>
      </c>
      <c r="K845" t="e">
        <f>NA()</f>
        <v>#N/A</v>
      </c>
      <c r="L845" t="e">
        <f>NA()</f>
        <v>#N/A</v>
      </c>
      <c r="M845" t="e">
        <f>NA()</f>
        <v>#N/A</v>
      </c>
      <c r="N845" t="e">
        <f>NA()</f>
        <v>#N/A</v>
      </c>
      <c r="O845">
        <f t="shared" si="31"/>
        <v>1.6</v>
      </c>
    </row>
    <row r="846" spans="1:15" x14ac:dyDescent="0.25">
      <c r="A846" s="1">
        <v>44767</v>
      </c>
      <c r="B846" t="e">
        <f>NA()</f>
        <v>#N/A</v>
      </c>
      <c r="C846" t="e">
        <f>NA()</f>
        <v>#N/A</v>
      </c>
      <c r="D846" t="e">
        <f>NA()</f>
        <v>#N/A</v>
      </c>
      <c r="E846" t="e">
        <f>NA()</f>
        <v>#N/A</v>
      </c>
      <c r="F846" t="e">
        <f>NA()</f>
        <v>#N/A</v>
      </c>
      <c r="G846" t="e">
        <f>NA()</f>
        <v>#N/A</v>
      </c>
      <c r="H846" t="e">
        <f>NA()</f>
        <v>#N/A</v>
      </c>
      <c r="I846" t="e">
        <f>NA()</f>
        <v>#N/A</v>
      </c>
      <c r="J846" t="e">
        <f>NA()</f>
        <v>#N/A</v>
      </c>
      <c r="K846" t="e">
        <f>NA()</f>
        <v>#N/A</v>
      </c>
      <c r="L846" t="e">
        <f>NA()</f>
        <v>#N/A</v>
      </c>
      <c r="M846" t="e">
        <f>NA()</f>
        <v>#N/A</v>
      </c>
      <c r="N846" t="e">
        <f>NA()</f>
        <v>#N/A</v>
      </c>
      <c r="O846">
        <f t="shared" si="31"/>
        <v>1.6</v>
      </c>
    </row>
    <row r="847" spans="1:15" x14ac:dyDescent="0.25">
      <c r="A847" s="1">
        <v>44764</v>
      </c>
      <c r="B847">
        <f>-0.3</f>
        <v>-0.3</v>
      </c>
      <c r="C847">
        <f>0</f>
        <v>0</v>
      </c>
      <c r="D847" t="e">
        <f>NA()</f>
        <v>#N/A</v>
      </c>
      <c r="E847" t="e">
        <f>NA()</f>
        <v>#N/A</v>
      </c>
      <c r="F847" t="e">
        <f>NA()</f>
        <v>#N/A</v>
      </c>
      <c r="G847" t="e">
        <f>NA()</f>
        <v>#N/A</v>
      </c>
      <c r="H847" t="e">
        <f>NA()</f>
        <v>#N/A</v>
      </c>
      <c r="I847" t="e">
        <f>NA()</f>
        <v>#N/A</v>
      </c>
      <c r="J847" t="e">
        <f>NA()</f>
        <v>#N/A</v>
      </c>
      <c r="K847" t="e">
        <f>NA()</f>
        <v>#N/A</v>
      </c>
      <c r="L847" t="e">
        <f>NA()</f>
        <v>#N/A</v>
      </c>
      <c r="M847" t="e">
        <f>NA()</f>
        <v>#N/A</v>
      </c>
      <c r="N847" t="e">
        <f>NA()</f>
        <v>#N/A</v>
      </c>
      <c r="O847">
        <f t="shared" si="31"/>
        <v>1.6</v>
      </c>
    </row>
    <row r="848" spans="1:15" x14ac:dyDescent="0.25">
      <c r="A848" s="1">
        <v>44763</v>
      </c>
      <c r="B848" t="e">
        <f>NA()</f>
        <v>#N/A</v>
      </c>
      <c r="C848" t="e">
        <f>NA()</f>
        <v>#N/A</v>
      </c>
      <c r="D848" t="e">
        <f>NA()</f>
        <v>#N/A</v>
      </c>
      <c r="E848" t="e">
        <f>NA()</f>
        <v>#N/A</v>
      </c>
      <c r="F848" t="e">
        <f>NA()</f>
        <v>#N/A</v>
      </c>
      <c r="G848" t="e">
        <f>NA()</f>
        <v>#N/A</v>
      </c>
      <c r="H848" t="e">
        <f>NA()</f>
        <v>#N/A</v>
      </c>
      <c r="I848" t="e">
        <f>NA()</f>
        <v>#N/A</v>
      </c>
      <c r="J848" t="e">
        <f>NA()</f>
        <v>#N/A</v>
      </c>
      <c r="K848" t="e">
        <f>NA()</f>
        <v>#N/A</v>
      </c>
      <c r="L848" t="e">
        <f>NA()</f>
        <v>#N/A</v>
      </c>
      <c r="M848" t="e">
        <f>NA()</f>
        <v>#N/A</v>
      </c>
      <c r="N848" t="e">
        <f>NA()</f>
        <v>#N/A</v>
      </c>
      <c r="O848">
        <f t="shared" si="31"/>
        <v>1.6</v>
      </c>
    </row>
    <row r="849" spans="1:15" x14ac:dyDescent="0.25">
      <c r="A849" s="1">
        <v>44762</v>
      </c>
      <c r="B849" t="e">
        <f>NA()</f>
        <v>#N/A</v>
      </c>
      <c r="C849" t="e">
        <f>NA()</f>
        <v>#N/A</v>
      </c>
      <c r="D849" t="e">
        <f>NA()</f>
        <v>#N/A</v>
      </c>
      <c r="E849" t="e">
        <f>NA()</f>
        <v>#N/A</v>
      </c>
      <c r="F849" t="e">
        <f>NA()</f>
        <v>#N/A</v>
      </c>
      <c r="G849" t="e">
        <f>NA()</f>
        <v>#N/A</v>
      </c>
      <c r="H849" t="e">
        <f>NA()</f>
        <v>#N/A</v>
      </c>
      <c r="I849" t="e">
        <f>NA()</f>
        <v>#N/A</v>
      </c>
      <c r="J849" t="e">
        <f>NA()</f>
        <v>#N/A</v>
      </c>
      <c r="K849" t="e">
        <f>NA()</f>
        <v>#N/A</v>
      </c>
      <c r="L849" t="e">
        <f>NA()</f>
        <v>#N/A</v>
      </c>
      <c r="M849" t="e">
        <f>NA()</f>
        <v>#N/A</v>
      </c>
      <c r="N849" t="e">
        <f>NA()</f>
        <v>#N/A</v>
      </c>
      <c r="O849">
        <f t="shared" si="31"/>
        <v>1.6</v>
      </c>
    </row>
    <row r="850" spans="1:15" x14ac:dyDescent="0.25">
      <c r="A850" s="1">
        <v>44761</v>
      </c>
      <c r="B850" t="e">
        <f>NA()</f>
        <v>#N/A</v>
      </c>
      <c r="C850" t="e">
        <f>NA()</f>
        <v>#N/A</v>
      </c>
      <c r="D850" t="e">
        <f>NA()</f>
        <v>#N/A</v>
      </c>
      <c r="E850" t="e">
        <f>NA()</f>
        <v>#N/A</v>
      </c>
      <c r="F850" t="e">
        <f>NA()</f>
        <v>#N/A</v>
      </c>
      <c r="G850" t="e">
        <f>NA()</f>
        <v>#N/A</v>
      </c>
      <c r="H850" t="e">
        <f>NA()</f>
        <v>#N/A</v>
      </c>
      <c r="I850" t="e">
        <f>NA()</f>
        <v>#N/A</v>
      </c>
      <c r="J850" t="e">
        <f>NA()</f>
        <v>#N/A</v>
      </c>
      <c r="K850" t="e">
        <f>NA()</f>
        <v>#N/A</v>
      </c>
      <c r="L850" t="e">
        <f>NA()</f>
        <v>#N/A</v>
      </c>
      <c r="M850" t="e">
        <f>NA()</f>
        <v>#N/A</v>
      </c>
      <c r="N850" t="e">
        <f>NA()</f>
        <v>#N/A</v>
      </c>
      <c r="O850">
        <f t="shared" si="31"/>
        <v>1.6</v>
      </c>
    </row>
    <row r="851" spans="1:15" x14ac:dyDescent="0.25">
      <c r="A851" s="1">
        <v>44760</v>
      </c>
      <c r="B851" t="e">
        <f>NA()</f>
        <v>#N/A</v>
      </c>
      <c r="C851" t="e">
        <f>NA()</f>
        <v>#N/A</v>
      </c>
      <c r="D851" t="e">
        <f>NA()</f>
        <v>#N/A</v>
      </c>
      <c r="E851" t="e">
        <f>NA()</f>
        <v>#N/A</v>
      </c>
      <c r="F851" t="e">
        <f>NA()</f>
        <v>#N/A</v>
      </c>
      <c r="G851" t="e">
        <f>NA()</f>
        <v>#N/A</v>
      </c>
      <c r="H851" t="e">
        <f>NA()</f>
        <v>#N/A</v>
      </c>
      <c r="I851" t="e">
        <f>NA()</f>
        <v>#N/A</v>
      </c>
      <c r="J851" t="e">
        <f>NA()</f>
        <v>#N/A</v>
      </c>
      <c r="K851" t="e">
        <f>NA()</f>
        <v>#N/A</v>
      </c>
      <c r="L851" t="e">
        <f>NA()</f>
        <v>#N/A</v>
      </c>
      <c r="M851" t="e">
        <f>NA()</f>
        <v>#N/A</v>
      </c>
      <c r="N851" t="e">
        <f>NA()</f>
        <v>#N/A</v>
      </c>
      <c r="O851">
        <f t="shared" si="31"/>
        <v>1.6</v>
      </c>
    </row>
    <row r="852" spans="1:15" x14ac:dyDescent="0.25">
      <c r="A852" s="1">
        <v>44757</v>
      </c>
      <c r="B852">
        <f>0.1</f>
        <v>0.1</v>
      </c>
      <c r="C852">
        <f>0</f>
        <v>0</v>
      </c>
      <c r="D852" t="e">
        <f>NA()</f>
        <v>#N/A</v>
      </c>
      <c r="E852" t="e">
        <f>NA()</f>
        <v>#N/A</v>
      </c>
      <c r="F852" t="e">
        <f>NA()</f>
        <v>#N/A</v>
      </c>
      <c r="G852" t="e">
        <f>NA()</f>
        <v>#N/A</v>
      </c>
      <c r="H852" t="e">
        <f>NA()</f>
        <v>#N/A</v>
      </c>
      <c r="I852" t="e">
        <f>NA()</f>
        <v>#N/A</v>
      </c>
      <c r="J852" t="e">
        <f>NA()</f>
        <v>#N/A</v>
      </c>
      <c r="K852" t="e">
        <f>NA()</f>
        <v>#N/A</v>
      </c>
      <c r="L852" t="e">
        <f>NA()</f>
        <v>#N/A</v>
      </c>
      <c r="M852" t="e">
        <f>NA()</f>
        <v>#N/A</v>
      </c>
      <c r="N852" t="e">
        <f>NA()</f>
        <v>#N/A</v>
      </c>
      <c r="O852">
        <f t="shared" si="31"/>
        <v>1.6</v>
      </c>
    </row>
    <row r="853" spans="1:15" x14ac:dyDescent="0.25">
      <c r="A853" s="1">
        <v>44756</v>
      </c>
      <c r="B853" t="e">
        <f>NA()</f>
        <v>#N/A</v>
      </c>
      <c r="C853" t="e">
        <f>NA()</f>
        <v>#N/A</v>
      </c>
      <c r="D853" t="e">
        <f>NA()</f>
        <v>#N/A</v>
      </c>
      <c r="E853" t="e">
        <f>NA()</f>
        <v>#N/A</v>
      </c>
      <c r="F853" t="e">
        <f>NA()</f>
        <v>#N/A</v>
      </c>
      <c r="G853" t="e">
        <f>NA()</f>
        <v>#N/A</v>
      </c>
      <c r="H853" t="e">
        <f>NA()</f>
        <v>#N/A</v>
      </c>
      <c r="I853" t="e">
        <f>NA()</f>
        <v>#N/A</v>
      </c>
      <c r="J853" t="e">
        <f>NA()</f>
        <v>#N/A</v>
      </c>
      <c r="K853" t="e">
        <f>NA()</f>
        <v>#N/A</v>
      </c>
      <c r="L853" t="e">
        <f>NA()</f>
        <v>#N/A</v>
      </c>
      <c r="M853" t="e">
        <f>NA()</f>
        <v>#N/A</v>
      </c>
      <c r="N853" t="e">
        <f>NA()</f>
        <v>#N/A</v>
      </c>
      <c r="O853">
        <f t="shared" si="31"/>
        <v>1.6</v>
      </c>
    </row>
    <row r="854" spans="1:15" x14ac:dyDescent="0.25">
      <c r="A854" s="1">
        <v>44755</v>
      </c>
      <c r="B854" t="e">
        <f>NA()</f>
        <v>#N/A</v>
      </c>
      <c r="C854" t="e">
        <f>NA()</f>
        <v>#N/A</v>
      </c>
      <c r="D854" t="e">
        <f>NA()</f>
        <v>#N/A</v>
      </c>
      <c r="E854" t="e">
        <f>NA()</f>
        <v>#N/A</v>
      </c>
      <c r="F854" t="e">
        <f>NA()</f>
        <v>#N/A</v>
      </c>
      <c r="G854" t="e">
        <f>NA()</f>
        <v>#N/A</v>
      </c>
      <c r="H854" t="e">
        <f>NA()</f>
        <v>#N/A</v>
      </c>
      <c r="I854" t="e">
        <f>NA()</f>
        <v>#N/A</v>
      </c>
      <c r="J854" t="e">
        <f>NA()</f>
        <v>#N/A</v>
      </c>
      <c r="K854" t="e">
        <f>NA()</f>
        <v>#N/A</v>
      </c>
      <c r="L854" t="e">
        <f>NA()</f>
        <v>#N/A</v>
      </c>
      <c r="M854" t="e">
        <f>NA()</f>
        <v>#N/A</v>
      </c>
      <c r="N854" t="e">
        <f>NA()</f>
        <v>#N/A</v>
      </c>
      <c r="O854">
        <f t="shared" si="31"/>
        <v>1.6</v>
      </c>
    </row>
    <row r="855" spans="1:15" x14ac:dyDescent="0.25">
      <c r="A855" s="1">
        <v>44754</v>
      </c>
      <c r="B855" t="e">
        <f>NA()</f>
        <v>#N/A</v>
      </c>
      <c r="C855" t="e">
        <f>NA()</f>
        <v>#N/A</v>
      </c>
      <c r="D855" t="e">
        <f>NA()</f>
        <v>#N/A</v>
      </c>
      <c r="E855" t="e">
        <f>NA()</f>
        <v>#N/A</v>
      </c>
      <c r="F855" t="e">
        <f>NA()</f>
        <v>#N/A</v>
      </c>
      <c r="G855" t="e">
        <f>NA()</f>
        <v>#N/A</v>
      </c>
      <c r="H855" t="e">
        <f>NA()</f>
        <v>#N/A</v>
      </c>
      <c r="I855" t="e">
        <f>NA()</f>
        <v>#N/A</v>
      </c>
      <c r="J855" t="e">
        <f>NA()</f>
        <v>#N/A</v>
      </c>
      <c r="K855" t="e">
        <f>NA()</f>
        <v>#N/A</v>
      </c>
      <c r="L855" t="e">
        <f>NA()</f>
        <v>#N/A</v>
      </c>
      <c r="M855" t="e">
        <f>NA()</f>
        <v>#N/A</v>
      </c>
      <c r="N855" t="e">
        <f>NA()</f>
        <v>#N/A</v>
      </c>
      <c r="O855">
        <f t="shared" si="31"/>
        <v>1.6</v>
      </c>
    </row>
    <row r="856" spans="1:15" x14ac:dyDescent="0.25">
      <c r="A856" s="1">
        <v>44753</v>
      </c>
      <c r="B856" t="e">
        <f>NA()</f>
        <v>#N/A</v>
      </c>
      <c r="C856" t="e">
        <f>NA()</f>
        <v>#N/A</v>
      </c>
      <c r="D856" t="e">
        <f>NA()</f>
        <v>#N/A</v>
      </c>
      <c r="E856" t="e">
        <f>NA()</f>
        <v>#N/A</v>
      </c>
      <c r="F856" t="e">
        <f>NA()</f>
        <v>#N/A</v>
      </c>
      <c r="G856" t="e">
        <f>NA()</f>
        <v>#N/A</v>
      </c>
      <c r="H856" t="e">
        <f>NA()</f>
        <v>#N/A</v>
      </c>
      <c r="I856" t="e">
        <f>NA()</f>
        <v>#N/A</v>
      </c>
      <c r="J856" t="e">
        <f>NA()</f>
        <v>#N/A</v>
      </c>
      <c r="K856" t="e">
        <f>NA()</f>
        <v>#N/A</v>
      </c>
      <c r="L856" t="e">
        <f>NA()</f>
        <v>#N/A</v>
      </c>
      <c r="M856" t="e">
        <f>NA()</f>
        <v>#N/A</v>
      </c>
      <c r="N856" t="e">
        <f>NA()</f>
        <v>#N/A</v>
      </c>
      <c r="O856">
        <f t="shared" si="31"/>
        <v>1.6</v>
      </c>
    </row>
    <row r="857" spans="1:15" x14ac:dyDescent="0.25">
      <c r="A857" s="1">
        <v>44750</v>
      </c>
      <c r="B857">
        <f>0.4</f>
        <v>0.4</v>
      </c>
      <c r="C857">
        <f>0</f>
        <v>0</v>
      </c>
      <c r="D857" t="e">
        <f>NA()</f>
        <v>#N/A</v>
      </c>
      <c r="E857" t="e">
        <f>NA()</f>
        <v>#N/A</v>
      </c>
      <c r="F857" t="e">
        <f>NA()</f>
        <v>#N/A</v>
      </c>
      <c r="G857" t="e">
        <f>NA()</f>
        <v>#N/A</v>
      </c>
      <c r="H857" t="e">
        <f>NA()</f>
        <v>#N/A</v>
      </c>
      <c r="I857" t="e">
        <f>NA()</f>
        <v>#N/A</v>
      </c>
      <c r="J857" t="e">
        <f>NA()</f>
        <v>#N/A</v>
      </c>
      <c r="K857" t="e">
        <f>NA()</f>
        <v>#N/A</v>
      </c>
      <c r="L857" t="e">
        <f>NA()</f>
        <v>#N/A</v>
      </c>
      <c r="M857" t="e">
        <f>NA()</f>
        <v>#N/A</v>
      </c>
      <c r="N857" t="e">
        <f>NA()</f>
        <v>#N/A</v>
      </c>
      <c r="O857">
        <f t="shared" si="31"/>
        <v>1.6</v>
      </c>
    </row>
    <row r="858" spans="1:15" x14ac:dyDescent="0.25">
      <c r="A858" s="1">
        <v>44749</v>
      </c>
      <c r="B858" t="e">
        <f>NA()</f>
        <v>#N/A</v>
      </c>
      <c r="C858" t="e">
        <f>NA()</f>
        <v>#N/A</v>
      </c>
      <c r="D858" t="e">
        <f>NA()</f>
        <v>#N/A</v>
      </c>
      <c r="E858" t="e">
        <f>NA()</f>
        <v>#N/A</v>
      </c>
      <c r="F858" t="e">
        <f>NA()</f>
        <v>#N/A</v>
      </c>
      <c r="G858" t="e">
        <f>NA()</f>
        <v>#N/A</v>
      </c>
      <c r="H858" t="e">
        <f>NA()</f>
        <v>#N/A</v>
      </c>
      <c r="I858" t="e">
        <f>NA()</f>
        <v>#N/A</v>
      </c>
      <c r="J858" t="e">
        <f>NA()</f>
        <v>#N/A</v>
      </c>
      <c r="K858" t="e">
        <f>NA()</f>
        <v>#N/A</v>
      </c>
      <c r="L858" t="e">
        <f>NA()</f>
        <v>#N/A</v>
      </c>
      <c r="M858" t="e">
        <f>NA()</f>
        <v>#N/A</v>
      </c>
      <c r="N858" t="e">
        <f>NA()</f>
        <v>#N/A</v>
      </c>
      <c r="O858">
        <f t="shared" si="31"/>
        <v>1.6</v>
      </c>
    </row>
    <row r="859" spans="1:15" x14ac:dyDescent="0.25">
      <c r="A859" s="1">
        <v>44748</v>
      </c>
      <c r="B859" t="e">
        <f>NA()</f>
        <v>#N/A</v>
      </c>
      <c r="C859" t="e">
        <f>NA()</f>
        <v>#N/A</v>
      </c>
      <c r="D859" t="e">
        <f>NA()</f>
        <v>#N/A</v>
      </c>
      <c r="E859" t="e">
        <f>NA()</f>
        <v>#N/A</v>
      </c>
      <c r="F859" t="e">
        <f>NA()</f>
        <v>#N/A</v>
      </c>
      <c r="G859" t="e">
        <f>NA()</f>
        <v>#N/A</v>
      </c>
      <c r="H859" t="e">
        <f>NA()</f>
        <v>#N/A</v>
      </c>
      <c r="I859" t="e">
        <f>NA()</f>
        <v>#N/A</v>
      </c>
      <c r="J859" t="e">
        <f>NA()</f>
        <v>#N/A</v>
      </c>
      <c r="K859" t="e">
        <f>NA()</f>
        <v>#N/A</v>
      </c>
      <c r="L859" t="e">
        <f>NA()</f>
        <v>#N/A</v>
      </c>
      <c r="M859" t="e">
        <f>NA()</f>
        <v>#N/A</v>
      </c>
      <c r="N859" t="e">
        <f>NA()</f>
        <v>#N/A</v>
      </c>
      <c r="O859">
        <f t="shared" si="31"/>
        <v>1.6</v>
      </c>
    </row>
    <row r="860" spans="1:15" x14ac:dyDescent="0.25">
      <c r="A860" s="1">
        <v>44747</v>
      </c>
      <c r="B860" t="e">
        <f>NA()</f>
        <v>#N/A</v>
      </c>
      <c r="C860" t="e">
        <f>NA()</f>
        <v>#N/A</v>
      </c>
      <c r="D860" t="e">
        <f>NA()</f>
        <v>#N/A</v>
      </c>
      <c r="E860" t="e">
        <f>NA()</f>
        <v>#N/A</v>
      </c>
      <c r="F860" t="e">
        <f>NA()</f>
        <v>#N/A</v>
      </c>
      <c r="G860" t="e">
        <f>NA()</f>
        <v>#N/A</v>
      </c>
      <c r="H860" t="e">
        <f>NA()</f>
        <v>#N/A</v>
      </c>
      <c r="I860" t="e">
        <f>NA()</f>
        <v>#N/A</v>
      </c>
      <c r="J860" t="e">
        <f>NA()</f>
        <v>#N/A</v>
      </c>
      <c r="K860" t="e">
        <f>NA()</f>
        <v>#N/A</v>
      </c>
      <c r="L860" t="e">
        <f>NA()</f>
        <v>#N/A</v>
      </c>
      <c r="M860" t="e">
        <f>NA()</f>
        <v>#N/A</v>
      </c>
      <c r="N860" t="e">
        <f>NA()</f>
        <v>#N/A</v>
      </c>
      <c r="O860">
        <f t="shared" si="31"/>
        <v>1.6</v>
      </c>
    </row>
    <row r="861" spans="1:15" x14ac:dyDescent="0.25">
      <c r="A861" s="1">
        <v>44743</v>
      </c>
      <c r="B861">
        <f>0.6</f>
        <v>0.6</v>
      </c>
      <c r="C861">
        <f>0</f>
        <v>0</v>
      </c>
      <c r="D861" t="e">
        <f>NA()</f>
        <v>#N/A</v>
      </c>
      <c r="E861" t="e">
        <f>NA()</f>
        <v>#N/A</v>
      </c>
      <c r="F861" t="e">
        <f>NA()</f>
        <v>#N/A</v>
      </c>
      <c r="G861" t="e">
        <f>NA()</f>
        <v>#N/A</v>
      </c>
      <c r="H861" t="e">
        <f>NA()</f>
        <v>#N/A</v>
      </c>
      <c r="I861" t="e">
        <f>NA()</f>
        <v>#N/A</v>
      </c>
      <c r="J861" t="e">
        <f>NA()</f>
        <v>#N/A</v>
      </c>
      <c r="K861" t="e">
        <f>NA()</f>
        <v>#N/A</v>
      </c>
      <c r="L861" t="e">
        <f>NA()</f>
        <v>#N/A</v>
      </c>
      <c r="M861" t="e">
        <f>NA()</f>
        <v>#N/A</v>
      </c>
      <c r="N861" t="e">
        <f>NA()</f>
        <v>#N/A</v>
      </c>
      <c r="O861">
        <f t="shared" si="31"/>
        <v>1.6</v>
      </c>
    </row>
    <row r="862" spans="1:15" x14ac:dyDescent="0.25">
      <c r="A862" s="1">
        <v>44742</v>
      </c>
      <c r="B862" t="e">
        <f>NA()</f>
        <v>#N/A</v>
      </c>
      <c r="C862" t="e">
        <f>NA()</f>
        <v>#N/A</v>
      </c>
      <c r="D862">
        <f>0.3</f>
        <v>0.3</v>
      </c>
      <c r="E862">
        <f>-3.4</f>
        <v>-3.4</v>
      </c>
      <c r="F862">
        <f>11256</f>
        <v>11256</v>
      </c>
      <c r="G862">
        <f>62.2</f>
        <v>62.2</v>
      </c>
      <c r="H862">
        <f>9.7</f>
        <v>9.6999999999999993</v>
      </c>
      <c r="I862">
        <f>296.3</f>
        <v>296.3</v>
      </c>
      <c r="J862">
        <f>9.1</f>
        <v>9.1</v>
      </c>
      <c r="K862">
        <f>53.5</f>
        <v>53.5</v>
      </c>
      <c r="L862">
        <f>-0.1</f>
        <v>-0.1</v>
      </c>
      <c r="M862">
        <f>0.6</f>
        <v>0.6</v>
      </c>
      <c r="N862">
        <f>3.6</f>
        <v>3.6</v>
      </c>
      <c r="O862">
        <f t="shared" si="31"/>
        <v>1.6</v>
      </c>
    </row>
    <row r="863" spans="1:15" x14ac:dyDescent="0.25">
      <c r="A863" s="1">
        <v>44741</v>
      </c>
      <c r="B863" t="e">
        <f>NA()</f>
        <v>#N/A</v>
      </c>
      <c r="C863" t="e">
        <f>NA()</f>
        <v>#N/A</v>
      </c>
      <c r="D863" t="e">
        <f>NA()</f>
        <v>#N/A</v>
      </c>
      <c r="E863" t="e">
        <f>NA()</f>
        <v>#N/A</v>
      </c>
      <c r="F863" t="e">
        <f>NA()</f>
        <v>#N/A</v>
      </c>
      <c r="G863" t="e">
        <f>NA()</f>
        <v>#N/A</v>
      </c>
      <c r="H863" t="e">
        <f>NA()</f>
        <v>#N/A</v>
      </c>
      <c r="I863" t="e">
        <f>NA()</f>
        <v>#N/A</v>
      </c>
      <c r="J863" t="e">
        <f>NA()</f>
        <v>#N/A</v>
      </c>
      <c r="K863" t="e">
        <f>NA()</f>
        <v>#N/A</v>
      </c>
      <c r="L863" t="e">
        <f>NA()</f>
        <v>#N/A</v>
      </c>
      <c r="M863" t="e">
        <f>NA()</f>
        <v>#N/A</v>
      </c>
      <c r="N863" t="e">
        <f>NA()</f>
        <v>#N/A</v>
      </c>
      <c r="O863">
        <f t="shared" si="31"/>
        <v>1.6</v>
      </c>
    </row>
    <row r="864" spans="1:15" x14ac:dyDescent="0.25">
      <c r="A864" s="1">
        <v>44740</v>
      </c>
      <c r="B864" t="e">
        <f>NA()</f>
        <v>#N/A</v>
      </c>
      <c r="C864" t="e">
        <f>NA()</f>
        <v>#N/A</v>
      </c>
      <c r="D864" t="e">
        <f>NA()</f>
        <v>#N/A</v>
      </c>
      <c r="E864" t="e">
        <f>NA()</f>
        <v>#N/A</v>
      </c>
      <c r="F864" t="e">
        <f>NA()</f>
        <v>#N/A</v>
      </c>
      <c r="G864" t="e">
        <f>NA()</f>
        <v>#N/A</v>
      </c>
      <c r="H864" t="e">
        <f>NA()</f>
        <v>#N/A</v>
      </c>
      <c r="I864" t="e">
        <f>NA()</f>
        <v>#N/A</v>
      </c>
      <c r="J864" t="e">
        <f>NA()</f>
        <v>#N/A</v>
      </c>
      <c r="K864" t="e">
        <f>NA()</f>
        <v>#N/A</v>
      </c>
      <c r="L864" t="e">
        <f>NA()</f>
        <v>#N/A</v>
      </c>
      <c r="M864" t="e">
        <f>NA()</f>
        <v>#N/A</v>
      </c>
      <c r="N864" t="e">
        <f>NA()</f>
        <v>#N/A</v>
      </c>
      <c r="O864">
        <f t="shared" si="31"/>
        <v>1.6</v>
      </c>
    </row>
    <row r="865" spans="1:15" x14ac:dyDescent="0.25">
      <c r="A865" s="1">
        <v>44739</v>
      </c>
      <c r="B865" t="e">
        <f>NA()</f>
        <v>#N/A</v>
      </c>
      <c r="C865" t="e">
        <f>NA()</f>
        <v>#N/A</v>
      </c>
      <c r="D865" t="e">
        <f>NA()</f>
        <v>#N/A</v>
      </c>
      <c r="E865" t="e">
        <f>NA()</f>
        <v>#N/A</v>
      </c>
      <c r="F865" t="e">
        <f>NA()</f>
        <v>#N/A</v>
      </c>
      <c r="G865" t="e">
        <f>NA()</f>
        <v>#N/A</v>
      </c>
      <c r="H865" t="e">
        <f>NA()</f>
        <v>#N/A</v>
      </c>
      <c r="I865" t="e">
        <f>NA()</f>
        <v>#N/A</v>
      </c>
      <c r="J865" t="e">
        <f>NA()</f>
        <v>#N/A</v>
      </c>
      <c r="K865" t="e">
        <f>NA()</f>
        <v>#N/A</v>
      </c>
      <c r="L865" t="e">
        <f>NA()</f>
        <v>#N/A</v>
      </c>
      <c r="M865" t="e">
        <f>NA()</f>
        <v>#N/A</v>
      </c>
      <c r="N865" t="e">
        <f>NA()</f>
        <v>#N/A</v>
      </c>
      <c r="O865">
        <f t="shared" si="31"/>
        <v>1.6</v>
      </c>
    </row>
    <row r="866" spans="1:15" x14ac:dyDescent="0.25">
      <c r="A866" s="1">
        <v>44736</v>
      </c>
      <c r="B866">
        <f>0.4</f>
        <v>0.4</v>
      </c>
      <c r="C866">
        <f>0</f>
        <v>0</v>
      </c>
      <c r="D866" t="e">
        <f>NA()</f>
        <v>#N/A</v>
      </c>
      <c r="E866" t="e">
        <f>NA()</f>
        <v>#N/A</v>
      </c>
      <c r="F866" t="e">
        <f>NA()</f>
        <v>#N/A</v>
      </c>
      <c r="G866" t="e">
        <f>NA()</f>
        <v>#N/A</v>
      </c>
      <c r="H866" t="e">
        <f>NA()</f>
        <v>#N/A</v>
      </c>
      <c r="I866" t="e">
        <f>NA()</f>
        <v>#N/A</v>
      </c>
      <c r="J866" t="e">
        <f>NA()</f>
        <v>#N/A</v>
      </c>
      <c r="K866" t="e">
        <f>NA()</f>
        <v>#N/A</v>
      </c>
      <c r="L866" t="e">
        <f>NA()</f>
        <v>#N/A</v>
      </c>
      <c r="M866" t="e">
        <f>NA()</f>
        <v>#N/A</v>
      </c>
      <c r="N866" t="e">
        <f>NA()</f>
        <v>#N/A</v>
      </c>
      <c r="O866">
        <f t="shared" si="31"/>
        <v>1.6</v>
      </c>
    </row>
    <row r="867" spans="1:15" x14ac:dyDescent="0.25">
      <c r="A867" s="1">
        <v>44735</v>
      </c>
      <c r="B867" t="e">
        <f>NA()</f>
        <v>#N/A</v>
      </c>
      <c r="C867" t="e">
        <f>NA()</f>
        <v>#N/A</v>
      </c>
      <c r="D867" t="e">
        <f>NA()</f>
        <v>#N/A</v>
      </c>
      <c r="E867" t="e">
        <f>NA()</f>
        <v>#N/A</v>
      </c>
      <c r="F867" t="e">
        <f>NA()</f>
        <v>#N/A</v>
      </c>
      <c r="G867" t="e">
        <f>NA()</f>
        <v>#N/A</v>
      </c>
      <c r="H867" t="e">
        <f>NA()</f>
        <v>#N/A</v>
      </c>
      <c r="I867" t="e">
        <f>NA()</f>
        <v>#N/A</v>
      </c>
      <c r="J867" t="e">
        <f>NA()</f>
        <v>#N/A</v>
      </c>
      <c r="K867" t="e">
        <f>NA()</f>
        <v>#N/A</v>
      </c>
      <c r="L867" t="e">
        <f>NA()</f>
        <v>#N/A</v>
      </c>
      <c r="M867" t="e">
        <f>NA()</f>
        <v>#N/A</v>
      </c>
      <c r="N867" t="e">
        <f>NA()</f>
        <v>#N/A</v>
      </c>
      <c r="O867">
        <f t="shared" si="31"/>
        <v>1.6</v>
      </c>
    </row>
    <row r="868" spans="1:15" x14ac:dyDescent="0.25">
      <c r="A868" s="1">
        <v>44734</v>
      </c>
      <c r="B868" t="e">
        <f>NA()</f>
        <v>#N/A</v>
      </c>
      <c r="C868" t="e">
        <f>NA()</f>
        <v>#N/A</v>
      </c>
      <c r="D868" t="e">
        <f>NA()</f>
        <v>#N/A</v>
      </c>
      <c r="E868" t="e">
        <f>NA()</f>
        <v>#N/A</v>
      </c>
      <c r="F868" t="e">
        <f>NA()</f>
        <v>#N/A</v>
      </c>
      <c r="G868" t="e">
        <f>NA()</f>
        <v>#N/A</v>
      </c>
      <c r="H868" t="e">
        <f>NA()</f>
        <v>#N/A</v>
      </c>
      <c r="I868" t="e">
        <f>NA()</f>
        <v>#N/A</v>
      </c>
      <c r="J868" t="e">
        <f>NA()</f>
        <v>#N/A</v>
      </c>
      <c r="K868" t="e">
        <f>NA()</f>
        <v>#N/A</v>
      </c>
      <c r="L868" t="e">
        <f>NA()</f>
        <v>#N/A</v>
      </c>
      <c r="M868" t="e">
        <f>NA()</f>
        <v>#N/A</v>
      </c>
      <c r="N868" t="e">
        <f>NA()</f>
        <v>#N/A</v>
      </c>
      <c r="O868">
        <f t="shared" si="31"/>
        <v>1.6</v>
      </c>
    </row>
    <row r="869" spans="1:15" x14ac:dyDescent="0.25">
      <c r="A869" s="1">
        <v>44733</v>
      </c>
      <c r="B869" t="e">
        <f>NA()</f>
        <v>#N/A</v>
      </c>
      <c r="C869" t="e">
        <f>NA()</f>
        <v>#N/A</v>
      </c>
      <c r="D869" t="e">
        <f>NA()</f>
        <v>#N/A</v>
      </c>
      <c r="E869" t="e">
        <f>NA()</f>
        <v>#N/A</v>
      </c>
      <c r="F869" t="e">
        <f>NA()</f>
        <v>#N/A</v>
      </c>
      <c r="G869" t="e">
        <f>NA()</f>
        <v>#N/A</v>
      </c>
      <c r="H869" t="e">
        <f>NA()</f>
        <v>#N/A</v>
      </c>
      <c r="I869" t="e">
        <f>NA()</f>
        <v>#N/A</v>
      </c>
      <c r="J869" t="e">
        <f>NA()</f>
        <v>#N/A</v>
      </c>
      <c r="K869" t="e">
        <f>NA()</f>
        <v>#N/A</v>
      </c>
      <c r="L869" t="e">
        <f>NA()</f>
        <v>#N/A</v>
      </c>
      <c r="M869" t="e">
        <f>NA()</f>
        <v>#N/A</v>
      </c>
      <c r="N869" t="e">
        <f>NA()</f>
        <v>#N/A</v>
      </c>
      <c r="O869">
        <f t="shared" si="31"/>
        <v>1.6</v>
      </c>
    </row>
    <row r="870" spans="1:15" x14ac:dyDescent="0.25">
      <c r="A870" s="1">
        <v>44729</v>
      </c>
      <c r="B870">
        <f>0</f>
        <v>0</v>
      </c>
      <c r="C870">
        <f>0</f>
        <v>0</v>
      </c>
      <c r="D870" t="e">
        <f>NA()</f>
        <v>#N/A</v>
      </c>
      <c r="E870" t="e">
        <f>NA()</f>
        <v>#N/A</v>
      </c>
      <c r="F870" t="e">
        <f>NA()</f>
        <v>#N/A</v>
      </c>
      <c r="G870" t="e">
        <f>NA()</f>
        <v>#N/A</v>
      </c>
      <c r="H870" t="e">
        <f>NA()</f>
        <v>#N/A</v>
      </c>
      <c r="I870" t="e">
        <f>NA()</f>
        <v>#N/A</v>
      </c>
      <c r="J870" t="e">
        <f>NA()</f>
        <v>#N/A</v>
      </c>
      <c r="K870" t="e">
        <f>NA()</f>
        <v>#N/A</v>
      </c>
      <c r="L870" t="e">
        <f>NA()</f>
        <v>#N/A</v>
      </c>
      <c r="M870" t="e">
        <f>NA()</f>
        <v>#N/A</v>
      </c>
      <c r="N870" t="e">
        <f>NA()</f>
        <v>#N/A</v>
      </c>
      <c r="O870">
        <f t="shared" si="31"/>
        <v>1.6</v>
      </c>
    </row>
    <row r="871" spans="1:15" x14ac:dyDescent="0.25">
      <c r="A871" s="1">
        <v>44728</v>
      </c>
      <c r="B871" t="e">
        <f>NA()</f>
        <v>#N/A</v>
      </c>
      <c r="C871" t="e">
        <f>NA()</f>
        <v>#N/A</v>
      </c>
      <c r="D871" t="e">
        <f>NA()</f>
        <v>#N/A</v>
      </c>
      <c r="E871" t="e">
        <f>NA()</f>
        <v>#N/A</v>
      </c>
      <c r="F871" t="e">
        <f>NA()</f>
        <v>#N/A</v>
      </c>
      <c r="G871" t="e">
        <f>NA()</f>
        <v>#N/A</v>
      </c>
      <c r="H871" t="e">
        <f>NA()</f>
        <v>#N/A</v>
      </c>
      <c r="I871" t="e">
        <f>NA()</f>
        <v>#N/A</v>
      </c>
      <c r="J871" t="e">
        <f>NA()</f>
        <v>#N/A</v>
      </c>
      <c r="K871" t="e">
        <f>NA()</f>
        <v>#N/A</v>
      </c>
      <c r="L871" t="e">
        <f>NA()</f>
        <v>#N/A</v>
      </c>
      <c r="M871" t="e">
        <f>NA()</f>
        <v>#N/A</v>
      </c>
      <c r="N871" t="e">
        <f>NA()</f>
        <v>#N/A</v>
      </c>
      <c r="O871">
        <f t="shared" si="31"/>
        <v>1.6</v>
      </c>
    </row>
    <row r="872" spans="1:15" x14ac:dyDescent="0.25">
      <c r="A872" s="1">
        <v>44727</v>
      </c>
      <c r="B872" t="e">
        <f>NA()</f>
        <v>#N/A</v>
      </c>
      <c r="C872" t="e">
        <f>NA()</f>
        <v>#N/A</v>
      </c>
      <c r="D872" t="e">
        <f>NA()</f>
        <v>#N/A</v>
      </c>
      <c r="E872" t="e">
        <f>NA()</f>
        <v>#N/A</v>
      </c>
      <c r="F872" t="e">
        <f>NA()</f>
        <v>#N/A</v>
      </c>
      <c r="G872" t="e">
        <f>NA()</f>
        <v>#N/A</v>
      </c>
      <c r="H872" t="e">
        <f>NA()</f>
        <v>#N/A</v>
      </c>
      <c r="I872" t="e">
        <f>NA()</f>
        <v>#N/A</v>
      </c>
      <c r="J872" t="e">
        <f>NA()</f>
        <v>#N/A</v>
      </c>
      <c r="K872" t="e">
        <f>NA()</f>
        <v>#N/A</v>
      </c>
      <c r="L872" t="e">
        <f>NA()</f>
        <v>#N/A</v>
      </c>
      <c r="M872" t="e">
        <f>NA()</f>
        <v>#N/A</v>
      </c>
      <c r="N872" t="e">
        <f>NA()</f>
        <v>#N/A</v>
      </c>
      <c r="O872">
        <f t="shared" ref="O872:O900" si="32">0.8</f>
        <v>0.8</v>
      </c>
    </row>
    <row r="873" spans="1:15" x14ac:dyDescent="0.25">
      <c r="A873" s="1">
        <v>44726</v>
      </c>
      <c r="B873" t="e">
        <f>NA()</f>
        <v>#N/A</v>
      </c>
      <c r="C873" t="e">
        <f>NA()</f>
        <v>#N/A</v>
      </c>
      <c r="D873" t="e">
        <f>NA()</f>
        <v>#N/A</v>
      </c>
      <c r="E873" t="e">
        <f>NA()</f>
        <v>#N/A</v>
      </c>
      <c r="F873" t="e">
        <f>NA()</f>
        <v>#N/A</v>
      </c>
      <c r="G873" t="e">
        <f>NA()</f>
        <v>#N/A</v>
      </c>
      <c r="H873" t="e">
        <f>NA()</f>
        <v>#N/A</v>
      </c>
      <c r="I873" t="e">
        <f>NA()</f>
        <v>#N/A</v>
      </c>
      <c r="J873" t="e">
        <f>NA()</f>
        <v>#N/A</v>
      </c>
      <c r="K873" t="e">
        <f>NA()</f>
        <v>#N/A</v>
      </c>
      <c r="L873" t="e">
        <f>NA()</f>
        <v>#N/A</v>
      </c>
      <c r="M873" t="e">
        <f>NA()</f>
        <v>#N/A</v>
      </c>
      <c r="N873" t="e">
        <f>NA()</f>
        <v>#N/A</v>
      </c>
      <c r="O873">
        <f t="shared" si="32"/>
        <v>0.8</v>
      </c>
    </row>
    <row r="874" spans="1:15" x14ac:dyDescent="0.25">
      <c r="A874" s="1">
        <v>44725</v>
      </c>
      <c r="B874" t="e">
        <f>NA()</f>
        <v>#N/A</v>
      </c>
      <c r="C874" t="e">
        <f>NA()</f>
        <v>#N/A</v>
      </c>
      <c r="D874" t="e">
        <f>NA()</f>
        <v>#N/A</v>
      </c>
      <c r="E874" t="e">
        <f>NA()</f>
        <v>#N/A</v>
      </c>
      <c r="F874" t="e">
        <f>NA()</f>
        <v>#N/A</v>
      </c>
      <c r="G874" t="e">
        <f>NA()</f>
        <v>#N/A</v>
      </c>
      <c r="H874" t="e">
        <f>NA()</f>
        <v>#N/A</v>
      </c>
      <c r="I874" t="e">
        <f>NA()</f>
        <v>#N/A</v>
      </c>
      <c r="J874" t="e">
        <f>NA()</f>
        <v>#N/A</v>
      </c>
      <c r="K874" t="e">
        <f>NA()</f>
        <v>#N/A</v>
      </c>
      <c r="L874" t="e">
        <f>NA()</f>
        <v>#N/A</v>
      </c>
      <c r="M874" t="e">
        <f>NA()</f>
        <v>#N/A</v>
      </c>
      <c r="N874" t="e">
        <f>NA()</f>
        <v>#N/A</v>
      </c>
      <c r="O874">
        <f t="shared" si="32"/>
        <v>0.8</v>
      </c>
    </row>
    <row r="875" spans="1:15" x14ac:dyDescent="0.25">
      <c r="A875" s="1">
        <v>44722</v>
      </c>
      <c r="B875">
        <f>-0.1</f>
        <v>-0.1</v>
      </c>
      <c r="C875">
        <f>0</f>
        <v>0</v>
      </c>
      <c r="D875" t="e">
        <f>NA()</f>
        <v>#N/A</v>
      </c>
      <c r="E875" t="e">
        <f>NA()</f>
        <v>#N/A</v>
      </c>
      <c r="F875" t="e">
        <f>NA()</f>
        <v>#N/A</v>
      </c>
      <c r="G875" t="e">
        <f>NA()</f>
        <v>#N/A</v>
      </c>
      <c r="H875" t="e">
        <f>NA()</f>
        <v>#N/A</v>
      </c>
      <c r="I875" t="e">
        <f>NA()</f>
        <v>#N/A</v>
      </c>
      <c r="J875" t="e">
        <f>NA()</f>
        <v>#N/A</v>
      </c>
      <c r="K875" t="e">
        <f>NA()</f>
        <v>#N/A</v>
      </c>
      <c r="L875" t="e">
        <f>NA()</f>
        <v>#N/A</v>
      </c>
      <c r="M875" t="e">
        <f>NA()</f>
        <v>#N/A</v>
      </c>
      <c r="N875" t="e">
        <f>NA()</f>
        <v>#N/A</v>
      </c>
      <c r="O875">
        <f t="shared" si="32"/>
        <v>0.8</v>
      </c>
    </row>
    <row r="876" spans="1:15" x14ac:dyDescent="0.25">
      <c r="A876" s="1">
        <v>44721</v>
      </c>
      <c r="B876" t="e">
        <f>NA()</f>
        <v>#N/A</v>
      </c>
      <c r="C876" t="e">
        <f>NA()</f>
        <v>#N/A</v>
      </c>
      <c r="D876" t="e">
        <f>NA()</f>
        <v>#N/A</v>
      </c>
      <c r="E876" t="e">
        <f>NA()</f>
        <v>#N/A</v>
      </c>
      <c r="F876" t="e">
        <f>NA()</f>
        <v>#N/A</v>
      </c>
      <c r="G876" t="e">
        <f>NA()</f>
        <v>#N/A</v>
      </c>
      <c r="H876" t="e">
        <f>NA()</f>
        <v>#N/A</v>
      </c>
      <c r="I876" t="e">
        <f>NA()</f>
        <v>#N/A</v>
      </c>
      <c r="J876" t="e">
        <f>NA()</f>
        <v>#N/A</v>
      </c>
      <c r="K876" t="e">
        <f>NA()</f>
        <v>#N/A</v>
      </c>
      <c r="L876" t="e">
        <f>NA()</f>
        <v>#N/A</v>
      </c>
      <c r="M876" t="e">
        <f>NA()</f>
        <v>#N/A</v>
      </c>
      <c r="N876" t="e">
        <f>NA()</f>
        <v>#N/A</v>
      </c>
      <c r="O876">
        <f t="shared" si="32"/>
        <v>0.8</v>
      </c>
    </row>
    <row r="877" spans="1:15" x14ac:dyDescent="0.25">
      <c r="A877" s="1">
        <v>44720</v>
      </c>
      <c r="B877" t="e">
        <f>NA()</f>
        <v>#N/A</v>
      </c>
      <c r="C877" t="e">
        <f>NA()</f>
        <v>#N/A</v>
      </c>
      <c r="D877" t="e">
        <f>NA()</f>
        <v>#N/A</v>
      </c>
      <c r="E877" t="e">
        <f>NA()</f>
        <v>#N/A</v>
      </c>
      <c r="F877" t="e">
        <f>NA()</f>
        <v>#N/A</v>
      </c>
      <c r="G877" t="e">
        <f>NA()</f>
        <v>#N/A</v>
      </c>
      <c r="H877" t="e">
        <f>NA()</f>
        <v>#N/A</v>
      </c>
      <c r="I877" t="e">
        <f>NA()</f>
        <v>#N/A</v>
      </c>
      <c r="J877" t="e">
        <f>NA()</f>
        <v>#N/A</v>
      </c>
      <c r="K877" t="e">
        <f>NA()</f>
        <v>#N/A</v>
      </c>
      <c r="L877" t="e">
        <f>NA()</f>
        <v>#N/A</v>
      </c>
      <c r="M877" t="e">
        <f>NA()</f>
        <v>#N/A</v>
      </c>
      <c r="N877" t="e">
        <f>NA()</f>
        <v>#N/A</v>
      </c>
      <c r="O877">
        <f t="shared" si="32"/>
        <v>0.8</v>
      </c>
    </row>
    <row r="878" spans="1:15" x14ac:dyDescent="0.25">
      <c r="A878" s="1">
        <v>44719</v>
      </c>
      <c r="B878" t="e">
        <f>NA()</f>
        <v>#N/A</v>
      </c>
      <c r="C878" t="e">
        <f>NA()</f>
        <v>#N/A</v>
      </c>
      <c r="D878" t="e">
        <f>NA()</f>
        <v>#N/A</v>
      </c>
      <c r="E878" t="e">
        <f>NA()</f>
        <v>#N/A</v>
      </c>
      <c r="F878" t="e">
        <f>NA()</f>
        <v>#N/A</v>
      </c>
      <c r="G878" t="e">
        <f>NA()</f>
        <v>#N/A</v>
      </c>
      <c r="H878" t="e">
        <f>NA()</f>
        <v>#N/A</v>
      </c>
      <c r="I878" t="e">
        <f>NA()</f>
        <v>#N/A</v>
      </c>
      <c r="J878" t="e">
        <f>NA()</f>
        <v>#N/A</v>
      </c>
      <c r="K878" t="e">
        <f>NA()</f>
        <v>#N/A</v>
      </c>
      <c r="L878" t="e">
        <f>NA()</f>
        <v>#N/A</v>
      </c>
      <c r="M878" t="e">
        <f>NA()</f>
        <v>#N/A</v>
      </c>
      <c r="N878" t="e">
        <f>NA()</f>
        <v>#N/A</v>
      </c>
      <c r="O878">
        <f t="shared" si="32"/>
        <v>0.8</v>
      </c>
    </row>
    <row r="879" spans="1:15" x14ac:dyDescent="0.25">
      <c r="A879" s="1">
        <v>44718</v>
      </c>
      <c r="B879" t="e">
        <f>NA()</f>
        <v>#N/A</v>
      </c>
      <c r="C879" t="e">
        <f>NA()</f>
        <v>#N/A</v>
      </c>
      <c r="D879" t="e">
        <f>NA()</f>
        <v>#N/A</v>
      </c>
      <c r="E879" t="e">
        <f>NA()</f>
        <v>#N/A</v>
      </c>
      <c r="F879" t="e">
        <f>NA()</f>
        <v>#N/A</v>
      </c>
      <c r="G879" t="e">
        <f>NA()</f>
        <v>#N/A</v>
      </c>
      <c r="H879" t="e">
        <f>NA()</f>
        <v>#N/A</v>
      </c>
      <c r="I879" t="e">
        <f>NA()</f>
        <v>#N/A</v>
      </c>
      <c r="J879" t="e">
        <f>NA()</f>
        <v>#N/A</v>
      </c>
      <c r="K879" t="e">
        <f>NA()</f>
        <v>#N/A</v>
      </c>
      <c r="L879" t="e">
        <f>NA()</f>
        <v>#N/A</v>
      </c>
      <c r="M879" t="e">
        <f>NA()</f>
        <v>#N/A</v>
      </c>
      <c r="N879" t="e">
        <f>NA()</f>
        <v>#N/A</v>
      </c>
      <c r="O879">
        <f t="shared" si="32"/>
        <v>0.8</v>
      </c>
    </row>
    <row r="880" spans="1:15" x14ac:dyDescent="0.25">
      <c r="A880" s="1">
        <v>44715</v>
      </c>
      <c r="B880">
        <f>-0.2</f>
        <v>-0.2</v>
      </c>
      <c r="C880">
        <f>0</f>
        <v>0</v>
      </c>
      <c r="D880" t="e">
        <f>NA()</f>
        <v>#N/A</v>
      </c>
      <c r="E880" t="e">
        <f>NA()</f>
        <v>#N/A</v>
      </c>
      <c r="F880" t="e">
        <f>NA()</f>
        <v>#N/A</v>
      </c>
      <c r="G880" t="e">
        <f>NA()</f>
        <v>#N/A</v>
      </c>
      <c r="H880" t="e">
        <f>NA()</f>
        <v>#N/A</v>
      </c>
      <c r="I880" t="e">
        <f>NA()</f>
        <v>#N/A</v>
      </c>
      <c r="J880" t="e">
        <f>NA()</f>
        <v>#N/A</v>
      </c>
      <c r="K880" t="e">
        <f>NA()</f>
        <v>#N/A</v>
      </c>
      <c r="L880" t="e">
        <f>NA()</f>
        <v>#N/A</v>
      </c>
      <c r="M880" t="e">
        <f>NA()</f>
        <v>#N/A</v>
      </c>
      <c r="N880" t="e">
        <f>NA()</f>
        <v>#N/A</v>
      </c>
      <c r="O880">
        <f t="shared" si="32"/>
        <v>0.8</v>
      </c>
    </row>
    <row r="881" spans="1:15" x14ac:dyDescent="0.25">
      <c r="A881" s="1">
        <v>44714</v>
      </c>
      <c r="B881" t="e">
        <f>NA()</f>
        <v>#N/A</v>
      </c>
      <c r="C881" t="e">
        <f>NA()</f>
        <v>#N/A</v>
      </c>
      <c r="D881" t="e">
        <f>NA()</f>
        <v>#N/A</v>
      </c>
      <c r="E881" t="e">
        <f>NA()</f>
        <v>#N/A</v>
      </c>
      <c r="F881" t="e">
        <f>NA()</f>
        <v>#N/A</v>
      </c>
      <c r="G881" t="e">
        <f>NA()</f>
        <v>#N/A</v>
      </c>
      <c r="H881" t="e">
        <f>NA()</f>
        <v>#N/A</v>
      </c>
      <c r="I881" t="e">
        <f>NA()</f>
        <v>#N/A</v>
      </c>
      <c r="J881" t="e">
        <f>NA()</f>
        <v>#N/A</v>
      </c>
      <c r="K881" t="e">
        <f>NA()</f>
        <v>#N/A</v>
      </c>
      <c r="L881" t="e">
        <f>NA()</f>
        <v>#N/A</v>
      </c>
      <c r="M881" t="e">
        <f>NA()</f>
        <v>#N/A</v>
      </c>
      <c r="N881" t="e">
        <f>NA()</f>
        <v>#N/A</v>
      </c>
      <c r="O881">
        <f t="shared" si="32"/>
        <v>0.8</v>
      </c>
    </row>
    <row r="882" spans="1:15" x14ac:dyDescent="0.25">
      <c r="A882" s="1">
        <v>44713</v>
      </c>
      <c r="B882" t="e">
        <f>NA()</f>
        <v>#N/A</v>
      </c>
      <c r="C882" t="e">
        <f>NA()</f>
        <v>#N/A</v>
      </c>
      <c r="D882" t="e">
        <f>NA()</f>
        <v>#N/A</v>
      </c>
      <c r="E882" t="e">
        <f>NA()</f>
        <v>#N/A</v>
      </c>
      <c r="F882" t="e">
        <f>NA()</f>
        <v>#N/A</v>
      </c>
      <c r="G882" t="e">
        <f>NA()</f>
        <v>#N/A</v>
      </c>
      <c r="H882" t="e">
        <f>NA()</f>
        <v>#N/A</v>
      </c>
      <c r="I882" t="e">
        <f>NA()</f>
        <v>#N/A</v>
      </c>
      <c r="J882" t="e">
        <f>NA()</f>
        <v>#N/A</v>
      </c>
      <c r="K882" t="e">
        <f>NA()</f>
        <v>#N/A</v>
      </c>
      <c r="L882" t="e">
        <f>NA()</f>
        <v>#N/A</v>
      </c>
      <c r="M882" t="e">
        <f>NA()</f>
        <v>#N/A</v>
      </c>
      <c r="N882" t="e">
        <f>NA()</f>
        <v>#N/A</v>
      </c>
      <c r="O882">
        <f t="shared" si="32"/>
        <v>0.8</v>
      </c>
    </row>
    <row r="883" spans="1:15" x14ac:dyDescent="0.25">
      <c r="A883" s="1">
        <v>44712</v>
      </c>
      <c r="B883" t="e">
        <f>NA()</f>
        <v>#N/A</v>
      </c>
      <c r="C883" t="e">
        <f>NA()</f>
        <v>#N/A</v>
      </c>
      <c r="D883">
        <f>0.4</f>
        <v>0.4</v>
      </c>
      <c r="E883">
        <f>-2.7</f>
        <v>-2.7</v>
      </c>
      <c r="F883">
        <f>11483</f>
        <v>11483</v>
      </c>
      <c r="G883">
        <f>62.3</f>
        <v>62.3</v>
      </c>
      <c r="H883">
        <f>10</f>
        <v>10</v>
      </c>
      <c r="I883">
        <f>292.3</f>
        <v>292.3</v>
      </c>
      <c r="J883">
        <f>8.6</f>
        <v>8.6</v>
      </c>
      <c r="K883">
        <f>55.9</f>
        <v>55.9</v>
      </c>
      <c r="L883">
        <f>0.1</f>
        <v>0.1</v>
      </c>
      <c r="M883" t="e">
        <f>NA()</f>
        <v>#N/A</v>
      </c>
      <c r="N883">
        <f>3.6</f>
        <v>3.6</v>
      </c>
      <c r="O883">
        <f t="shared" si="32"/>
        <v>0.8</v>
      </c>
    </row>
    <row r="884" spans="1:15" x14ac:dyDescent="0.25">
      <c r="A884" s="1">
        <v>44708</v>
      </c>
      <c r="B884">
        <f>0.3</f>
        <v>0.3</v>
      </c>
      <c r="C884">
        <f>0</f>
        <v>0</v>
      </c>
      <c r="D884" t="e">
        <f>NA()</f>
        <v>#N/A</v>
      </c>
      <c r="E884" t="e">
        <f>NA()</f>
        <v>#N/A</v>
      </c>
      <c r="F884" t="e">
        <f>NA()</f>
        <v>#N/A</v>
      </c>
      <c r="G884" t="e">
        <f>NA()</f>
        <v>#N/A</v>
      </c>
      <c r="H884" t="e">
        <f>NA()</f>
        <v>#N/A</v>
      </c>
      <c r="I884" t="e">
        <f>NA()</f>
        <v>#N/A</v>
      </c>
      <c r="J884" t="e">
        <f>NA()</f>
        <v>#N/A</v>
      </c>
      <c r="K884" t="e">
        <f>NA()</f>
        <v>#N/A</v>
      </c>
      <c r="L884" t="e">
        <f>NA()</f>
        <v>#N/A</v>
      </c>
      <c r="M884" t="e">
        <f>NA()</f>
        <v>#N/A</v>
      </c>
      <c r="N884" t="e">
        <f>NA()</f>
        <v>#N/A</v>
      </c>
      <c r="O884">
        <f t="shared" si="32"/>
        <v>0.8</v>
      </c>
    </row>
    <row r="885" spans="1:15" x14ac:dyDescent="0.25">
      <c r="A885" s="1">
        <v>44707</v>
      </c>
      <c r="B885" t="e">
        <f>NA()</f>
        <v>#N/A</v>
      </c>
      <c r="C885" t="e">
        <f>NA()</f>
        <v>#N/A</v>
      </c>
      <c r="D885" t="e">
        <f>NA()</f>
        <v>#N/A</v>
      </c>
      <c r="E885" t="e">
        <f>NA()</f>
        <v>#N/A</v>
      </c>
      <c r="F885" t="e">
        <f>NA()</f>
        <v>#N/A</v>
      </c>
      <c r="G885" t="e">
        <f>NA()</f>
        <v>#N/A</v>
      </c>
      <c r="H885" t="e">
        <f>NA()</f>
        <v>#N/A</v>
      </c>
      <c r="I885" t="e">
        <f>NA()</f>
        <v>#N/A</v>
      </c>
      <c r="J885" t="e">
        <f>NA()</f>
        <v>#N/A</v>
      </c>
      <c r="K885" t="e">
        <f>NA()</f>
        <v>#N/A</v>
      </c>
      <c r="L885" t="e">
        <f>NA()</f>
        <v>#N/A</v>
      </c>
      <c r="M885" t="e">
        <f>NA()</f>
        <v>#N/A</v>
      </c>
      <c r="N885" t="e">
        <f>NA()</f>
        <v>#N/A</v>
      </c>
      <c r="O885">
        <f t="shared" si="32"/>
        <v>0.8</v>
      </c>
    </row>
    <row r="886" spans="1:15" x14ac:dyDescent="0.25">
      <c r="A886" s="1">
        <v>44706</v>
      </c>
      <c r="B886" t="e">
        <f>NA()</f>
        <v>#N/A</v>
      </c>
      <c r="C886" t="e">
        <f>NA()</f>
        <v>#N/A</v>
      </c>
      <c r="D886" t="e">
        <f>NA()</f>
        <v>#N/A</v>
      </c>
      <c r="E886" t="e">
        <f>NA()</f>
        <v>#N/A</v>
      </c>
      <c r="F886" t="e">
        <f>NA()</f>
        <v>#N/A</v>
      </c>
      <c r="G886" t="e">
        <f>NA()</f>
        <v>#N/A</v>
      </c>
      <c r="H886" t="e">
        <f>NA()</f>
        <v>#N/A</v>
      </c>
      <c r="I886" t="e">
        <f>NA()</f>
        <v>#N/A</v>
      </c>
      <c r="J886" t="e">
        <f>NA()</f>
        <v>#N/A</v>
      </c>
      <c r="K886" t="e">
        <f>NA()</f>
        <v>#N/A</v>
      </c>
      <c r="L886" t="e">
        <f>NA()</f>
        <v>#N/A</v>
      </c>
      <c r="M886" t="e">
        <f>NA()</f>
        <v>#N/A</v>
      </c>
      <c r="N886" t="e">
        <f>NA()</f>
        <v>#N/A</v>
      </c>
      <c r="O886">
        <f t="shared" si="32"/>
        <v>0.8</v>
      </c>
    </row>
    <row r="887" spans="1:15" x14ac:dyDescent="0.25">
      <c r="A887" s="1">
        <v>44705</v>
      </c>
      <c r="B887" t="e">
        <f>NA()</f>
        <v>#N/A</v>
      </c>
      <c r="C887" t="e">
        <f>NA()</f>
        <v>#N/A</v>
      </c>
      <c r="D887" t="e">
        <f>NA()</f>
        <v>#N/A</v>
      </c>
      <c r="E887" t="e">
        <f>NA()</f>
        <v>#N/A</v>
      </c>
      <c r="F887" t="e">
        <f>NA()</f>
        <v>#N/A</v>
      </c>
      <c r="G887" t="e">
        <f>NA()</f>
        <v>#N/A</v>
      </c>
      <c r="H887" t="e">
        <f>NA()</f>
        <v>#N/A</v>
      </c>
      <c r="I887" t="e">
        <f>NA()</f>
        <v>#N/A</v>
      </c>
      <c r="J887" t="e">
        <f>NA()</f>
        <v>#N/A</v>
      </c>
      <c r="K887" t="e">
        <f>NA()</f>
        <v>#N/A</v>
      </c>
      <c r="L887" t="e">
        <f>NA()</f>
        <v>#N/A</v>
      </c>
      <c r="M887" t="e">
        <f>NA()</f>
        <v>#N/A</v>
      </c>
      <c r="N887" t="e">
        <f>NA()</f>
        <v>#N/A</v>
      </c>
      <c r="O887">
        <f t="shared" si="32"/>
        <v>0.8</v>
      </c>
    </row>
    <row r="888" spans="1:15" x14ac:dyDescent="0.25">
      <c r="A888" s="1">
        <v>44704</v>
      </c>
      <c r="B888" t="e">
        <f>NA()</f>
        <v>#N/A</v>
      </c>
      <c r="C888" t="e">
        <f>NA()</f>
        <v>#N/A</v>
      </c>
      <c r="D888" t="e">
        <f>NA()</f>
        <v>#N/A</v>
      </c>
      <c r="E888" t="e">
        <f>NA()</f>
        <v>#N/A</v>
      </c>
      <c r="F888" t="e">
        <f>NA()</f>
        <v>#N/A</v>
      </c>
      <c r="G888" t="e">
        <f>NA()</f>
        <v>#N/A</v>
      </c>
      <c r="H888" t="e">
        <f>NA()</f>
        <v>#N/A</v>
      </c>
      <c r="I888" t="e">
        <f>NA()</f>
        <v>#N/A</v>
      </c>
      <c r="J888" t="e">
        <f>NA()</f>
        <v>#N/A</v>
      </c>
      <c r="K888" t="e">
        <f>NA()</f>
        <v>#N/A</v>
      </c>
      <c r="L888" t="e">
        <f>NA()</f>
        <v>#N/A</v>
      </c>
      <c r="M888" t="e">
        <f>NA()</f>
        <v>#N/A</v>
      </c>
      <c r="N888" t="e">
        <f>NA()</f>
        <v>#N/A</v>
      </c>
      <c r="O888">
        <f t="shared" si="32"/>
        <v>0.8</v>
      </c>
    </row>
    <row r="889" spans="1:15" x14ac:dyDescent="0.25">
      <c r="A889" s="1">
        <v>44701</v>
      </c>
      <c r="B889">
        <f>0.3</f>
        <v>0.3</v>
      </c>
      <c r="C889">
        <f>0</f>
        <v>0</v>
      </c>
      <c r="D889" t="e">
        <f>NA()</f>
        <v>#N/A</v>
      </c>
      <c r="E889" t="e">
        <f>NA()</f>
        <v>#N/A</v>
      </c>
      <c r="F889" t="e">
        <f>NA()</f>
        <v>#N/A</v>
      </c>
      <c r="G889" t="e">
        <f>NA()</f>
        <v>#N/A</v>
      </c>
      <c r="H889" t="e">
        <f>NA()</f>
        <v>#N/A</v>
      </c>
      <c r="I889" t="e">
        <f>NA()</f>
        <v>#N/A</v>
      </c>
      <c r="J889" t="e">
        <f>NA()</f>
        <v>#N/A</v>
      </c>
      <c r="K889" t="e">
        <f>NA()</f>
        <v>#N/A</v>
      </c>
      <c r="L889" t="e">
        <f>NA()</f>
        <v>#N/A</v>
      </c>
      <c r="M889" t="e">
        <f>NA()</f>
        <v>#N/A</v>
      </c>
      <c r="N889" t="e">
        <f>NA()</f>
        <v>#N/A</v>
      </c>
      <c r="O889">
        <f t="shared" si="32"/>
        <v>0.8</v>
      </c>
    </row>
    <row r="890" spans="1:15" x14ac:dyDescent="0.25">
      <c r="A890" s="1">
        <v>44700</v>
      </c>
      <c r="B890" t="e">
        <f>NA()</f>
        <v>#N/A</v>
      </c>
      <c r="C890" t="e">
        <f>NA()</f>
        <v>#N/A</v>
      </c>
      <c r="D890" t="e">
        <f>NA()</f>
        <v>#N/A</v>
      </c>
      <c r="E890" t="e">
        <f>NA()</f>
        <v>#N/A</v>
      </c>
      <c r="F890" t="e">
        <f>NA()</f>
        <v>#N/A</v>
      </c>
      <c r="G890" t="e">
        <f>NA()</f>
        <v>#N/A</v>
      </c>
      <c r="H890" t="e">
        <f>NA()</f>
        <v>#N/A</v>
      </c>
      <c r="I890" t="e">
        <f>NA()</f>
        <v>#N/A</v>
      </c>
      <c r="J890" t="e">
        <f>NA()</f>
        <v>#N/A</v>
      </c>
      <c r="K890" t="e">
        <f>NA()</f>
        <v>#N/A</v>
      </c>
      <c r="L890" t="e">
        <f>NA()</f>
        <v>#N/A</v>
      </c>
      <c r="M890" t="e">
        <f>NA()</f>
        <v>#N/A</v>
      </c>
      <c r="N890" t="e">
        <f>NA()</f>
        <v>#N/A</v>
      </c>
      <c r="O890">
        <f t="shared" si="32"/>
        <v>0.8</v>
      </c>
    </row>
    <row r="891" spans="1:15" x14ac:dyDescent="0.25">
      <c r="A891" s="1">
        <v>44699</v>
      </c>
      <c r="B891" t="e">
        <f>NA()</f>
        <v>#N/A</v>
      </c>
      <c r="C891" t="e">
        <f>NA()</f>
        <v>#N/A</v>
      </c>
      <c r="D891" t="e">
        <f>NA()</f>
        <v>#N/A</v>
      </c>
      <c r="E891" t="e">
        <f>NA()</f>
        <v>#N/A</v>
      </c>
      <c r="F891" t="e">
        <f>NA()</f>
        <v>#N/A</v>
      </c>
      <c r="G891" t="e">
        <f>NA()</f>
        <v>#N/A</v>
      </c>
      <c r="H891" t="e">
        <f>NA()</f>
        <v>#N/A</v>
      </c>
      <c r="I891" t="e">
        <f>NA()</f>
        <v>#N/A</v>
      </c>
      <c r="J891" t="e">
        <f>NA()</f>
        <v>#N/A</v>
      </c>
      <c r="K891" t="e">
        <f>NA()</f>
        <v>#N/A</v>
      </c>
      <c r="L891" t="e">
        <f>NA()</f>
        <v>#N/A</v>
      </c>
      <c r="M891" t="e">
        <f>NA()</f>
        <v>#N/A</v>
      </c>
      <c r="N891" t="e">
        <f>NA()</f>
        <v>#N/A</v>
      </c>
      <c r="O891">
        <f t="shared" si="32"/>
        <v>0.8</v>
      </c>
    </row>
    <row r="892" spans="1:15" x14ac:dyDescent="0.25">
      <c r="A892" s="1">
        <v>44698</v>
      </c>
      <c r="B892" t="e">
        <f>NA()</f>
        <v>#N/A</v>
      </c>
      <c r="C892" t="e">
        <f>NA()</f>
        <v>#N/A</v>
      </c>
      <c r="D892" t="e">
        <f>NA()</f>
        <v>#N/A</v>
      </c>
      <c r="E892" t="e">
        <f>NA()</f>
        <v>#N/A</v>
      </c>
      <c r="F892" t="e">
        <f>NA()</f>
        <v>#N/A</v>
      </c>
      <c r="G892" t="e">
        <f>NA()</f>
        <v>#N/A</v>
      </c>
      <c r="H892" t="e">
        <f>NA()</f>
        <v>#N/A</v>
      </c>
      <c r="I892" t="e">
        <f>NA()</f>
        <v>#N/A</v>
      </c>
      <c r="J892" t="e">
        <f>NA()</f>
        <v>#N/A</v>
      </c>
      <c r="K892" t="e">
        <f>NA()</f>
        <v>#N/A</v>
      </c>
      <c r="L892" t="e">
        <f>NA()</f>
        <v>#N/A</v>
      </c>
      <c r="M892" t="e">
        <f>NA()</f>
        <v>#N/A</v>
      </c>
      <c r="N892" t="e">
        <f>NA()</f>
        <v>#N/A</v>
      </c>
      <c r="O892">
        <f t="shared" si="32"/>
        <v>0.8</v>
      </c>
    </row>
    <row r="893" spans="1:15" x14ac:dyDescent="0.25">
      <c r="A893" s="1">
        <v>44697</v>
      </c>
      <c r="B893" t="e">
        <f>NA()</f>
        <v>#N/A</v>
      </c>
      <c r="C893" t="e">
        <f>NA()</f>
        <v>#N/A</v>
      </c>
      <c r="D893" t="e">
        <f>NA()</f>
        <v>#N/A</v>
      </c>
      <c r="E893" t="e">
        <f>NA()</f>
        <v>#N/A</v>
      </c>
      <c r="F893" t="e">
        <f>NA()</f>
        <v>#N/A</v>
      </c>
      <c r="G893" t="e">
        <f>NA()</f>
        <v>#N/A</v>
      </c>
      <c r="H893" t="e">
        <f>NA()</f>
        <v>#N/A</v>
      </c>
      <c r="I893" t="e">
        <f>NA()</f>
        <v>#N/A</v>
      </c>
      <c r="J893" t="e">
        <f>NA()</f>
        <v>#N/A</v>
      </c>
      <c r="K893" t="e">
        <f>NA()</f>
        <v>#N/A</v>
      </c>
      <c r="L893" t="e">
        <f>NA()</f>
        <v>#N/A</v>
      </c>
      <c r="M893" t="e">
        <f>NA()</f>
        <v>#N/A</v>
      </c>
      <c r="N893" t="e">
        <f>NA()</f>
        <v>#N/A</v>
      </c>
      <c r="O893">
        <f t="shared" si="32"/>
        <v>0.8</v>
      </c>
    </row>
    <row r="894" spans="1:15" x14ac:dyDescent="0.25">
      <c r="A894" s="1">
        <v>44694</v>
      </c>
      <c r="B894">
        <f>0.5</f>
        <v>0.5</v>
      </c>
      <c r="C894">
        <f>0</f>
        <v>0</v>
      </c>
      <c r="D894" t="e">
        <f>NA()</f>
        <v>#N/A</v>
      </c>
      <c r="E894" t="e">
        <f>NA()</f>
        <v>#N/A</v>
      </c>
      <c r="F894" t="e">
        <f>NA()</f>
        <v>#N/A</v>
      </c>
      <c r="G894" t="e">
        <f>NA()</f>
        <v>#N/A</v>
      </c>
      <c r="H894" t="e">
        <f>NA()</f>
        <v>#N/A</v>
      </c>
      <c r="I894" t="e">
        <f>NA()</f>
        <v>#N/A</v>
      </c>
      <c r="J894" t="e">
        <f>NA()</f>
        <v>#N/A</v>
      </c>
      <c r="K894" t="e">
        <f>NA()</f>
        <v>#N/A</v>
      </c>
      <c r="L894" t="e">
        <f>NA()</f>
        <v>#N/A</v>
      </c>
      <c r="M894" t="e">
        <f>NA()</f>
        <v>#N/A</v>
      </c>
      <c r="N894" t="e">
        <f>NA()</f>
        <v>#N/A</v>
      </c>
      <c r="O894">
        <f t="shared" si="32"/>
        <v>0.8</v>
      </c>
    </row>
    <row r="895" spans="1:15" x14ac:dyDescent="0.25">
      <c r="A895" s="1">
        <v>44693</v>
      </c>
      <c r="B895" t="e">
        <f>NA()</f>
        <v>#N/A</v>
      </c>
      <c r="C895" t="e">
        <f>NA()</f>
        <v>#N/A</v>
      </c>
      <c r="D895" t="e">
        <f>NA()</f>
        <v>#N/A</v>
      </c>
      <c r="E895" t="e">
        <f>NA()</f>
        <v>#N/A</v>
      </c>
      <c r="F895" t="e">
        <f>NA()</f>
        <v>#N/A</v>
      </c>
      <c r="G895" t="e">
        <f>NA()</f>
        <v>#N/A</v>
      </c>
      <c r="H895" t="e">
        <f>NA()</f>
        <v>#N/A</v>
      </c>
      <c r="I895" t="e">
        <f>NA()</f>
        <v>#N/A</v>
      </c>
      <c r="J895" t="e">
        <f>NA()</f>
        <v>#N/A</v>
      </c>
      <c r="K895" t="e">
        <f>NA()</f>
        <v>#N/A</v>
      </c>
      <c r="L895" t="e">
        <f>NA()</f>
        <v>#N/A</v>
      </c>
      <c r="M895" t="e">
        <f>NA()</f>
        <v>#N/A</v>
      </c>
      <c r="N895" t="e">
        <f>NA()</f>
        <v>#N/A</v>
      </c>
      <c r="O895">
        <f t="shared" si="32"/>
        <v>0.8</v>
      </c>
    </row>
    <row r="896" spans="1:15" x14ac:dyDescent="0.25">
      <c r="A896" s="1">
        <v>44692</v>
      </c>
      <c r="B896" t="e">
        <f>NA()</f>
        <v>#N/A</v>
      </c>
      <c r="C896" t="e">
        <f>NA()</f>
        <v>#N/A</v>
      </c>
      <c r="D896" t="e">
        <f>NA()</f>
        <v>#N/A</v>
      </c>
      <c r="E896" t="e">
        <f>NA()</f>
        <v>#N/A</v>
      </c>
      <c r="F896" t="e">
        <f>NA()</f>
        <v>#N/A</v>
      </c>
      <c r="G896" t="e">
        <f>NA()</f>
        <v>#N/A</v>
      </c>
      <c r="H896" t="e">
        <f>NA()</f>
        <v>#N/A</v>
      </c>
      <c r="I896" t="e">
        <f>NA()</f>
        <v>#N/A</v>
      </c>
      <c r="J896" t="e">
        <f>NA()</f>
        <v>#N/A</v>
      </c>
      <c r="K896" t="e">
        <f>NA()</f>
        <v>#N/A</v>
      </c>
      <c r="L896" t="e">
        <f>NA()</f>
        <v>#N/A</v>
      </c>
      <c r="M896" t="e">
        <f>NA()</f>
        <v>#N/A</v>
      </c>
      <c r="N896" t="e">
        <f>NA()</f>
        <v>#N/A</v>
      </c>
      <c r="O896">
        <f t="shared" si="32"/>
        <v>0.8</v>
      </c>
    </row>
    <row r="897" spans="1:15" x14ac:dyDescent="0.25">
      <c r="A897" s="1">
        <v>44691</v>
      </c>
      <c r="B897" t="e">
        <f>NA()</f>
        <v>#N/A</v>
      </c>
      <c r="C897" t="e">
        <f>NA()</f>
        <v>#N/A</v>
      </c>
      <c r="D897" t="e">
        <f>NA()</f>
        <v>#N/A</v>
      </c>
      <c r="E897" t="e">
        <f>NA()</f>
        <v>#N/A</v>
      </c>
      <c r="F897" t="e">
        <f>NA()</f>
        <v>#N/A</v>
      </c>
      <c r="G897" t="e">
        <f>NA()</f>
        <v>#N/A</v>
      </c>
      <c r="H897" t="e">
        <f>NA()</f>
        <v>#N/A</v>
      </c>
      <c r="I897" t="e">
        <f>NA()</f>
        <v>#N/A</v>
      </c>
      <c r="J897" t="e">
        <f>NA()</f>
        <v>#N/A</v>
      </c>
      <c r="K897" t="e">
        <f>NA()</f>
        <v>#N/A</v>
      </c>
      <c r="L897" t="e">
        <f>NA()</f>
        <v>#N/A</v>
      </c>
      <c r="M897" t="e">
        <f>NA()</f>
        <v>#N/A</v>
      </c>
      <c r="N897" t="e">
        <f>NA()</f>
        <v>#N/A</v>
      </c>
      <c r="O897">
        <f t="shared" si="32"/>
        <v>0.8</v>
      </c>
    </row>
    <row r="898" spans="1:15" x14ac:dyDescent="0.25">
      <c r="A898" s="1">
        <v>44690</v>
      </c>
      <c r="B898" t="e">
        <f>NA()</f>
        <v>#N/A</v>
      </c>
      <c r="C898" t="e">
        <f>NA()</f>
        <v>#N/A</v>
      </c>
      <c r="D898" t="e">
        <f>NA()</f>
        <v>#N/A</v>
      </c>
      <c r="E898" t="e">
        <f>NA()</f>
        <v>#N/A</v>
      </c>
      <c r="F898" t="e">
        <f>NA()</f>
        <v>#N/A</v>
      </c>
      <c r="G898" t="e">
        <f>NA()</f>
        <v>#N/A</v>
      </c>
      <c r="H898" t="e">
        <f>NA()</f>
        <v>#N/A</v>
      </c>
      <c r="I898" t="e">
        <f>NA()</f>
        <v>#N/A</v>
      </c>
      <c r="J898" t="e">
        <f>NA()</f>
        <v>#N/A</v>
      </c>
      <c r="K898" t="e">
        <f>NA()</f>
        <v>#N/A</v>
      </c>
      <c r="L898" t="e">
        <f>NA()</f>
        <v>#N/A</v>
      </c>
      <c r="M898" t="e">
        <f>NA()</f>
        <v>#N/A</v>
      </c>
      <c r="N898" t="e">
        <f>NA()</f>
        <v>#N/A</v>
      </c>
      <c r="O898">
        <f t="shared" si="32"/>
        <v>0.8</v>
      </c>
    </row>
    <row r="899" spans="1:15" x14ac:dyDescent="0.25">
      <c r="A899" s="1">
        <v>44687</v>
      </c>
      <c r="B899">
        <f>0.2</f>
        <v>0.2</v>
      </c>
      <c r="C899">
        <f>0</f>
        <v>0</v>
      </c>
      <c r="D899" t="e">
        <f>NA()</f>
        <v>#N/A</v>
      </c>
      <c r="E899" t="e">
        <f>NA()</f>
        <v>#N/A</v>
      </c>
      <c r="F899" t="e">
        <f>NA()</f>
        <v>#N/A</v>
      </c>
      <c r="G899" t="e">
        <f>NA()</f>
        <v>#N/A</v>
      </c>
      <c r="H899" t="e">
        <f>NA()</f>
        <v>#N/A</v>
      </c>
      <c r="I899" t="e">
        <f>NA()</f>
        <v>#N/A</v>
      </c>
      <c r="J899" t="e">
        <f>NA()</f>
        <v>#N/A</v>
      </c>
      <c r="K899" t="e">
        <f>NA()</f>
        <v>#N/A</v>
      </c>
      <c r="L899" t="e">
        <f>NA()</f>
        <v>#N/A</v>
      </c>
      <c r="M899" t="e">
        <f>NA()</f>
        <v>#N/A</v>
      </c>
      <c r="N899" t="e">
        <f>NA()</f>
        <v>#N/A</v>
      </c>
      <c r="O899">
        <f t="shared" si="32"/>
        <v>0.8</v>
      </c>
    </row>
    <row r="900" spans="1:15" x14ac:dyDescent="0.25">
      <c r="A900" s="1">
        <v>44686</v>
      </c>
      <c r="B900" t="e">
        <f>NA()</f>
        <v>#N/A</v>
      </c>
      <c r="C900" t="e">
        <f>NA()</f>
        <v>#N/A</v>
      </c>
      <c r="D900" t="e">
        <f>NA()</f>
        <v>#N/A</v>
      </c>
      <c r="E900" t="e">
        <f>NA()</f>
        <v>#N/A</v>
      </c>
      <c r="F900" t="e">
        <f>NA()</f>
        <v>#N/A</v>
      </c>
      <c r="G900" t="e">
        <f>NA()</f>
        <v>#N/A</v>
      </c>
      <c r="H900" t="e">
        <f>NA()</f>
        <v>#N/A</v>
      </c>
      <c r="I900" t="e">
        <f>NA()</f>
        <v>#N/A</v>
      </c>
      <c r="J900" t="e">
        <f>NA()</f>
        <v>#N/A</v>
      </c>
      <c r="K900" t="e">
        <f>NA()</f>
        <v>#N/A</v>
      </c>
      <c r="L900" t="e">
        <f>NA()</f>
        <v>#N/A</v>
      </c>
      <c r="M900" t="e">
        <f>NA()</f>
        <v>#N/A</v>
      </c>
      <c r="N900" t="e">
        <f>NA()</f>
        <v>#N/A</v>
      </c>
      <c r="O900">
        <f t="shared" si="32"/>
        <v>0.8</v>
      </c>
    </row>
    <row r="901" spans="1:15" x14ac:dyDescent="0.25">
      <c r="A901" s="1">
        <v>44685</v>
      </c>
      <c r="B901" t="e">
        <f>NA()</f>
        <v>#N/A</v>
      </c>
      <c r="C901" t="e">
        <f>NA()</f>
        <v>#N/A</v>
      </c>
      <c r="D901" t="e">
        <f>NA()</f>
        <v>#N/A</v>
      </c>
      <c r="E901" t="e">
        <f>NA()</f>
        <v>#N/A</v>
      </c>
      <c r="F901" t="e">
        <f>NA()</f>
        <v>#N/A</v>
      </c>
      <c r="G901" t="e">
        <f>NA()</f>
        <v>#N/A</v>
      </c>
      <c r="H901" t="e">
        <f>NA()</f>
        <v>#N/A</v>
      </c>
      <c r="I901" t="e">
        <f>NA()</f>
        <v>#N/A</v>
      </c>
      <c r="J901" t="e">
        <f>NA()</f>
        <v>#N/A</v>
      </c>
      <c r="K901" t="e">
        <f>NA()</f>
        <v>#N/A</v>
      </c>
      <c r="L901" t="e">
        <f>NA()</f>
        <v>#N/A</v>
      </c>
      <c r="M901" t="e">
        <f>NA()</f>
        <v>#N/A</v>
      </c>
      <c r="N901" t="e">
        <f>NA()</f>
        <v>#N/A</v>
      </c>
      <c r="O901">
        <f>0.3</f>
        <v>0.3</v>
      </c>
    </row>
    <row r="902" spans="1:15" x14ac:dyDescent="0.25">
      <c r="A902" s="1">
        <v>44684</v>
      </c>
      <c r="B902" t="e">
        <f>NA()</f>
        <v>#N/A</v>
      </c>
      <c r="C902" t="e">
        <f>NA()</f>
        <v>#N/A</v>
      </c>
      <c r="D902" t="e">
        <f>NA()</f>
        <v>#N/A</v>
      </c>
      <c r="E902" t="e">
        <f>NA()</f>
        <v>#N/A</v>
      </c>
      <c r="F902" t="e">
        <f>NA()</f>
        <v>#N/A</v>
      </c>
      <c r="G902" t="e">
        <f>NA()</f>
        <v>#N/A</v>
      </c>
      <c r="H902" t="e">
        <f>NA()</f>
        <v>#N/A</v>
      </c>
      <c r="I902" t="e">
        <f>NA()</f>
        <v>#N/A</v>
      </c>
      <c r="J902" t="e">
        <f>NA()</f>
        <v>#N/A</v>
      </c>
      <c r="K902" t="e">
        <f>NA()</f>
        <v>#N/A</v>
      </c>
      <c r="L902" t="e">
        <f>NA()</f>
        <v>#N/A</v>
      </c>
      <c r="M902" t="e">
        <f>NA()</f>
        <v>#N/A</v>
      </c>
      <c r="N902" t="e">
        <f>NA()</f>
        <v>#N/A</v>
      </c>
      <c r="O902">
        <f>0.3</f>
        <v>0.3</v>
      </c>
    </row>
    <row r="903" spans="1:15" x14ac:dyDescent="0.25">
      <c r="A903" s="1">
        <v>44683</v>
      </c>
      <c r="B903" t="e">
        <f>NA()</f>
        <v>#N/A</v>
      </c>
      <c r="C903" t="e">
        <f>NA()</f>
        <v>#N/A</v>
      </c>
      <c r="D903" t="e">
        <f>NA()</f>
        <v>#N/A</v>
      </c>
      <c r="E903" t="e">
        <f>NA()</f>
        <v>#N/A</v>
      </c>
      <c r="F903" t="e">
        <f>NA()</f>
        <v>#N/A</v>
      </c>
      <c r="G903" t="e">
        <f>NA()</f>
        <v>#N/A</v>
      </c>
      <c r="H903" t="e">
        <f>NA()</f>
        <v>#N/A</v>
      </c>
      <c r="I903" t="e">
        <f>NA()</f>
        <v>#N/A</v>
      </c>
      <c r="J903" t="e">
        <f>NA()</f>
        <v>#N/A</v>
      </c>
      <c r="K903" t="e">
        <f>NA()</f>
        <v>#N/A</v>
      </c>
      <c r="L903" t="e">
        <f>NA()</f>
        <v>#N/A</v>
      </c>
      <c r="M903" t="e">
        <f>NA()</f>
        <v>#N/A</v>
      </c>
      <c r="N903" t="e">
        <f>NA()</f>
        <v>#N/A</v>
      </c>
      <c r="O903">
        <f>0.3</f>
        <v>0.3</v>
      </c>
    </row>
    <row r="904" spans="1:15" x14ac:dyDescent="0.25">
      <c r="A904" s="1">
        <v>44681</v>
      </c>
      <c r="B904" t="e">
        <f>NA()</f>
        <v>#N/A</v>
      </c>
      <c r="C904" t="e">
        <f>NA()</f>
        <v>#N/A</v>
      </c>
      <c r="D904">
        <f>0.4</f>
        <v>0.4</v>
      </c>
      <c r="E904">
        <f>-2.4</f>
        <v>-2.4</v>
      </c>
      <c r="F904">
        <f>11881</f>
        <v>11881</v>
      </c>
      <c r="G904">
        <f>62.2</f>
        <v>62.2</v>
      </c>
      <c r="H904">
        <f>9.9</f>
        <v>9.9</v>
      </c>
      <c r="I904">
        <f>289.1</f>
        <v>289.10000000000002</v>
      </c>
      <c r="J904">
        <f>8.3</f>
        <v>8.3000000000000007</v>
      </c>
      <c r="K904">
        <f>55.3</f>
        <v>55.3</v>
      </c>
      <c r="L904">
        <f>0.2</f>
        <v>0.2</v>
      </c>
      <c r="M904" t="e">
        <f>NA()</f>
        <v>#N/A</v>
      </c>
      <c r="N904">
        <f>3.7</f>
        <v>3.7</v>
      </c>
      <c r="O904" t="e">
        <f>NA()</f>
        <v>#N/A</v>
      </c>
    </row>
    <row r="905" spans="1:15" x14ac:dyDescent="0.25">
      <c r="A905" s="1">
        <v>44680</v>
      </c>
      <c r="B905">
        <f>0.2</f>
        <v>0.2</v>
      </c>
      <c r="C905">
        <f>0</f>
        <v>0</v>
      </c>
      <c r="D905" t="e">
        <f>NA()</f>
        <v>#N/A</v>
      </c>
      <c r="E905" t="e">
        <f>NA()</f>
        <v>#N/A</v>
      </c>
      <c r="F905" t="e">
        <f>NA()</f>
        <v>#N/A</v>
      </c>
      <c r="G905" t="e">
        <f>NA()</f>
        <v>#N/A</v>
      </c>
      <c r="H905" t="e">
        <f>NA()</f>
        <v>#N/A</v>
      </c>
      <c r="I905" t="e">
        <f>NA()</f>
        <v>#N/A</v>
      </c>
      <c r="J905" t="e">
        <f>NA()</f>
        <v>#N/A</v>
      </c>
      <c r="K905" t="e">
        <f>NA()</f>
        <v>#N/A</v>
      </c>
      <c r="L905" t="e">
        <f>NA()</f>
        <v>#N/A</v>
      </c>
      <c r="M905" t="e">
        <f>NA()</f>
        <v>#N/A</v>
      </c>
      <c r="N905" t="e">
        <f>NA()</f>
        <v>#N/A</v>
      </c>
      <c r="O905">
        <f t="shared" ref="O905:O936" si="33">0.3</f>
        <v>0.3</v>
      </c>
    </row>
    <row r="906" spans="1:15" x14ac:dyDescent="0.25">
      <c r="A906" s="1">
        <v>44679</v>
      </c>
      <c r="B906" t="e">
        <f>NA()</f>
        <v>#N/A</v>
      </c>
      <c r="C906" t="e">
        <f>NA()</f>
        <v>#N/A</v>
      </c>
      <c r="D906" t="e">
        <f>NA()</f>
        <v>#N/A</v>
      </c>
      <c r="E906" t="e">
        <f>NA()</f>
        <v>#N/A</v>
      </c>
      <c r="F906" t="e">
        <f>NA()</f>
        <v>#N/A</v>
      </c>
      <c r="G906" t="e">
        <f>NA()</f>
        <v>#N/A</v>
      </c>
      <c r="H906" t="e">
        <f>NA()</f>
        <v>#N/A</v>
      </c>
      <c r="I906" t="e">
        <f>NA()</f>
        <v>#N/A</v>
      </c>
      <c r="J906" t="e">
        <f>NA()</f>
        <v>#N/A</v>
      </c>
      <c r="K906" t="e">
        <f>NA()</f>
        <v>#N/A</v>
      </c>
      <c r="L906" t="e">
        <f>NA()</f>
        <v>#N/A</v>
      </c>
      <c r="M906" t="e">
        <f>NA()</f>
        <v>#N/A</v>
      </c>
      <c r="N906" t="e">
        <f>NA()</f>
        <v>#N/A</v>
      </c>
      <c r="O906">
        <f t="shared" si="33"/>
        <v>0.3</v>
      </c>
    </row>
    <row r="907" spans="1:15" x14ac:dyDescent="0.25">
      <c r="A907" s="1">
        <v>44678</v>
      </c>
      <c r="B907" t="e">
        <f>NA()</f>
        <v>#N/A</v>
      </c>
      <c r="C907" t="e">
        <f>NA()</f>
        <v>#N/A</v>
      </c>
      <c r="D907" t="e">
        <f>NA()</f>
        <v>#N/A</v>
      </c>
      <c r="E907" t="e">
        <f>NA()</f>
        <v>#N/A</v>
      </c>
      <c r="F907" t="e">
        <f>NA()</f>
        <v>#N/A</v>
      </c>
      <c r="G907" t="e">
        <f>NA()</f>
        <v>#N/A</v>
      </c>
      <c r="H907" t="e">
        <f>NA()</f>
        <v>#N/A</v>
      </c>
      <c r="I907" t="e">
        <f>NA()</f>
        <v>#N/A</v>
      </c>
      <c r="J907" t="e">
        <f>NA()</f>
        <v>#N/A</v>
      </c>
      <c r="K907" t="e">
        <f>NA()</f>
        <v>#N/A</v>
      </c>
      <c r="L907" t="e">
        <f>NA()</f>
        <v>#N/A</v>
      </c>
      <c r="M907" t="e">
        <f>NA()</f>
        <v>#N/A</v>
      </c>
      <c r="N907" t="e">
        <f>NA()</f>
        <v>#N/A</v>
      </c>
      <c r="O907">
        <f t="shared" si="33"/>
        <v>0.3</v>
      </c>
    </row>
    <row r="908" spans="1:15" x14ac:dyDescent="0.25">
      <c r="A908" s="1">
        <v>44677</v>
      </c>
      <c r="B908" t="e">
        <f>NA()</f>
        <v>#N/A</v>
      </c>
      <c r="C908" t="e">
        <f>NA()</f>
        <v>#N/A</v>
      </c>
      <c r="D908" t="e">
        <f>NA()</f>
        <v>#N/A</v>
      </c>
      <c r="E908" t="e">
        <f>NA()</f>
        <v>#N/A</v>
      </c>
      <c r="F908" t="e">
        <f>NA()</f>
        <v>#N/A</v>
      </c>
      <c r="G908" t="e">
        <f>NA()</f>
        <v>#N/A</v>
      </c>
      <c r="H908" t="e">
        <f>NA()</f>
        <v>#N/A</v>
      </c>
      <c r="I908" t="e">
        <f>NA()</f>
        <v>#N/A</v>
      </c>
      <c r="J908" t="e">
        <f>NA()</f>
        <v>#N/A</v>
      </c>
      <c r="K908" t="e">
        <f>NA()</f>
        <v>#N/A</v>
      </c>
      <c r="L908" t="e">
        <f>NA()</f>
        <v>#N/A</v>
      </c>
      <c r="M908" t="e">
        <f>NA()</f>
        <v>#N/A</v>
      </c>
      <c r="N908" t="e">
        <f>NA()</f>
        <v>#N/A</v>
      </c>
      <c r="O908">
        <f t="shared" si="33"/>
        <v>0.3</v>
      </c>
    </row>
    <row r="909" spans="1:15" x14ac:dyDescent="0.25">
      <c r="A909" s="1">
        <v>44676</v>
      </c>
      <c r="B909" t="e">
        <f>NA()</f>
        <v>#N/A</v>
      </c>
      <c r="C909" t="e">
        <f>NA()</f>
        <v>#N/A</v>
      </c>
      <c r="D909" t="e">
        <f>NA()</f>
        <v>#N/A</v>
      </c>
      <c r="E909" t="e">
        <f>NA()</f>
        <v>#N/A</v>
      </c>
      <c r="F909" t="e">
        <f>NA()</f>
        <v>#N/A</v>
      </c>
      <c r="G909" t="e">
        <f>NA()</f>
        <v>#N/A</v>
      </c>
      <c r="H909" t="e">
        <f>NA()</f>
        <v>#N/A</v>
      </c>
      <c r="I909" t="e">
        <f>NA()</f>
        <v>#N/A</v>
      </c>
      <c r="J909" t="e">
        <f>NA()</f>
        <v>#N/A</v>
      </c>
      <c r="K909" t="e">
        <f>NA()</f>
        <v>#N/A</v>
      </c>
      <c r="L909" t="e">
        <f>NA()</f>
        <v>#N/A</v>
      </c>
      <c r="M909" t="e">
        <f>NA()</f>
        <v>#N/A</v>
      </c>
      <c r="N909" t="e">
        <f>NA()</f>
        <v>#N/A</v>
      </c>
      <c r="O909">
        <f t="shared" si="33"/>
        <v>0.3</v>
      </c>
    </row>
    <row r="910" spans="1:15" x14ac:dyDescent="0.25">
      <c r="A910" s="1">
        <v>44673</v>
      </c>
      <c r="B910">
        <f>-0.4</f>
        <v>-0.4</v>
      </c>
      <c r="C910">
        <f>0</f>
        <v>0</v>
      </c>
      <c r="D910" t="e">
        <f>NA()</f>
        <v>#N/A</v>
      </c>
      <c r="E910" t="e">
        <f>NA()</f>
        <v>#N/A</v>
      </c>
      <c r="F910" t="e">
        <f>NA()</f>
        <v>#N/A</v>
      </c>
      <c r="G910" t="e">
        <f>NA()</f>
        <v>#N/A</v>
      </c>
      <c r="H910" t="e">
        <f>NA()</f>
        <v>#N/A</v>
      </c>
      <c r="I910" t="e">
        <f>NA()</f>
        <v>#N/A</v>
      </c>
      <c r="J910" t="e">
        <f>NA()</f>
        <v>#N/A</v>
      </c>
      <c r="K910" t="e">
        <f>NA()</f>
        <v>#N/A</v>
      </c>
      <c r="L910" t="e">
        <f>NA()</f>
        <v>#N/A</v>
      </c>
      <c r="M910" t="e">
        <f>NA()</f>
        <v>#N/A</v>
      </c>
      <c r="N910" t="e">
        <f>NA()</f>
        <v>#N/A</v>
      </c>
      <c r="O910">
        <f t="shared" si="33"/>
        <v>0.3</v>
      </c>
    </row>
    <row r="911" spans="1:15" x14ac:dyDescent="0.25">
      <c r="A911" s="1">
        <v>44672</v>
      </c>
      <c r="B911" t="e">
        <f>NA()</f>
        <v>#N/A</v>
      </c>
      <c r="C911" t="e">
        <f>NA()</f>
        <v>#N/A</v>
      </c>
      <c r="D911" t="e">
        <f>NA()</f>
        <v>#N/A</v>
      </c>
      <c r="E911" t="e">
        <f>NA()</f>
        <v>#N/A</v>
      </c>
      <c r="F911" t="e">
        <f>NA()</f>
        <v>#N/A</v>
      </c>
      <c r="G911" t="e">
        <f>NA()</f>
        <v>#N/A</v>
      </c>
      <c r="H911" t="e">
        <f>NA()</f>
        <v>#N/A</v>
      </c>
      <c r="I911" t="e">
        <f>NA()</f>
        <v>#N/A</v>
      </c>
      <c r="J911" t="e">
        <f>NA()</f>
        <v>#N/A</v>
      </c>
      <c r="K911" t="e">
        <f>NA()</f>
        <v>#N/A</v>
      </c>
      <c r="L911" t="e">
        <f>NA()</f>
        <v>#N/A</v>
      </c>
      <c r="M911" t="e">
        <f>NA()</f>
        <v>#N/A</v>
      </c>
      <c r="N911" t="e">
        <f>NA()</f>
        <v>#N/A</v>
      </c>
      <c r="O911">
        <f t="shared" si="33"/>
        <v>0.3</v>
      </c>
    </row>
    <row r="912" spans="1:15" x14ac:dyDescent="0.25">
      <c r="A912" s="1">
        <v>44671</v>
      </c>
      <c r="B912" t="e">
        <f>NA()</f>
        <v>#N/A</v>
      </c>
      <c r="C912" t="e">
        <f>NA()</f>
        <v>#N/A</v>
      </c>
      <c r="D912" t="e">
        <f>NA()</f>
        <v>#N/A</v>
      </c>
      <c r="E912" t="e">
        <f>NA()</f>
        <v>#N/A</v>
      </c>
      <c r="F912" t="e">
        <f>NA()</f>
        <v>#N/A</v>
      </c>
      <c r="G912" t="e">
        <f>NA()</f>
        <v>#N/A</v>
      </c>
      <c r="H912" t="e">
        <f>NA()</f>
        <v>#N/A</v>
      </c>
      <c r="I912" t="e">
        <f>NA()</f>
        <v>#N/A</v>
      </c>
      <c r="J912" t="e">
        <f>NA()</f>
        <v>#N/A</v>
      </c>
      <c r="K912" t="e">
        <f>NA()</f>
        <v>#N/A</v>
      </c>
      <c r="L912" t="e">
        <f>NA()</f>
        <v>#N/A</v>
      </c>
      <c r="M912" t="e">
        <f>NA()</f>
        <v>#N/A</v>
      </c>
      <c r="N912" t="e">
        <f>NA()</f>
        <v>#N/A</v>
      </c>
      <c r="O912">
        <f t="shared" si="33"/>
        <v>0.3</v>
      </c>
    </row>
    <row r="913" spans="1:15" x14ac:dyDescent="0.25">
      <c r="A913" s="1">
        <v>44670</v>
      </c>
      <c r="B913" t="e">
        <f>NA()</f>
        <v>#N/A</v>
      </c>
      <c r="C913" t="e">
        <f>NA()</f>
        <v>#N/A</v>
      </c>
      <c r="D913" t="e">
        <f>NA()</f>
        <v>#N/A</v>
      </c>
      <c r="E913" t="e">
        <f>NA()</f>
        <v>#N/A</v>
      </c>
      <c r="F913" t="e">
        <f>NA()</f>
        <v>#N/A</v>
      </c>
      <c r="G913" t="e">
        <f>NA()</f>
        <v>#N/A</v>
      </c>
      <c r="H913" t="e">
        <f>NA()</f>
        <v>#N/A</v>
      </c>
      <c r="I913" t="e">
        <f>NA()</f>
        <v>#N/A</v>
      </c>
      <c r="J913" t="e">
        <f>NA()</f>
        <v>#N/A</v>
      </c>
      <c r="K913" t="e">
        <f>NA()</f>
        <v>#N/A</v>
      </c>
      <c r="L913" t="e">
        <f>NA()</f>
        <v>#N/A</v>
      </c>
      <c r="M913" t="e">
        <f>NA()</f>
        <v>#N/A</v>
      </c>
      <c r="N913" t="e">
        <f>NA()</f>
        <v>#N/A</v>
      </c>
      <c r="O913">
        <f t="shared" si="33"/>
        <v>0.3</v>
      </c>
    </row>
    <row r="914" spans="1:15" x14ac:dyDescent="0.25">
      <c r="A914" s="1">
        <v>44669</v>
      </c>
      <c r="B914" t="e">
        <f>NA()</f>
        <v>#N/A</v>
      </c>
      <c r="C914" t="e">
        <f>NA()</f>
        <v>#N/A</v>
      </c>
      <c r="D914" t="e">
        <f>NA()</f>
        <v>#N/A</v>
      </c>
      <c r="E914" t="e">
        <f>NA()</f>
        <v>#N/A</v>
      </c>
      <c r="F914" t="e">
        <f>NA()</f>
        <v>#N/A</v>
      </c>
      <c r="G914" t="e">
        <f>NA()</f>
        <v>#N/A</v>
      </c>
      <c r="H914" t="e">
        <f>NA()</f>
        <v>#N/A</v>
      </c>
      <c r="I914" t="e">
        <f>NA()</f>
        <v>#N/A</v>
      </c>
      <c r="J914" t="e">
        <f>NA()</f>
        <v>#N/A</v>
      </c>
      <c r="K914" t="e">
        <f>NA()</f>
        <v>#N/A</v>
      </c>
      <c r="L914" t="e">
        <f>NA()</f>
        <v>#N/A</v>
      </c>
      <c r="M914" t="e">
        <f>NA()</f>
        <v>#N/A</v>
      </c>
      <c r="N914" t="e">
        <f>NA()</f>
        <v>#N/A</v>
      </c>
      <c r="O914">
        <f t="shared" si="33"/>
        <v>0.3</v>
      </c>
    </row>
    <row r="915" spans="1:15" x14ac:dyDescent="0.25">
      <c r="A915" s="1">
        <v>44666</v>
      </c>
      <c r="B915">
        <f>-0.3</f>
        <v>-0.3</v>
      </c>
      <c r="C915">
        <f>0</f>
        <v>0</v>
      </c>
      <c r="D915" t="e">
        <f>NA()</f>
        <v>#N/A</v>
      </c>
      <c r="E915" t="e">
        <f>NA()</f>
        <v>#N/A</v>
      </c>
      <c r="F915" t="e">
        <f>NA()</f>
        <v>#N/A</v>
      </c>
      <c r="G915" t="e">
        <f>NA()</f>
        <v>#N/A</v>
      </c>
      <c r="H915" t="e">
        <f>NA()</f>
        <v>#N/A</v>
      </c>
      <c r="I915" t="e">
        <f>NA()</f>
        <v>#N/A</v>
      </c>
      <c r="J915" t="e">
        <f>NA()</f>
        <v>#N/A</v>
      </c>
      <c r="K915" t="e">
        <f>NA()</f>
        <v>#N/A</v>
      </c>
      <c r="L915" t="e">
        <f>NA()</f>
        <v>#N/A</v>
      </c>
      <c r="M915" t="e">
        <f>NA()</f>
        <v>#N/A</v>
      </c>
      <c r="N915" t="e">
        <f>NA()</f>
        <v>#N/A</v>
      </c>
      <c r="O915">
        <f t="shared" si="33"/>
        <v>0.3</v>
      </c>
    </row>
    <row r="916" spans="1:15" x14ac:dyDescent="0.25">
      <c r="A916" s="1">
        <v>44665</v>
      </c>
      <c r="B916" t="e">
        <f>NA()</f>
        <v>#N/A</v>
      </c>
      <c r="C916" t="e">
        <f>NA()</f>
        <v>#N/A</v>
      </c>
      <c r="D916" t="e">
        <f>NA()</f>
        <v>#N/A</v>
      </c>
      <c r="E916" t="e">
        <f>NA()</f>
        <v>#N/A</v>
      </c>
      <c r="F916" t="e">
        <f>NA()</f>
        <v>#N/A</v>
      </c>
      <c r="G916" t="e">
        <f>NA()</f>
        <v>#N/A</v>
      </c>
      <c r="H916" t="e">
        <f>NA()</f>
        <v>#N/A</v>
      </c>
      <c r="I916" t="e">
        <f>NA()</f>
        <v>#N/A</v>
      </c>
      <c r="J916" t="e">
        <f>NA()</f>
        <v>#N/A</v>
      </c>
      <c r="K916" t="e">
        <f>NA()</f>
        <v>#N/A</v>
      </c>
      <c r="L916" t="e">
        <f>NA()</f>
        <v>#N/A</v>
      </c>
      <c r="M916" t="e">
        <f>NA()</f>
        <v>#N/A</v>
      </c>
      <c r="N916" t="e">
        <f>NA()</f>
        <v>#N/A</v>
      </c>
      <c r="O916">
        <f t="shared" si="33"/>
        <v>0.3</v>
      </c>
    </row>
    <row r="917" spans="1:15" x14ac:dyDescent="0.25">
      <c r="A917" s="1">
        <v>44664</v>
      </c>
      <c r="B917" t="e">
        <f>NA()</f>
        <v>#N/A</v>
      </c>
      <c r="C917" t="e">
        <f>NA()</f>
        <v>#N/A</v>
      </c>
      <c r="D917" t="e">
        <f>NA()</f>
        <v>#N/A</v>
      </c>
      <c r="E917" t="e">
        <f>NA()</f>
        <v>#N/A</v>
      </c>
      <c r="F917" t="e">
        <f>NA()</f>
        <v>#N/A</v>
      </c>
      <c r="G917" t="e">
        <f>NA()</f>
        <v>#N/A</v>
      </c>
      <c r="H917" t="e">
        <f>NA()</f>
        <v>#N/A</v>
      </c>
      <c r="I917" t="e">
        <f>NA()</f>
        <v>#N/A</v>
      </c>
      <c r="J917" t="e">
        <f>NA()</f>
        <v>#N/A</v>
      </c>
      <c r="K917" t="e">
        <f>NA()</f>
        <v>#N/A</v>
      </c>
      <c r="L917" t="e">
        <f>NA()</f>
        <v>#N/A</v>
      </c>
      <c r="M917" t="e">
        <f>NA()</f>
        <v>#N/A</v>
      </c>
      <c r="N917" t="e">
        <f>NA()</f>
        <v>#N/A</v>
      </c>
      <c r="O917">
        <f t="shared" si="33"/>
        <v>0.3</v>
      </c>
    </row>
    <row r="918" spans="1:15" x14ac:dyDescent="0.25">
      <c r="A918" s="1">
        <v>44663</v>
      </c>
      <c r="B918" t="e">
        <f>NA()</f>
        <v>#N/A</v>
      </c>
      <c r="C918" t="e">
        <f>NA()</f>
        <v>#N/A</v>
      </c>
      <c r="D918" t="e">
        <f>NA()</f>
        <v>#N/A</v>
      </c>
      <c r="E918" t="e">
        <f>NA()</f>
        <v>#N/A</v>
      </c>
      <c r="F918" t="e">
        <f>NA()</f>
        <v>#N/A</v>
      </c>
      <c r="G918" t="e">
        <f>NA()</f>
        <v>#N/A</v>
      </c>
      <c r="H918" t="e">
        <f>NA()</f>
        <v>#N/A</v>
      </c>
      <c r="I918" t="e">
        <f>NA()</f>
        <v>#N/A</v>
      </c>
      <c r="J918" t="e">
        <f>NA()</f>
        <v>#N/A</v>
      </c>
      <c r="K918" t="e">
        <f>NA()</f>
        <v>#N/A</v>
      </c>
      <c r="L918" t="e">
        <f>NA()</f>
        <v>#N/A</v>
      </c>
      <c r="M918" t="e">
        <f>NA()</f>
        <v>#N/A</v>
      </c>
      <c r="N918" t="e">
        <f>NA()</f>
        <v>#N/A</v>
      </c>
      <c r="O918">
        <f t="shared" si="33"/>
        <v>0.3</v>
      </c>
    </row>
    <row r="919" spans="1:15" x14ac:dyDescent="0.25">
      <c r="A919" s="1">
        <v>44662</v>
      </c>
      <c r="B919" t="e">
        <f>NA()</f>
        <v>#N/A</v>
      </c>
      <c r="C919" t="e">
        <f>NA()</f>
        <v>#N/A</v>
      </c>
      <c r="D919" t="e">
        <f>NA()</f>
        <v>#N/A</v>
      </c>
      <c r="E919" t="e">
        <f>NA()</f>
        <v>#N/A</v>
      </c>
      <c r="F919" t="e">
        <f>NA()</f>
        <v>#N/A</v>
      </c>
      <c r="G919" t="e">
        <f>NA()</f>
        <v>#N/A</v>
      </c>
      <c r="H919" t="e">
        <f>NA()</f>
        <v>#N/A</v>
      </c>
      <c r="I919" t="e">
        <f>NA()</f>
        <v>#N/A</v>
      </c>
      <c r="J919" t="e">
        <f>NA()</f>
        <v>#N/A</v>
      </c>
      <c r="K919" t="e">
        <f>NA()</f>
        <v>#N/A</v>
      </c>
      <c r="L919" t="e">
        <f>NA()</f>
        <v>#N/A</v>
      </c>
      <c r="M919" t="e">
        <f>NA()</f>
        <v>#N/A</v>
      </c>
      <c r="N919" t="e">
        <f>NA()</f>
        <v>#N/A</v>
      </c>
      <c r="O919">
        <f t="shared" si="33"/>
        <v>0.3</v>
      </c>
    </row>
    <row r="920" spans="1:15" x14ac:dyDescent="0.25">
      <c r="A920" s="1">
        <v>44659</v>
      </c>
      <c r="B920">
        <f>-0.4</f>
        <v>-0.4</v>
      </c>
      <c r="C920">
        <f>0</f>
        <v>0</v>
      </c>
      <c r="D920" t="e">
        <f>NA()</f>
        <v>#N/A</v>
      </c>
      <c r="E920" t="e">
        <f>NA()</f>
        <v>#N/A</v>
      </c>
      <c r="F920" t="e">
        <f>NA()</f>
        <v>#N/A</v>
      </c>
      <c r="G920" t="e">
        <f>NA()</f>
        <v>#N/A</v>
      </c>
      <c r="H920" t="e">
        <f>NA()</f>
        <v>#N/A</v>
      </c>
      <c r="I920" t="e">
        <f>NA()</f>
        <v>#N/A</v>
      </c>
      <c r="J920" t="e">
        <f>NA()</f>
        <v>#N/A</v>
      </c>
      <c r="K920" t="e">
        <f>NA()</f>
        <v>#N/A</v>
      </c>
      <c r="L920" t="e">
        <f>NA()</f>
        <v>#N/A</v>
      </c>
      <c r="M920" t="e">
        <f>NA()</f>
        <v>#N/A</v>
      </c>
      <c r="N920" t="e">
        <f>NA()</f>
        <v>#N/A</v>
      </c>
      <c r="O920">
        <f t="shared" si="33"/>
        <v>0.3</v>
      </c>
    </row>
    <row r="921" spans="1:15" x14ac:dyDescent="0.25">
      <c r="A921" s="1">
        <v>44658</v>
      </c>
      <c r="B921" t="e">
        <f>NA()</f>
        <v>#N/A</v>
      </c>
      <c r="C921" t="e">
        <f>NA()</f>
        <v>#N/A</v>
      </c>
      <c r="D921" t="e">
        <f>NA()</f>
        <v>#N/A</v>
      </c>
      <c r="E921" t="e">
        <f>NA()</f>
        <v>#N/A</v>
      </c>
      <c r="F921" t="e">
        <f>NA()</f>
        <v>#N/A</v>
      </c>
      <c r="G921" t="e">
        <f>NA()</f>
        <v>#N/A</v>
      </c>
      <c r="H921" t="e">
        <f>NA()</f>
        <v>#N/A</v>
      </c>
      <c r="I921" t="e">
        <f>NA()</f>
        <v>#N/A</v>
      </c>
      <c r="J921" t="e">
        <f>NA()</f>
        <v>#N/A</v>
      </c>
      <c r="K921" t="e">
        <f>NA()</f>
        <v>#N/A</v>
      </c>
      <c r="L921" t="e">
        <f>NA()</f>
        <v>#N/A</v>
      </c>
      <c r="M921" t="e">
        <f>NA()</f>
        <v>#N/A</v>
      </c>
      <c r="N921" t="e">
        <f>NA()</f>
        <v>#N/A</v>
      </c>
      <c r="O921">
        <f t="shared" si="33"/>
        <v>0.3</v>
      </c>
    </row>
    <row r="922" spans="1:15" x14ac:dyDescent="0.25">
      <c r="A922" s="1">
        <v>44657</v>
      </c>
      <c r="B922" t="e">
        <f>NA()</f>
        <v>#N/A</v>
      </c>
      <c r="C922" t="e">
        <f>NA()</f>
        <v>#N/A</v>
      </c>
      <c r="D922" t="e">
        <f>NA()</f>
        <v>#N/A</v>
      </c>
      <c r="E922" t="e">
        <f>NA()</f>
        <v>#N/A</v>
      </c>
      <c r="F922" t="e">
        <f>NA()</f>
        <v>#N/A</v>
      </c>
      <c r="G922" t="e">
        <f>NA()</f>
        <v>#N/A</v>
      </c>
      <c r="H922" t="e">
        <f>NA()</f>
        <v>#N/A</v>
      </c>
      <c r="I922" t="e">
        <f>NA()</f>
        <v>#N/A</v>
      </c>
      <c r="J922" t="e">
        <f>NA()</f>
        <v>#N/A</v>
      </c>
      <c r="K922" t="e">
        <f>NA()</f>
        <v>#N/A</v>
      </c>
      <c r="L922" t="e">
        <f>NA()</f>
        <v>#N/A</v>
      </c>
      <c r="M922" t="e">
        <f>NA()</f>
        <v>#N/A</v>
      </c>
      <c r="N922" t="e">
        <f>NA()</f>
        <v>#N/A</v>
      </c>
      <c r="O922">
        <f t="shared" si="33"/>
        <v>0.3</v>
      </c>
    </row>
    <row r="923" spans="1:15" x14ac:dyDescent="0.25">
      <c r="A923" s="1">
        <v>44656</v>
      </c>
      <c r="B923" t="e">
        <f>NA()</f>
        <v>#N/A</v>
      </c>
      <c r="C923" t="e">
        <f>NA()</f>
        <v>#N/A</v>
      </c>
      <c r="D923" t="e">
        <f>NA()</f>
        <v>#N/A</v>
      </c>
      <c r="E923" t="e">
        <f>NA()</f>
        <v>#N/A</v>
      </c>
      <c r="F923" t="e">
        <f>NA()</f>
        <v>#N/A</v>
      </c>
      <c r="G923" t="e">
        <f>NA()</f>
        <v>#N/A</v>
      </c>
      <c r="H923" t="e">
        <f>NA()</f>
        <v>#N/A</v>
      </c>
      <c r="I923" t="e">
        <f>NA()</f>
        <v>#N/A</v>
      </c>
      <c r="J923" t="e">
        <f>NA()</f>
        <v>#N/A</v>
      </c>
      <c r="K923" t="e">
        <f>NA()</f>
        <v>#N/A</v>
      </c>
      <c r="L923" t="e">
        <f>NA()</f>
        <v>#N/A</v>
      </c>
      <c r="M923" t="e">
        <f>NA()</f>
        <v>#N/A</v>
      </c>
      <c r="N923" t="e">
        <f>NA()</f>
        <v>#N/A</v>
      </c>
      <c r="O923">
        <f t="shared" si="33"/>
        <v>0.3</v>
      </c>
    </row>
    <row r="924" spans="1:15" x14ac:dyDescent="0.25">
      <c r="A924" s="1">
        <v>44655</v>
      </c>
      <c r="B924" t="e">
        <f>NA()</f>
        <v>#N/A</v>
      </c>
      <c r="C924" t="e">
        <f>NA()</f>
        <v>#N/A</v>
      </c>
      <c r="D924" t="e">
        <f>NA()</f>
        <v>#N/A</v>
      </c>
      <c r="E924" t="e">
        <f>NA()</f>
        <v>#N/A</v>
      </c>
      <c r="F924" t="e">
        <f>NA()</f>
        <v>#N/A</v>
      </c>
      <c r="G924" t="e">
        <f>NA()</f>
        <v>#N/A</v>
      </c>
      <c r="H924" t="e">
        <f>NA()</f>
        <v>#N/A</v>
      </c>
      <c r="I924" t="e">
        <f>NA()</f>
        <v>#N/A</v>
      </c>
      <c r="J924" t="e">
        <f>NA()</f>
        <v>#N/A</v>
      </c>
      <c r="K924" t="e">
        <f>NA()</f>
        <v>#N/A</v>
      </c>
      <c r="L924" t="e">
        <f>NA()</f>
        <v>#N/A</v>
      </c>
      <c r="M924" t="e">
        <f>NA()</f>
        <v>#N/A</v>
      </c>
      <c r="N924" t="e">
        <f>NA()</f>
        <v>#N/A</v>
      </c>
      <c r="O924">
        <f t="shared" si="33"/>
        <v>0.3</v>
      </c>
    </row>
    <row r="925" spans="1:15" x14ac:dyDescent="0.25">
      <c r="A925" s="1">
        <v>44652</v>
      </c>
      <c r="B925">
        <f>-0.5</f>
        <v>-0.5</v>
      </c>
      <c r="C925">
        <f>0</f>
        <v>0</v>
      </c>
      <c r="D925" t="e">
        <f>NA()</f>
        <v>#N/A</v>
      </c>
      <c r="E925" t="e">
        <f>NA()</f>
        <v>#N/A</v>
      </c>
      <c r="F925" t="e">
        <f>NA()</f>
        <v>#N/A</v>
      </c>
      <c r="G925" t="e">
        <f>NA()</f>
        <v>#N/A</v>
      </c>
      <c r="H925" t="e">
        <f>NA()</f>
        <v>#N/A</v>
      </c>
      <c r="I925" t="e">
        <f>NA()</f>
        <v>#N/A</v>
      </c>
      <c r="J925" t="e">
        <f>NA()</f>
        <v>#N/A</v>
      </c>
      <c r="K925" t="e">
        <f>NA()</f>
        <v>#N/A</v>
      </c>
      <c r="L925" t="e">
        <f>NA()</f>
        <v>#N/A</v>
      </c>
      <c r="M925" t="e">
        <f>NA()</f>
        <v>#N/A</v>
      </c>
      <c r="N925" t="e">
        <f>NA()</f>
        <v>#N/A</v>
      </c>
      <c r="O925">
        <f t="shared" si="33"/>
        <v>0.3</v>
      </c>
    </row>
    <row r="926" spans="1:15" x14ac:dyDescent="0.25">
      <c r="A926" s="1">
        <v>44651</v>
      </c>
      <c r="B926" t="e">
        <f>NA()</f>
        <v>#N/A</v>
      </c>
      <c r="C926" t="e">
        <f>NA()</f>
        <v>#N/A</v>
      </c>
      <c r="D926">
        <f>0.5</f>
        <v>0.5</v>
      </c>
      <c r="E926">
        <f>-2.4</f>
        <v>-2.4</v>
      </c>
      <c r="F926">
        <f>12134</f>
        <v>12134</v>
      </c>
      <c r="G926">
        <f>62.3</f>
        <v>62.3</v>
      </c>
      <c r="H926">
        <f>10.4</f>
        <v>10.4</v>
      </c>
      <c r="I926">
        <f>287.5</f>
        <v>287.5</v>
      </c>
      <c r="J926">
        <f>8.5</f>
        <v>8.5</v>
      </c>
      <c r="K926">
        <f>57.2</f>
        <v>57.2</v>
      </c>
      <c r="L926">
        <f>0.8</f>
        <v>0.8</v>
      </c>
      <c r="M926">
        <f>-1</f>
        <v>-1</v>
      </c>
      <c r="N926">
        <f>3.7</f>
        <v>3.7</v>
      </c>
      <c r="O926">
        <f t="shared" si="33"/>
        <v>0.3</v>
      </c>
    </row>
    <row r="927" spans="1:15" x14ac:dyDescent="0.25">
      <c r="A927" s="1">
        <v>44650</v>
      </c>
      <c r="B927" t="e">
        <f>NA()</f>
        <v>#N/A</v>
      </c>
      <c r="C927" t="e">
        <f>NA()</f>
        <v>#N/A</v>
      </c>
      <c r="D927" t="e">
        <f>NA()</f>
        <v>#N/A</v>
      </c>
      <c r="E927" t="e">
        <f>NA()</f>
        <v>#N/A</v>
      </c>
      <c r="F927" t="e">
        <f>NA()</f>
        <v>#N/A</v>
      </c>
      <c r="G927" t="e">
        <f>NA()</f>
        <v>#N/A</v>
      </c>
      <c r="H927" t="e">
        <f>NA()</f>
        <v>#N/A</v>
      </c>
      <c r="I927" t="e">
        <f>NA()</f>
        <v>#N/A</v>
      </c>
      <c r="J927" t="e">
        <f>NA()</f>
        <v>#N/A</v>
      </c>
      <c r="K927" t="e">
        <f>NA()</f>
        <v>#N/A</v>
      </c>
      <c r="L927" t="e">
        <f>NA()</f>
        <v>#N/A</v>
      </c>
      <c r="M927" t="e">
        <f>NA()</f>
        <v>#N/A</v>
      </c>
      <c r="N927" t="e">
        <f>NA()</f>
        <v>#N/A</v>
      </c>
      <c r="O927">
        <f t="shared" si="33"/>
        <v>0.3</v>
      </c>
    </row>
    <row r="928" spans="1:15" x14ac:dyDescent="0.25">
      <c r="A928" s="1">
        <v>44649</v>
      </c>
      <c r="B928" t="e">
        <f>NA()</f>
        <v>#N/A</v>
      </c>
      <c r="C928" t="e">
        <f>NA()</f>
        <v>#N/A</v>
      </c>
      <c r="D928" t="e">
        <f>NA()</f>
        <v>#N/A</v>
      </c>
      <c r="E928" t="e">
        <f>NA()</f>
        <v>#N/A</v>
      </c>
      <c r="F928" t="e">
        <f>NA()</f>
        <v>#N/A</v>
      </c>
      <c r="G928" t="e">
        <f>NA()</f>
        <v>#N/A</v>
      </c>
      <c r="H928" t="e">
        <f>NA()</f>
        <v>#N/A</v>
      </c>
      <c r="I928" t="e">
        <f>NA()</f>
        <v>#N/A</v>
      </c>
      <c r="J928" t="e">
        <f>NA()</f>
        <v>#N/A</v>
      </c>
      <c r="K928" t="e">
        <f>NA()</f>
        <v>#N/A</v>
      </c>
      <c r="L928" t="e">
        <f>NA()</f>
        <v>#N/A</v>
      </c>
      <c r="M928" t="e">
        <f>NA()</f>
        <v>#N/A</v>
      </c>
      <c r="N928" t="e">
        <f>NA()</f>
        <v>#N/A</v>
      </c>
      <c r="O928">
        <f t="shared" si="33"/>
        <v>0.3</v>
      </c>
    </row>
    <row r="929" spans="1:15" x14ac:dyDescent="0.25">
      <c r="A929" s="1">
        <v>44648</v>
      </c>
      <c r="B929" t="e">
        <f>NA()</f>
        <v>#N/A</v>
      </c>
      <c r="C929" t="e">
        <f>NA()</f>
        <v>#N/A</v>
      </c>
      <c r="D929" t="e">
        <f>NA()</f>
        <v>#N/A</v>
      </c>
      <c r="E929" t="e">
        <f>NA()</f>
        <v>#N/A</v>
      </c>
      <c r="F929" t="e">
        <f>NA()</f>
        <v>#N/A</v>
      </c>
      <c r="G929" t="e">
        <f>NA()</f>
        <v>#N/A</v>
      </c>
      <c r="H929" t="e">
        <f>NA()</f>
        <v>#N/A</v>
      </c>
      <c r="I929" t="e">
        <f>NA()</f>
        <v>#N/A</v>
      </c>
      <c r="J929" t="e">
        <f>NA()</f>
        <v>#N/A</v>
      </c>
      <c r="K929" t="e">
        <f>NA()</f>
        <v>#N/A</v>
      </c>
      <c r="L929" t="e">
        <f>NA()</f>
        <v>#N/A</v>
      </c>
      <c r="M929" t="e">
        <f>NA()</f>
        <v>#N/A</v>
      </c>
      <c r="N929" t="e">
        <f>NA()</f>
        <v>#N/A</v>
      </c>
      <c r="O929">
        <f t="shared" si="33"/>
        <v>0.3</v>
      </c>
    </row>
    <row r="930" spans="1:15" x14ac:dyDescent="0.25">
      <c r="A930" s="1">
        <v>44645</v>
      </c>
      <c r="B930">
        <f>-0.6</f>
        <v>-0.6</v>
      </c>
      <c r="C930">
        <f>0</f>
        <v>0</v>
      </c>
      <c r="D930" t="e">
        <f>NA()</f>
        <v>#N/A</v>
      </c>
      <c r="E930" t="e">
        <f>NA()</f>
        <v>#N/A</v>
      </c>
      <c r="F930" t="e">
        <f>NA()</f>
        <v>#N/A</v>
      </c>
      <c r="G930" t="e">
        <f>NA()</f>
        <v>#N/A</v>
      </c>
      <c r="H930" t="e">
        <f>NA()</f>
        <v>#N/A</v>
      </c>
      <c r="I930" t="e">
        <f>NA()</f>
        <v>#N/A</v>
      </c>
      <c r="J930" t="e">
        <f>NA()</f>
        <v>#N/A</v>
      </c>
      <c r="K930" t="e">
        <f>NA()</f>
        <v>#N/A</v>
      </c>
      <c r="L930" t="e">
        <f>NA()</f>
        <v>#N/A</v>
      </c>
      <c r="M930" t="e">
        <f>NA()</f>
        <v>#N/A</v>
      </c>
      <c r="N930" t="e">
        <f>NA()</f>
        <v>#N/A</v>
      </c>
      <c r="O930">
        <f t="shared" si="33"/>
        <v>0.3</v>
      </c>
    </row>
    <row r="931" spans="1:15" x14ac:dyDescent="0.25">
      <c r="A931" s="1">
        <v>44644</v>
      </c>
      <c r="B931" t="e">
        <f>NA()</f>
        <v>#N/A</v>
      </c>
      <c r="C931" t="e">
        <f>NA()</f>
        <v>#N/A</v>
      </c>
      <c r="D931" t="e">
        <f>NA()</f>
        <v>#N/A</v>
      </c>
      <c r="E931" t="e">
        <f>NA()</f>
        <v>#N/A</v>
      </c>
      <c r="F931" t="e">
        <f>NA()</f>
        <v>#N/A</v>
      </c>
      <c r="G931" t="e">
        <f>NA()</f>
        <v>#N/A</v>
      </c>
      <c r="H931" t="e">
        <f>NA()</f>
        <v>#N/A</v>
      </c>
      <c r="I931" t="e">
        <f>NA()</f>
        <v>#N/A</v>
      </c>
      <c r="J931" t="e">
        <f>NA()</f>
        <v>#N/A</v>
      </c>
      <c r="K931" t="e">
        <f>NA()</f>
        <v>#N/A</v>
      </c>
      <c r="L931" t="e">
        <f>NA()</f>
        <v>#N/A</v>
      </c>
      <c r="M931" t="e">
        <f>NA()</f>
        <v>#N/A</v>
      </c>
      <c r="N931" t="e">
        <f>NA()</f>
        <v>#N/A</v>
      </c>
      <c r="O931">
        <f t="shared" si="33"/>
        <v>0.3</v>
      </c>
    </row>
    <row r="932" spans="1:15" x14ac:dyDescent="0.25">
      <c r="A932" s="1">
        <v>44643</v>
      </c>
      <c r="B932" t="e">
        <f>NA()</f>
        <v>#N/A</v>
      </c>
      <c r="C932" t="e">
        <f>NA()</f>
        <v>#N/A</v>
      </c>
      <c r="D932" t="e">
        <f>NA()</f>
        <v>#N/A</v>
      </c>
      <c r="E932" t="e">
        <f>NA()</f>
        <v>#N/A</v>
      </c>
      <c r="F932" t="e">
        <f>NA()</f>
        <v>#N/A</v>
      </c>
      <c r="G932" t="e">
        <f>NA()</f>
        <v>#N/A</v>
      </c>
      <c r="H932" t="e">
        <f>NA()</f>
        <v>#N/A</v>
      </c>
      <c r="I932" t="e">
        <f>NA()</f>
        <v>#N/A</v>
      </c>
      <c r="J932" t="e">
        <f>NA()</f>
        <v>#N/A</v>
      </c>
      <c r="K932" t="e">
        <f>NA()</f>
        <v>#N/A</v>
      </c>
      <c r="L932" t="e">
        <f>NA()</f>
        <v>#N/A</v>
      </c>
      <c r="M932" t="e">
        <f>NA()</f>
        <v>#N/A</v>
      </c>
      <c r="N932" t="e">
        <f>NA()</f>
        <v>#N/A</v>
      </c>
      <c r="O932">
        <f t="shared" si="33"/>
        <v>0.3</v>
      </c>
    </row>
    <row r="933" spans="1:15" x14ac:dyDescent="0.25">
      <c r="A933" s="1">
        <v>44642</v>
      </c>
      <c r="B933" t="e">
        <f>NA()</f>
        <v>#N/A</v>
      </c>
      <c r="C933" t="e">
        <f>NA()</f>
        <v>#N/A</v>
      </c>
      <c r="D933" t="e">
        <f>NA()</f>
        <v>#N/A</v>
      </c>
      <c r="E933" t="e">
        <f>NA()</f>
        <v>#N/A</v>
      </c>
      <c r="F933" t="e">
        <f>NA()</f>
        <v>#N/A</v>
      </c>
      <c r="G933" t="e">
        <f>NA()</f>
        <v>#N/A</v>
      </c>
      <c r="H933" t="e">
        <f>NA()</f>
        <v>#N/A</v>
      </c>
      <c r="I933" t="e">
        <f>NA()</f>
        <v>#N/A</v>
      </c>
      <c r="J933" t="e">
        <f>NA()</f>
        <v>#N/A</v>
      </c>
      <c r="K933" t="e">
        <f>NA()</f>
        <v>#N/A</v>
      </c>
      <c r="L933" t="e">
        <f>NA()</f>
        <v>#N/A</v>
      </c>
      <c r="M933" t="e">
        <f>NA()</f>
        <v>#N/A</v>
      </c>
      <c r="N933" t="e">
        <f>NA()</f>
        <v>#N/A</v>
      </c>
      <c r="O933">
        <f t="shared" si="33"/>
        <v>0.3</v>
      </c>
    </row>
    <row r="934" spans="1:15" x14ac:dyDescent="0.25">
      <c r="A934" s="1">
        <v>44641</v>
      </c>
      <c r="B934" t="e">
        <f>NA()</f>
        <v>#N/A</v>
      </c>
      <c r="C934" t="e">
        <f>NA()</f>
        <v>#N/A</v>
      </c>
      <c r="D934" t="e">
        <f>NA()</f>
        <v>#N/A</v>
      </c>
      <c r="E934" t="e">
        <f>NA()</f>
        <v>#N/A</v>
      </c>
      <c r="F934" t="e">
        <f>NA()</f>
        <v>#N/A</v>
      </c>
      <c r="G934" t="e">
        <f>NA()</f>
        <v>#N/A</v>
      </c>
      <c r="H934" t="e">
        <f>NA()</f>
        <v>#N/A</v>
      </c>
      <c r="I934" t="e">
        <f>NA()</f>
        <v>#N/A</v>
      </c>
      <c r="J934" t="e">
        <f>NA()</f>
        <v>#N/A</v>
      </c>
      <c r="K934" t="e">
        <f>NA()</f>
        <v>#N/A</v>
      </c>
      <c r="L934" t="e">
        <f>NA()</f>
        <v>#N/A</v>
      </c>
      <c r="M934" t="e">
        <f>NA()</f>
        <v>#N/A</v>
      </c>
      <c r="N934" t="e">
        <f>NA()</f>
        <v>#N/A</v>
      </c>
      <c r="O934">
        <f t="shared" si="33"/>
        <v>0.3</v>
      </c>
    </row>
    <row r="935" spans="1:15" x14ac:dyDescent="0.25">
      <c r="A935" s="1">
        <v>44638</v>
      </c>
      <c r="B935">
        <f>-0.3</f>
        <v>-0.3</v>
      </c>
      <c r="C935">
        <f>0</f>
        <v>0</v>
      </c>
      <c r="D935" t="e">
        <f>NA()</f>
        <v>#N/A</v>
      </c>
      <c r="E935" t="e">
        <f>NA()</f>
        <v>#N/A</v>
      </c>
      <c r="F935" t="e">
        <f>NA()</f>
        <v>#N/A</v>
      </c>
      <c r="G935" t="e">
        <f>NA()</f>
        <v>#N/A</v>
      </c>
      <c r="H935" t="e">
        <f>NA()</f>
        <v>#N/A</v>
      </c>
      <c r="I935" t="e">
        <f>NA()</f>
        <v>#N/A</v>
      </c>
      <c r="J935" t="e">
        <f>NA()</f>
        <v>#N/A</v>
      </c>
      <c r="K935" t="e">
        <f>NA()</f>
        <v>#N/A</v>
      </c>
      <c r="L935" t="e">
        <f>NA()</f>
        <v>#N/A</v>
      </c>
      <c r="M935" t="e">
        <f>NA()</f>
        <v>#N/A</v>
      </c>
      <c r="N935" t="e">
        <f>NA()</f>
        <v>#N/A</v>
      </c>
      <c r="O935">
        <f t="shared" si="33"/>
        <v>0.3</v>
      </c>
    </row>
    <row r="936" spans="1:15" x14ac:dyDescent="0.25">
      <c r="A936" s="1">
        <v>44637</v>
      </c>
      <c r="B936" t="e">
        <f>NA()</f>
        <v>#N/A</v>
      </c>
      <c r="C936" t="e">
        <f>NA()</f>
        <v>#N/A</v>
      </c>
      <c r="D936" t="e">
        <f>NA()</f>
        <v>#N/A</v>
      </c>
      <c r="E936" t="e">
        <f>NA()</f>
        <v>#N/A</v>
      </c>
      <c r="F936" t="e">
        <f>NA()</f>
        <v>#N/A</v>
      </c>
      <c r="G936" t="e">
        <f>NA()</f>
        <v>#N/A</v>
      </c>
      <c r="H936" t="e">
        <f>NA()</f>
        <v>#N/A</v>
      </c>
      <c r="I936" t="e">
        <f>NA()</f>
        <v>#N/A</v>
      </c>
      <c r="J936" t="e">
        <f>NA()</f>
        <v>#N/A</v>
      </c>
      <c r="K936" t="e">
        <f>NA()</f>
        <v>#N/A</v>
      </c>
      <c r="L936" t="e">
        <f>NA()</f>
        <v>#N/A</v>
      </c>
      <c r="M936" t="e">
        <f>NA()</f>
        <v>#N/A</v>
      </c>
      <c r="N936" t="e">
        <f>NA()</f>
        <v>#N/A</v>
      </c>
      <c r="O936">
        <f t="shared" si="33"/>
        <v>0.3</v>
      </c>
    </row>
    <row r="937" spans="1:15" x14ac:dyDescent="0.25">
      <c r="A937" s="1">
        <v>44636</v>
      </c>
      <c r="B937" t="e">
        <f>NA()</f>
        <v>#N/A</v>
      </c>
      <c r="C937" t="e">
        <f>NA()</f>
        <v>#N/A</v>
      </c>
      <c r="D937" t="e">
        <f>NA()</f>
        <v>#N/A</v>
      </c>
      <c r="E937" t="e">
        <f>NA()</f>
        <v>#N/A</v>
      </c>
      <c r="F937" t="e">
        <f>NA()</f>
        <v>#N/A</v>
      </c>
      <c r="G937" t="e">
        <f>NA()</f>
        <v>#N/A</v>
      </c>
      <c r="H937" t="e">
        <f>NA()</f>
        <v>#N/A</v>
      </c>
      <c r="I937" t="e">
        <f>NA()</f>
        <v>#N/A</v>
      </c>
      <c r="J937" t="e">
        <f>NA()</f>
        <v>#N/A</v>
      </c>
      <c r="K937" t="e">
        <f>NA()</f>
        <v>#N/A</v>
      </c>
      <c r="L937" t="e">
        <f>NA()</f>
        <v>#N/A</v>
      </c>
      <c r="M937" t="e">
        <f>NA()</f>
        <v>#N/A</v>
      </c>
      <c r="N937" t="e">
        <f>NA()</f>
        <v>#N/A</v>
      </c>
      <c r="O937">
        <f t="shared" ref="O937:O968" si="34">0.1</f>
        <v>0.1</v>
      </c>
    </row>
    <row r="938" spans="1:15" x14ac:dyDescent="0.25">
      <c r="A938" s="1">
        <v>44635</v>
      </c>
      <c r="B938" t="e">
        <f>NA()</f>
        <v>#N/A</v>
      </c>
      <c r="C938" t="e">
        <f>NA()</f>
        <v>#N/A</v>
      </c>
      <c r="D938" t="e">
        <f>NA()</f>
        <v>#N/A</v>
      </c>
      <c r="E938" t="e">
        <f>NA()</f>
        <v>#N/A</v>
      </c>
      <c r="F938" t="e">
        <f>NA()</f>
        <v>#N/A</v>
      </c>
      <c r="G938" t="e">
        <f>NA()</f>
        <v>#N/A</v>
      </c>
      <c r="H938" t="e">
        <f>NA()</f>
        <v>#N/A</v>
      </c>
      <c r="I938" t="e">
        <f>NA()</f>
        <v>#N/A</v>
      </c>
      <c r="J938" t="e">
        <f>NA()</f>
        <v>#N/A</v>
      </c>
      <c r="K938" t="e">
        <f>NA()</f>
        <v>#N/A</v>
      </c>
      <c r="L938" t="e">
        <f>NA()</f>
        <v>#N/A</v>
      </c>
      <c r="M938" t="e">
        <f>NA()</f>
        <v>#N/A</v>
      </c>
      <c r="N938" t="e">
        <f>NA()</f>
        <v>#N/A</v>
      </c>
      <c r="O938">
        <f t="shared" si="34"/>
        <v>0.1</v>
      </c>
    </row>
    <row r="939" spans="1:15" x14ac:dyDescent="0.25">
      <c r="A939" s="1">
        <v>44634</v>
      </c>
      <c r="B939" t="e">
        <f>NA()</f>
        <v>#N/A</v>
      </c>
      <c r="C939" t="e">
        <f>NA()</f>
        <v>#N/A</v>
      </c>
      <c r="D939" t="e">
        <f>NA()</f>
        <v>#N/A</v>
      </c>
      <c r="E939" t="e">
        <f>NA()</f>
        <v>#N/A</v>
      </c>
      <c r="F939" t="e">
        <f>NA()</f>
        <v>#N/A</v>
      </c>
      <c r="G939" t="e">
        <f>NA()</f>
        <v>#N/A</v>
      </c>
      <c r="H939" t="e">
        <f>NA()</f>
        <v>#N/A</v>
      </c>
      <c r="I939" t="e">
        <f>NA()</f>
        <v>#N/A</v>
      </c>
      <c r="J939" t="e">
        <f>NA()</f>
        <v>#N/A</v>
      </c>
      <c r="K939" t="e">
        <f>NA()</f>
        <v>#N/A</v>
      </c>
      <c r="L939" t="e">
        <f>NA()</f>
        <v>#N/A</v>
      </c>
      <c r="M939" t="e">
        <f>NA()</f>
        <v>#N/A</v>
      </c>
      <c r="N939" t="e">
        <f>NA()</f>
        <v>#N/A</v>
      </c>
      <c r="O939">
        <f t="shared" si="34"/>
        <v>0.1</v>
      </c>
    </row>
    <row r="940" spans="1:15" x14ac:dyDescent="0.25">
      <c r="A940" s="1">
        <v>44631</v>
      </c>
      <c r="B940">
        <f>0.1</f>
        <v>0.1</v>
      </c>
      <c r="C940">
        <f>0</f>
        <v>0</v>
      </c>
      <c r="D940" t="e">
        <f>NA()</f>
        <v>#N/A</v>
      </c>
      <c r="E940" t="e">
        <f>NA()</f>
        <v>#N/A</v>
      </c>
      <c r="F940" t="e">
        <f>NA()</f>
        <v>#N/A</v>
      </c>
      <c r="G940" t="e">
        <f>NA()</f>
        <v>#N/A</v>
      </c>
      <c r="H940" t="e">
        <f>NA()</f>
        <v>#N/A</v>
      </c>
      <c r="I940" t="e">
        <f>NA()</f>
        <v>#N/A</v>
      </c>
      <c r="J940" t="e">
        <f>NA()</f>
        <v>#N/A</v>
      </c>
      <c r="K940" t="e">
        <f>NA()</f>
        <v>#N/A</v>
      </c>
      <c r="L940" t="e">
        <f>NA()</f>
        <v>#N/A</v>
      </c>
      <c r="M940" t="e">
        <f>NA()</f>
        <v>#N/A</v>
      </c>
      <c r="N940" t="e">
        <f>NA()</f>
        <v>#N/A</v>
      </c>
      <c r="O940">
        <f t="shared" si="34"/>
        <v>0.1</v>
      </c>
    </row>
    <row r="941" spans="1:15" x14ac:dyDescent="0.25">
      <c r="A941" s="1">
        <v>44630</v>
      </c>
      <c r="B941" t="e">
        <f>NA()</f>
        <v>#N/A</v>
      </c>
      <c r="C941" t="e">
        <f>NA()</f>
        <v>#N/A</v>
      </c>
      <c r="D941" t="e">
        <f>NA()</f>
        <v>#N/A</v>
      </c>
      <c r="E941" t="e">
        <f>NA()</f>
        <v>#N/A</v>
      </c>
      <c r="F941" t="e">
        <f>NA()</f>
        <v>#N/A</v>
      </c>
      <c r="G941" t="e">
        <f>NA()</f>
        <v>#N/A</v>
      </c>
      <c r="H941" t="e">
        <f>NA()</f>
        <v>#N/A</v>
      </c>
      <c r="I941" t="e">
        <f>NA()</f>
        <v>#N/A</v>
      </c>
      <c r="J941" t="e">
        <f>NA()</f>
        <v>#N/A</v>
      </c>
      <c r="K941" t="e">
        <f>NA()</f>
        <v>#N/A</v>
      </c>
      <c r="L941" t="e">
        <f>NA()</f>
        <v>#N/A</v>
      </c>
      <c r="M941" t="e">
        <f>NA()</f>
        <v>#N/A</v>
      </c>
      <c r="N941" t="e">
        <f>NA()</f>
        <v>#N/A</v>
      </c>
      <c r="O941">
        <f t="shared" si="34"/>
        <v>0.1</v>
      </c>
    </row>
    <row r="942" spans="1:15" x14ac:dyDescent="0.25">
      <c r="A942" s="1">
        <v>44629</v>
      </c>
      <c r="B942" t="e">
        <f>NA()</f>
        <v>#N/A</v>
      </c>
      <c r="C942" t="e">
        <f>NA()</f>
        <v>#N/A</v>
      </c>
      <c r="D942" t="e">
        <f>NA()</f>
        <v>#N/A</v>
      </c>
      <c r="E942" t="e">
        <f>NA()</f>
        <v>#N/A</v>
      </c>
      <c r="F942" t="e">
        <f>NA()</f>
        <v>#N/A</v>
      </c>
      <c r="G942" t="e">
        <f>NA()</f>
        <v>#N/A</v>
      </c>
      <c r="H942" t="e">
        <f>NA()</f>
        <v>#N/A</v>
      </c>
      <c r="I942" t="e">
        <f>NA()</f>
        <v>#N/A</v>
      </c>
      <c r="J942" t="e">
        <f>NA()</f>
        <v>#N/A</v>
      </c>
      <c r="K942" t="e">
        <f>NA()</f>
        <v>#N/A</v>
      </c>
      <c r="L942" t="e">
        <f>NA()</f>
        <v>#N/A</v>
      </c>
      <c r="M942" t="e">
        <f>NA()</f>
        <v>#N/A</v>
      </c>
      <c r="N942" t="e">
        <f>NA()</f>
        <v>#N/A</v>
      </c>
      <c r="O942">
        <f t="shared" si="34"/>
        <v>0.1</v>
      </c>
    </row>
    <row r="943" spans="1:15" x14ac:dyDescent="0.25">
      <c r="A943" s="1">
        <v>44628</v>
      </c>
      <c r="B943" t="e">
        <f>NA()</f>
        <v>#N/A</v>
      </c>
      <c r="C943" t="e">
        <f>NA()</f>
        <v>#N/A</v>
      </c>
      <c r="D943" t="e">
        <f>NA()</f>
        <v>#N/A</v>
      </c>
      <c r="E943" t="e">
        <f>NA()</f>
        <v>#N/A</v>
      </c>
      <c r="F943" t="e">
        <f>NA()</f>
        <v>#N/A</v>
      </c>
      <c r="G943" t="e">
        <f>NA()</f>
        <v>#N/A</v>
      </c>
      <c r="H943" t="e">
        <f>NA()</f>
        <v>#N/A</v>
      </c>
      <c r="I943" t="e">
        <f>NA()</f>
        <v>#N/A</v>
      </c>
      <c r="J943" t="e">
        <f>NA()</f>
        <v>#N/A</v>
      </c>
      <c r="K943" t="e">
        <f>NA()</f>
        <v>#N/A</v>
      </c>
      <c r="L943" t="e">
        <f>NA()</f>
        <v>#N/A</v>
      </c>
      <c r="M943" t="e">
        <f>NA()</f>
        <v>#N/A</v>
      </c>
      <c r="N943" t="e">
        <f>NA()</f>
        <v>#N/A</v>
      </c>
      <c r="O943">
        <f t="shared" si="34"/>
        <v>0.1</v>
      </c>
    </row>
    <row r="944" spans="1:15" x14ac:dyDescent="0.25">
      <c r="A944" s="1">
        <v>44627</v>
      </c>
      <c r="B944" t="e">
        <f>NA()</f>
        <v>#N/A</v>
      </c>
      <c r="C944" t="e">
        <f>NA()</f>
        <v>#N/A</v>
      </c>
      <c r="D944" t="e">
        <f>NA()</f>
        <v>#N/A</v>
      </c>
      <c r="E944" t="e">
        <f>NA()</f>
        <v>#N/A</v>
      </c>
      <c r="F944" t="e">
        <f>NA()</f>
        <v>#N/A</v>
      </c>
      <c r="G944" t="e">
        <f>NA()</f>
        <v>#N/A</v>
      </c>
      <c r="H944" t="e">
        <f>NA()</f>
        <v>#N/A</v>
      </c>
      <c r="I944" t="e">
        <f>NA()</f>
        <v>#N/A</v>
      </c>
      <c r="J944" t="e">
        <f>NA()</f>
        <v>#N/A</v>
      </c>
      <c r="K944" t="e">
        <f>NA()</f>
        <v>#N/A</v>
      </c>
      <c r="L944" t="e">
        <f>NA()</f>
        <v>#N/A</v>
      </c>
      <c r="M944" t="e">
        <f>NA()</f>
        <v>#N/A</v>
      </c>
      <c r="N944" t="e">
        <f>NA()</f>
        <v>#N/A</v>
      </c>
      <c r="O944">
        <f t="shared" si="34"/>
        <v>0.1</v>
      </c>
    </row>
    <row r="945" spans="1:15" x14ac:dyDescent="0.25">
      <c r="A945" s="1">
        <v>44624</v>
      </c>
      <c r="B945">
        <f>0.3</f>
        <v>0.3</v>
      </c>
      <c r="C945">
        <f>0</f>
        <v>0</v>
      </c>
      <c r="D945" t="e">
        <f>NA()</f>
        <v>#N/A</v>
      </c>
      <c r="E945" t="e">
        <f>NA()</f>
        <v>#N/A</v>
      </c>
      <c r="F945" t="e">
        <f>NA()</f>
        <v>#N/A</v>
      </c>
      <c r="G945" t="e">
        <f>NA()</f>
        <v>#N/A</v>
      </c>
      <c r="H945" t="e">
        <f>NA()</f>
        <v>#N/A</v>
      </c>
      <c r="I945" t="e">
        <f>NA()</f>
        <v>#N/A</v>
      </c>
      <c r="J945" t="e">
        <f>NA()</f>
        <v>#N/A</v>
      </c>
      <c r="K945" t="e">
        <f>NA()</f>
        <v>#N/A</v>
      </c>
      <c r="L945" t="e">
        <f>NA()</f>
        <v>#N/A</v>
      </c>
      <c r="M945" t="e">
        <f>NA()</f>
        <v>#N/A</v>
      </c>
      <c r="N945" t="e">
        <f>NA()</f>
        <v>#N/A</v>
      </c>
      <c r="O945">
        <f t="shared" si="34"/>
        <v>0.1</v>
      </c>
    </row>
    <row r="946" spans="1:15" x14ac:dyDescent="0.25">
      <c r="A946" s="1">
        <v>44623</v>
      </c>
      <c r="B946" t="e">
        <f>NA()</f>
        <v>#N/A</v>
      </c>
      <c r="C946" t="e">
        <f>NA()</f>
        <v>#N/A</v>
      </c>
      <c r="D946" t="e">
        <f>NA()</f>
        <v>#N/A</v>
      </c>
      <c r="E946" t="e">
        <f>NA()</f>
        <v>#N/A</v>
      </c>
      <c r="F946" t="e">
        <f>NA()</f>
        <v>#N/A</v>
      </c>
      <c r="G946" t="e">
        <f>NA()</f>
        <v>#N/A</v>
      </c>
      <c r="H946" t="e">
        <f>NA()</f>
        <v>#N/A</v>
      </c>
      <c r="I946" t="e">
        <f>NA()</f>
        <v>#N/A</v>
      </c>
      <c r="J946" t="e">
        <f>NA()</f>
        <v>#N/A</v>
      </c>
      <c r="K946" t="e">
        <f>NA()</f>
        <v>#N/A</v>
      </c>
      <c r="L946" t="e">
        <f>NA()</f>
        <v>#N/A</v>
      </c>
      <c r="M946" t="e">
        <f>NA()</f>
        <v>#N/A</v>
      </c>
      <c r="N946" t="e">
        <f>NA()</f>
        <v>#N/A</v>
      </c>
      <c r="O946">
        <f t="shared" si="34"/>
        <v>0.1</v>
      </c>
    </row>
    <row r="947" spans="1:15" x14ac:dyDescent="0.25">
      <c r="A947" s="1">
        <v>44622</v>
      </c>
      <c r="B947" t="e">
        <f>NA()</f>
        <v>#N/A</v>
      </c>
      <c r="C947" t="e">
        <f>NA()</f>
        <v>#N/A</v>
      </c>
      <c r="D947" t="e">
        <f>NA()</f>
        <v>#N/A</v>
      </c>
      <c r="E947" t="e">
        <f>NA()</f>
        <v>#N/A</v>
      </c>
      <c r="F947" t="e">
        <f>NA()</f>
        <v>#N/A</v>
      </c>
      <c r="G947" t="e">
        <f>NA()</f>
        <v>#N/A</v>
      </c>
      <c r="H947" t="e">
        <f>NA()</f>
        <v>#N/A</v>
      </c>
      <c r="I947" t="e">
        <f>NA()</f>
        <v>#N/A</v>
      </c>
      <c r="J947" t="e">
        <f>NA()</f>
        <v>#N/A</v>
      </c>
      <c r="K947" t="e">
        <f>NA()</f>
        <v>#N/A</v>
      </c>
      <c r="L947" t="e">
        <f>NA()</f>
        <v>#N/A</v>
      </c>
      <c r="M947" t="e">
        <f>NA()</f>
        <v>#N/A</v>
      </c>
      <c r="N947" t="e">
        <f>NA()</f>
        <v>#N/A</v>
      </c>
      <c r="O947">
        <f t="shared" si="34"/>
        <v>0.1</v>
      </c>
    </row>
    <row r="948" spans="1:15" x14ac:dyDescent="0.25">
      <c r="A948" s="1">
        <v>44621</v>
      </c>
      <c r="B948" t="e">
        <f>NA()</f>
        <v>#N/A</v>
      </c>
      <c r="C948" t="e">
        <f>NA()</f>
        <v>#N/A</v>
      </c>
      <c r="D948" t="e">
        <f>NA()</f>
        <v>#N/A</v>
      </c>
      <c r="E948" t="e">
        <f>NA()</f>
        <v>#N/A</v>
      </c>
      <c r="F948" t="e">
        <f>NA()</f>
        <v>#N/A</v>
      </c>
      <c r="G948" t="e">
        <f>NA()</f>
        <v>#N/A</v>
      </c>
      <c r="H948" t="e">
        <f>NA()</f>
        <v>#N/A</v>
      </c>
      <c r="I948" t="e">
        <f>NA()</f>
        <v>#N/A</v>
      </c>
      <c r="J948" t="e">
        <f>NA()</f>
        <v>#N/A</v>
      </c>
      <c r="K948" t="e">
        <f>NA()</f>
        <v>#N/A</v>
      </c>
      <c r="L948" t="e">
        <f>NA()</f>
        <v>#N/A</v>
      </c>
      <c r="M948" t="e">
        <f>NA()</f>
        <v>#N/A</v>
      </c>
      <c r="N948" t="e">
        <f>NA()</f>
        <v>#N/A</v>
      </c>
      <c r="O948">
        <f t="shared" si="34"/>
        <v>0.1</v>
      </c>
    </row>
    <row r="949" spans="1:15" x14ac:dyDescent="0.25">
      <c r="A949" s="1">
        <v>44620</v>
      </c>
      <c r="B949" t="e">
        <f>NA()</f>
        <v>#N/A</v>
      </c>
      <c r="C949" t="e">
        <f>NA()</f>
        <v>#N/A</v>
      </c>
      <c r="D949">
        <f>0.1</f>
        <v>0.1</v>
      </c>
      <c r="E949">
        <f>-2.5</f>
        <v>-2.5</v>
      </c>
      <c r="F949">
        <f>11661</f>
        <v>11661</v>
      </c>
      <c r="G949">
        <f>62.2</f>
        <v>62.2</v>
      </c>
      <c r="H949">
        <f>14.2</f>
        <v>14.2</v>
      </c>
      <c r="I949">
        <f>283.7</f>
        <v>283.7</v>
      </c>
      <c r="J949">
        <f>7.9</f>
        <v>7.9</v>
      </c>
      <c r="K949">
        <f>58.1</f>
        <v>58.1</v>
      </c>
      <c r="L949">
        <f>0.6</f>
        <v>0.6</v>
      </c>
      <c r="M949" t="e">
        <f>NA()</f>
        <v>#N/A</v>
      </c>
      <c r="N949">
        <f>3.8</f>
        <v>3.8</v>
      </c>
      <c r="O949">
        <f t="shared" si="34"/>
        <v>0.1</v>
      </c>
    </row>
    <row r="950" spans="1:15" x14ac:dyDescent="0.25">
      <c r="A950" s="1">
        <v>44617</v>
      </c>
      <c r="B950">
        <f>0</f>
        <v>0</v>
      </c>
      <c r="C950">
        <f>0</f>
        <v>0</v>
      </c>
      <c r="D950" t="e">
        <f>NA()</f>
        <v>#N/A</v>
      </c>
      <c r="E950" t="e">
        <f>NA()</f>
        <v>#N/A</v>
      </c>
      <c r="F950" t="e">
        <f>NA()</f>
        <v>#N/A</v>
      </c>
      <c r="G950" t="e">
        <f>NA()</f>
        <v>#N/A</v>
      </c>
      <c r="H950" t="e">
        <f>NA()</f>
        <v>#N/A</v>
      </c>
      <c r="I950" t="e">
        <f>NA()</f>
        <v>#N/A</v>
      </c>
      <c r="J950" t="e">
        <f>NA()</f>
        <v>#N/A</v>
      </c>
      <c r="K950" t="e">
        <f>NA()</f>
        <v>#N/A</v>
      </c>
      <c r="L950" t="e">
        <f>NA()</f>
        <v>#N/A</v>
      </c>
      <c r="M950" t="e">
        <f>NA()</f>
        <v>#N/A</v>
      </c>
      <c r="N950" t="e">
        <f>NA()</f>
        <v>#N/A</v>
      </c>
      <c r="O950">
        <f t="shared" si="34"/>
        <v>0.1</v>
      </c>
    </row>
    <row r="951" spans="1:15" x14ac:dyDescent="0.25">
      <c r="A951" s="1">
        <v>44616</v>
      </c>
      <c r="B951" t="e">
        <f>NA()</f>
        <v>#N/A</v>
      </c>
      <c r="C951" t="e">
        <f>NA()</f>
        <v>#N/A</v>
      </c>
      <c r="D951" t="e">
        <f>NA()</f>
        <v>#N/A</v>
      </c>
      <c r="E951" t="e">
        <f>NA()</f>
        <v>#N/A</v>
      </c>
      <c r="F951" t="e">
        <f>NA()</f>
        <v>#N/A</v>
      </c>
      <c r="G951" t="e">
        <f>NA()</f>
        <v>#N/A</v>
      </c>
      <c r="H951" t="e">
        <f>NA()</f>
        <v>#N/A</v>
      </c>
      <c r="I951" t="e">
        <f>NA()</f>
        <v>#N/A</v>
      </c>
      <c r="J951" t="e">
        <f>NA()</f>
        <v>#N/A</v>
      </c>
      <c r="K951" t="e">
        <f>NA()</f>
        <v>#N/A</v>
      </c>
      <c r="L951" t="e">
        <f>NA()</f>
        <v>#N/A</v>
      </c>
      <c r="M951" t="e">
        <f>NA()</f>
        <v>#N/A</v>
      </c>
      <c r="N951" t="e">
        <f>NA()</f>
        <v>#N/A</v>
      </c>
      <c r="O951">
        <f t="shared" si="34"/>
        <v>0.1</v>
      </c>
    </row>
    <row r="952" spans="1:15" x14ac:dyDescent="0.25">
      <c r="A952" s="1">
        <v>44615</v>
      </c>
      <c r="B952" t="e">
        <f>NA()</f>
        <v>#N/A</v>
      </c>
      <c r="C952" t="e">
        <f>NA()</f>
        <v>#N/A</v>
      </c>
      <c r="D952" t="e">
        <f>NA()</f>
        <v>#N/A</v>
      </c>
      <c r="E952" t="e">
        <f>NA()</f>
        <v>#N/A</v>
      </c>
      <c r="F952" t="e">
        <f>NA()</f>
        <v>#N/A</v>
      </c>
      <c r="G952" t="e">
        <f>NA()</f>
        <v>#N/A</v>
      </c>
      <c r="H952" t="e">
        <f>NA()</f>
        <v>#N/A</v>
      </c>
      <c r="I952" t="e">
        <f>NA()</f>
        <v>#N/A</v>
      </c>
      <c r="J952" t="e">
        <f>NA()</f>
        <v>#N/A</v>
      </c>
      <c r="K952" t="e">
        <f>NA()</f>
        <v>#N/A</v>
      </c>
      <c r="L952" t="e">
        <f>NA()</f>
        <v>#N/A</v>
      </c>
      <c r="M952" t="e">
        <f>NA()</f>
        <v>#N/A</v>
      </c>
      <c r="N952" t="e">
        <f>NA()</f>
        <v>#N/A</v>
      </c>
      <c r="O952">
        <f t="shared" si="34"/>
        <v>0.1</v>
      </c>
    </row>
    <row r="953" spans="1:15" x14ac:dyDescent="0.25">
      <c r="A953" s="1">
        <v>44614</v>
      </c>
      <c r="B953" t="e">
        <f>NA()</f>
        <v>#N/A</v>
      </c>
      <c r="C953" t="e">
        <f>NA()</f>
        <v>#N/A</v>
      </c>
      <c r="D953" t="e">
        <f>NA()</f>
        <v>#N/A</v>
      </c>
      <c r="E953" t="e">
        <f>NA()</f>
        <v>#N/A</v>
      </c>
      <c r="F953" t="e">
        <f>NA()</f>
        <v>#N/A</v>
      </c>
      <c r="G953" t="e">
        <f>NA()</f>
        <v>#N/A</v>
      </c>
      <c r="H953" t="e">
        <f>NA()</f>
        <v>#N/A</v>
      </c>
      <c r="I953" t="e">
        <f>NA()</f>
        <v>#N/A</v>
      </c>
      <c r="J953" t="e">
        <f>NA()</f>
        <v>#N/A</v>
      </c>
      <c r="K953" t="e">
        <f>NA()</f>
        <v>#N/A</v>
      </c>
      <c r="L953" t="e">
        <f>NA()</f>
        <v>#N/A</v>
      </c>
      <c r="M953" t="e">
        <f>NA()</f>
        <v>#N/A</v>
      </c>
      <c r="N953" t="e">
        <f>NA()</f>
        <v>#N/A</v>
      </c>
      <c r="O953">
        <f t="shared" si="34"/>
        <v>0.1</v>
      </c>
    </row>
    <row r="954" spans="1:15" x14ac:dyDescent="0.25">
      <c r="A954" s="1">
        <v>44610</v>
      </c>
      <c r="B954">
        <f>-0.2</f>
        <v>-0.2</v>
      </c>
      <c r="C954">
        <f>0</f>
        <v>0</v>
      </c>
      <c r="D954" t="e">
        <f>NA()</f>
        <v>#N/A</v>
      </c>
      <c r="E954" t="e">
        <f>NA()</f>
        <v>#N/A</v>
      </c>
      <c r="F954" t="e">
        <f>NA()</f>
        <v>#N/A</v>
      </c>
      <c r="G954" t="e">
        <f>NA()</f>
        <v>#N/A</v>
      </c>
      <c r="H954" t="e">
        <f>NA()</f>
        <v>#N/A</v>
      </c>
      <c r="I954" t="e">
        <f>NA()</f>
        <v>#N/A</v>
      </c>
      <c r="J954" t="e">
        <f>NA()</f>
        <v>#N/A</v>
      </c>
      <c r="K954" t="e">
        <f>NA()</f>
        <v>#N/A</v>
      </c>
      <c r="L954" t="e">
        <f>NA()</f>
        <v>#N/A</v>
      </c>
      <c r="M954" t="e">
        <f>NA()</f>
        <v>#N/A</v>
      </c>
      <c r="N954" t="e">
        <f>NA()</f>
        <v>#N/A</v>
      </c>
      <c r="O954">
        <f t="shared" si="34"/>
        <v>0.1</v>
      </c>
    </row>
    <row r="955" spans="1:15" x14ac:dyDescent="0.25">
      <c r="A955" s="1">
        <v>44609</v>
      </c>
      <c r="B955" t="e">
        <f>NA()</f>
        <v>#N/A</v>
      </c>
      <c r="C955" t="e">
        <f>NA()</f>
        <v>#N/A</v>
      </c>
      <c r="D955" t="e">
        <f>NA()</f>
        <v>#N/A</v>
      </c>
      <c r="E955" t="e">
        <f>NA()</f>
        <v>#N/A</v>
      </c>
      <c r="F955" t="e">
        <f>NA()</f>
        <v>#N/A</v>
      </c>
      <c r="G955" t="e">
        <f>NA()</f>
        <v>#N/A</v>
      </c>
      <c r="H955" t="e">
        <f>NA()</f>
        <v>#N/A</v>
      </c>
      <c r="I955" t="e">
        <f>NA()</f>
        <v>#N/A</v>
      </c>
      <c r="J955" t="e">
        <f>NA()</f>
        <v>#N/A</v>
      </c>
      <c r="K955" t="e">
        <f>NA()</f>
        <v>#N/A</v>
      </c>
      <c r="L955" t="e">
        <f>NA()</f>
        <v>#N/A</v>
      </c>
      <c r="M955" t="e">
        <f>NA()</f>
        <v>#N/A</v>
      </c>
      <c r="N955" t="e">
        <f>NA()</f>
        <v>#N/A</v>
      </c>
      <c r="O955">
        <f t="shared" si="34"/>
        <v>0.1</v>
      </c>
    </row>
    <row r="956" spans="1:15" x14ac:dyDescent="0.25">
      <c r="A956" s="1">
        <v>44608</v>
      </c>
      <c r="B956" t="e">
        <f>NA()</f>
        <v>#N/A</v>
      </c>
      <c r="C956" t="e">
        <f>NA()</f>
        <v>#N/A</v>
      </c>
      <c r="D956" t="e">
        <f>NA()</f>
        <v>#N/A</v>
      </c>
      <c r="E956" t="e">
        <f>NA()</f>
        <v>#N/A</v>
      </c>
      <c r="F956" t="e">
        <f>NA()</f>
        <v>#N/A</v>
      </c>
      <c r="G956" t="e">
        <f>NA()</f>
        <v>#N/A</v>
      </c>
      <c r="H956" t="e">
        <f>NA()</f>
        <v>#N/A</v>
      </c>
      <c r="I956" t="e">
        <f>NA()</f>
        <v>#N/A</v>
      </c>
      <c r="J956" t="e">
        <f>NA()</f>
        <v>#N/A</v>
      </c>
      <c r="K956" t="e">
        <f>NA()</f>
        <v>#N/A</v>
      </c>
      <c r="L956" t="e">
        <f>NA()</f>
        <v>#N/A</v>
      </c>
      <c r="M956" t="e">
        <f>NA()</f>
        <v>#N/A</v>
      </c>
      <c r="N956" t="e">
        <f>NA()</f>
        <v>#N/A</v>
      </c>
      <c r="O956">
        <f t="shared" si="34"/>
        <v>0.1</v>
      </c>
    </row>
    <row r="957" spans="1:15" x14ac:dyDescent="0.25">
      <c r="A957" s="1">
        <v>44607</v>
      </c>
      <c r="B957" t="e">
        <f>NA()</f>
        <v>#N/A</v>
      </c>
      <c r="C957" t="e">
        <f>NA()</f>
        <v>#N/A</v>
      </c>
      <c r="D957" t="e">
        <f>NA()</f>
        <v>#N/A</v>
      </c>
      <c r="E957" t="e">
        <f>NA()</f>
        <v>#N/A</v>
      </c>
      <c r="F957" t="e">
        <f>NA()</f>
        <v>#N/A</v>
      </c>
      <c r="G957" t="e">
        <f>NA()</f>
        <v>#N/A</v>
      </c>
      <c r="H957" t="e">
        <f>NA()</f>
        <v>#N/A</v>
      </c>
      <c r="I957" t="e">
        <f>NA()</f>
        <v>#N/A</v>
      </c>
      <c r="J957" t="e">
        <f>NA()</f>
        <v>#N/A</v>
      </c>
      <c r="K957" t="e">
        <f>NA()</f>
        <v>#N/A</v>
      </c>
      <c r="L957" t="e">
        <f>NA()</f>
        <v>#N/A</v>
      </c>
      <c r="M957" t="e">
        <f>NA()</f>
        <v>#N/A</v>
      </c>
      <c r="N957" t="e">
        <f>NA()</f>
        <v>#N/A</v>
      </c>
      <c r="O957">
        <f t="shared" si="34"/>
        <v>0.1</v>
      </c>
    </row>
    <row r="958" spans="1:15" x14ac:dyDescent="0.25">
      <c r="A958" s="1">
        <v>44606</v>
      </c>
      <c r="B958" t="e">
        <f>NA()</f>
        <v>#N/A</v>
      </c>
      <c r="C958" t="e">
        <f>NA()</f>
        <v>#N/A</v>
      </c>
      <c r="D958" t="e">
        <f>NA()</f>
        <v>#N/A</v>
      </c>
      <c r="E958" t="e">
        <f>NA()</f>
        <v>#N/A</v>
      </c>
      <c r="F958" t="e">
        <f>NA()</f>
        <v>#N/A</v>
      </c>
      <c r="G958" t="e">
        <f>NA()</f>
        <v>#N/A</v>
      </c>
      <c r="H958" t="e">
        <f>NA()</f>
        <v>#N/A</v>
      </c>
      <c r="I958" t="e">
        <f>NA()</f>
        <v>#N/A</v>
      </c>
      <c r="J958" t="e">
        <f>NA()</f>
        <v>#N/A</v>
      </c>
      <c r="K958" t="e">
        <f>NA()</f>
        <v>#N/A</v>
      </c>
      <c r="L958" t="e">
        <f>NA()</f>
        <v>#N/A</v>
      </c>
      <c r="M958" t="e">
        <f>NA()</f>
        <v>#N/A</v>
      </c>
      <c r="N958" t="e">
        <f>NA()</f>
        <v>#N/A</v>
      </c>
      <c r="O958">
        <f t="shared" si="34"/>
        <v>0.1</v>
      </c>
    </row>
    <row r="959" spans="1:15" x14ac:dyDescent="0.25">
      <c r="A959" s="1">
        <v>44603</v>
      </c>
      <c r="B959">
        <f>-0.6</f>
        <v>-0.6</v>
      </c>
      <c r="C959">
        <f>0</f>
        <v>0</v>
      </c>
      <c r="D959" t="e">
        <f>NA()</f>
        <v>#N/A</v>
      </c>
      <c r="E959" t="e">
        <f>NA()</f>
        <v>#N/A</v>
      </c>
      <c r="F959" t="e">
        <f>NA()</f>
        <v>#N/A</v>
      </c>
      <c r="G959" t="e">
        <f>NA()</f>
        <v>#N/A</v>
      </c>
      <c r="H959" t="e">
        <f>NA()</f>
        <v>#N/A</v>
      </c>
      <c r="I959" t="e">
        <f>NA()</f>
        <v>#N/A</v>
      </c>
      <c r="J959" t="e">
        <f>NA()</f>
        <v>#N/A</v>
      </c>
      <c r="K959" t="e">
        <f>NA()</f>
        <v>#N/A</v>
      </c>
      <c r="L959" t="e">
        <f>NA()</f>
        <v>#N/A</v>
      </c>
      <c r="M959" t="e">
        <f>NA()</f>
        <v>#N/A</v>
      </c>
      <c r="N959" t="e">
        <f>NA()</f>
        <v>#N/A</v>
      </c>
      <c r="O959">
        <f t="shared" si="34"/>
        <v>0.1</v>
      </c>
    </row>
    <row r="960" spans="1:15" x14ac:dyDescent="0.25">
      <c r="A960" s="1">
        <v>44602</v>
      </c>
      <c r="B960" t="e">
        <f>NA()</f>
        <v>#N/A</v>
      </c>
      <c r="C960" t="e">
        <f>NA()</f>
        <v>#N/A</v>
      </c>
      <c r="D960" t="e">
        <f>NA()</f>
        <v>#N/A</v>
      </c>
      <c r="E960" t="e">
        <f>NA()</f>
        <v>#N/A</v>
      </c>
      <c r="F960" t="e">
        <f>NA()</f>
        <v>#N/A</v>
      </c>
      <c r="G960" t="e">
        <f>NA()</f>
        <v>#N/A</v>
      </c>
      <c r="H960" t="e">
        <f>NA()</f>
        <v>#N/A</v>
      </c>
      <c r="I960" t="e">
        <f>NA()</f>
        <v>#N/A</v>
      </c>
      <c r="J960" t="e">
        <f>NA()</f>
        <v>#N/A</v>
      </c>
      <c r="K960" t="e">
        <f>NA()</f>
        <v>#N/A</v>
      </c>
      <c r="L960" t="e">
        <f>NA()</f>
        <v>#N/A</v>
      </c>
      <c r="M960" t="e">
        <f>NA()</f>
        <v>#N/A</v>
      </c>
      <c r="N960" t="e">
        <f>NA()</f>
        <v>#N/A</v>
      </c>
      <c r="O960">
        <f t="shared" si="34"/>
        <v>0.1</v>
      </c>
    </row>
    <row r="961" spans="1:15" x14ac:dyDescent="0.25">
      <c r="A961" s="1">
        <v>44601</v>
      </c>
      <c r="B961" t="e">
        <f>NA()</f>
        <v>#N/A</v>
      </c>
      <c r="C961" t="e">
        <f>NA()</f>
        <v>#N/A</v>
      </c>
      <c r="D961" t="e">
        <f>NA()</f>
        <v>#N/A</v>
      </c>
      <c r="E961" t="e">
        <f>NA()</f>
        <v>#N/A</v>
      </c>
      <c r="F961" t="e">
        <f>NA()</f>
        <v>#N/A</v>
      </c>
      <c r="G961" t="e">
        <f>NA()</f>
        <v>#N/A</v>
      </c>
      <c r="H961" t="e">
        <f>NA()</f>
        <v>#N/A</v>
      </c>
      <c r="I961" t="e">
        <f>NA()</f>
        <v>#N/A</v>
      </c>
      <c r="J961" t="e">
        <f>NA()</f>
        <v>#N/A</v>
      </c>
      <c r="K961" t="e">
        <f>NA()</f>
        <v>#N/A</v>
      </c>
      <c r="L961" t="e">
        <f>NA()</f>
        <v>#N/A</v>
      </c>
      <c r="M961" t="e">
        <f>NA()</f>
        <v>#N/A</v>
      </c>
      <c r="N961" t="e">
        <f>NA()</f>
        <v>#N/A</v>
      </c>
      <c r="O961">
        <f t="shared" si="34"/>
        <v>0.1</v>
      </c>
    </row>
    <row r="962" spans="1:15" x14ac:dyDescent="0.25">
      <c r="A962" s="1">
        <v>44600</v>
      </c>
      <c r="B962" t="e">
        <f>NA()</f>
        <v>#N/A</v>
      </c>
      <c r="C962" t="e">
        <f>NA()</f>
        <v>#N/A</v>
      </c>
      <c r="D962" t="e">
        <f>NA()</f>
        <v>#N/A</v>
      </c>
      <c r="E962" t="e">
        <f>NA()</f>
        <v>#N/A</v>
      </c>
      <c r="F962" t="e">
        <f>NA()</f>
        <v>#N/A</v>
      </c>
      <c r="G962" t="e">
        <f>NA()</f>
        <v>#N/A</v>
      </c>
      <c r="H962" t="e">
        <f>NA()</f>
        <v>#N/A</v>
      </c>
      <c r="I962" t="e">
        <f>NA()</f>
        <v>#N/A</v>
      </c>
      <c r="J962" t="e">
        <f>NA()</f>
        <v>#N/A</v>
      </c>
      <c r="K962" t="e">
        <f>NA()</f>
        <v>#N/A</v>
      </c>
      <c r="L962" t="e">
        <f>NA()</f>
        <v>#N/A</v>
      </c>
      <c r="M962" t="e">
        <f>NA()</f>
        <v>#N/A</v>
      </c>
      <c r="N962" t="e">
        <f>NA()</f>
        <v>#N/A</v>
      </c>
      <c r="O962">
        <f t="shared" si="34"/>
        <v>0.1</v>
      </c>
    </row>
    <row r="963" spans="1:15" x14ac:dyDescent="0.25">
      <c r="A963" s="1">
        <v>44599</v>
      </c>
      <c r="B963" t="e">
        <f>NA()</f>
        <v>#N/A</v>
      </c>
      <c r="C963" t="e">
        <f>NA()</f>
        <v>#N/A</v>
      </c>
      <c r="D963" t="e">
        <f>NA()</f>
        <v>#N/A</v>
      </c>
      <c r="E963" t="e">
        <f>NA()</f>
        <v>#N/A</v>
      </c>
      <c r="F963" t="e">
        <f>NA()</f>
        <v>#N/A</v>
      </c>
      <c r="G963" t="e">
        <f>NA()</f>
        <v>#N/A</v>
      </c>
      <c r="H963" t="e">
        <f>NA()</f>
        <v>#N/A</v>
      </c>
      <c r="I963" t="e">
        <f>NA()</f>
        <v>#N/A</v>
      </c>
      <c r="J963" t="e">
        <f>NA()</f>
        <v>#N/A</v>
      </c>
      <c r="K963" t="e">
        <f>NA()</f>
        <v>#N/A</v>
      </c>
      <c r="L963" t="e">
        <f>NA()</f>
        <v>#N/A</v>
      </c>
      <c r="M963" t="e">
        <f>NA()</f>
        <v>#N/A</v>
      </c>
      <c r="N963" t="e">
        <f>NA()</f>
        <v>#N/A</v>
      </c>
      <c r="O963">
        <f t="shared" si="34"/>
        <v>0.1</v>
      </c>
    </row>
    <row r="964" spans="1:15" x14ac:dyDescent="0.25">
      <c r="A964" s="1">
        <v>44596</v>
      </c>
      <c r="B964">
        <f>-0.5</f>
        <v>-0.5</v>
      </c>
      <c r="C964">
        <f>0</f>
        <v>0</v>
      </c>
      <c r="D964" t="e">
        <f>NA()</f>
        <v>#N/A</v>
      </c>
      <c r="E964" t="e">
        <f>NA()</f>
        <v>#N/A</v>
      </c>
      <c r="F964" t="e">
        <f>NA()</f>
        <v>#N/A</v>
      </c>
      <c r="G964" t="e">
        <f>NA()</f>
        <v>#N/A</v>
      </c>
      <c r="H964" t="e">
        <f>NA()</f>
        <v>#N/A</v>
      </c>
      <c r="I964" t="e">
        <f>NA()</f>
        <v>#N/A</v>
      </c>
      <c r="J964" t="e">
        <f>NA()</f>
        <v>#N/A</v>
      </c>
      <c r="K964" t="e">
        <f>NA()</f>
        <v>#N/A</v>
      </c>
      <c r="L964" t="e">
        <f>NA()</f>
        <v>#N/A</v>
      </c>
      <c r="M964" t="e">
        <f>NA()</f>
        <v>#N/A</v>
      </c>
      <c r="N964" t="e">
        <f>NA()</f>
        <v>#N/A</v>
      </c>
      <c r="O964">
        <f t="shared" si="34"/>
        <v>0.1</v>
      </c>
    </row>
    <row r="965" spans="1:15" x14ac:dyDescent="0.25">
      <c r="A965" s="1">
        <v>44595</v>
      </c>
      <c r="B965" t="e">
        <f>NA()</f>
        <v>#N/A</v>
      </c>
      <c r="C965" t="e">
        <f>NA()</f>
        <v>#N/A</v>
      </c>
      <c r="D965" t="e">
        <f>NA()</f>
        <v>#N/A</v>
      </c>
      <c r="E965" t="e">
        <f>NA()</f>
        <v>#N/A</v>
      </c>
      <c r="F965" t="e">
        <f>NA()</f>
        <v>#N/A</v>
      </c>
      <c r="G965" t="e">
        <f>NA()</f>
        <v>#N/A</v>
      </c>
      <c r="H965" t="e">
        <f>NA()</f>
        <v>#N/A</v>
      </c>
      <c r="I965" t="e">
        <f>NA()</f>
        <v>#N/A</v>
      </c>
      <c r="J965" t="e">
        <f>NA()</f>
        <v>#N/A</v>
      </c>
      <c r="K965" t="e">
        <f>NA()</f>
        <v>#N/A</v>
      </c>
      <c r="L965" t="e">
        <f>NA()</f>
        <v>#N/A</v>
      </c>
      <c r="M965" t="e">
        <f>NA()</f>
        <v>#N/A</v>
      </c>
      <c r="N965" t="e">
        <f>NA()</f>
        <v>#N/A</v>
      </c>
      <c r="O965">
        <f t="shared" si="34"/>
        <v>0.1</v>
      </c>
    </row>
    <row r="966" spans="1:15" x14ac:dyDescent="0.25">
      <c r="A966" s="1">
        <v>44594</v>
      </c>
      <c r="B966" t="e">
        <f>NA()</f>
        <v>#N/A</v>
      </c>
      <c r="C966" t="e">
        <f>NA()</f>
        <v>#N/A</v>
      </c>
      <c r="D966" t="e">
        <f>NA()</f>
        <v>#N/A</v>
      </c>
      <c r="E966" t="e">
        <f>NA()</f>
        <v>#N/A</v>
      </c>
      <c r="F966" t="e">
        <f>NA()</f>
        <v>#N/A</v>
      </c>
      <c r="G966" t="e">
        <f>NA()</f>
        <v>#N/A</v>
      </c>
      <c r="H966" t="e">
        <f>NA()</f>
        <v>#N/A</v>
      </c>
      <c r="I966" t="e">
        <f>NA()</f>
        <v>#N/A</v>
      </c>
      <c r="J966" t="e">
        <f>NA()</f>
        <v>#N/A</v>
      </c>
      <c r="K966" t="e">
        <f>NA()</f>
        <v>#N/A</v>
      </c>
      <c r="L966" t="e">
        <f>NA()</f>
        <v>#N/A</v>
      </c>
      <c r="M966" t="e">
        <f>NA()</f>
        <v>#N/A</v>
      </c>
      <c r="N966" t="e">
        <f>NA()</f>
        <v>#N/A</v>
      </c>
      <c r="O966">
        <f t="shared" si="34"/>
        <v>0.1</v>
      </c>
    </row>
    <row r="967" spans="1:15" x14ac:dyDescent="0.25">
      <c r="A967" s="1">
        <v>44593</v>
      </c>
      <c r="B967" t="e">
        <f>NA()</f>
        <v>#N/A</v>
      </c>
      <c r="C967" t="e">
        <f>NA()</f>
        <v>#N/A</v>
      </c>
      <c r="D967" t="e">
        <f>NA()</f>
        <v>#N/A</v>
      </c>
      <c r="E967" t="e">
        <f>NA()</f>
        <v>#N/A</v>
      </c>
      <c r="F967" t="e">
        <f>NA()</f>
        <v>#N/A</v>
      </c>
      <c r="G967" t="e">
        <f>NA()</f>
        <v>#N/A</v>
      </c>
      <c r="H967" t="e">
        <f>NA()</f>
        <v>#N/A</v>
      </c>
      <c r="I967" t="e">
        <f>NA()</f>
        <v>#N/A</v>
      </c>
      <c r="J967" t="e">
        <f>NA()</f>
        <v>#N/A</v>
      </c>
      <c r="K967" t="e">
        <f>NA()</f>
        <v>#N/A</v>
      </c>
      <c r="L967" t="e">
        <f>NA()</f>
        <v>#N/A</v>
      </c>
      <c r="M967" t="e">
        <f>NA()</f>
        <v>#N/A</v>
      </c>
      <c r="N967" t="e">
        <f>NA()</f>
        <v>#N/A</v>
      </c>
      <c r="O967">
        <f t="shared" si="34"/>
        <v>0.1</v>
      </c>
    </row>
    <row r="968" spans="1:15" x14ac:dyDescent="0.25">
      <c r="A968" s="1">
        <v>44592</v>
      </c>
      <c r="B968" t="e">
        <f>NA()</f>
        <v>#N/A</v>
      </c>
      <c r="C968" t="e">
        <f>NA()</f>
        <v>#N/A</v>
      </c>
      <c r="D968">
        <f>0.7</f>
        <v>0.7</v>
      </c>
      <c r="E968">
        <f>-1.8</f>
        <v>-1.8</v>
      </c>
      <c r="F968">
        <f>11238</f>
        <v>11238</v>
      </c>
      <c r="G968">
        <f>62.2</f>
        <v>62.2</v>
      </c>
      <c r="H968">
        <f>12.7</f>
        <v>12.7</v>
      </c>
      <c r="I968">
        <f>281.1</f>
        <v>281.10000000000002</v>
      </c>
      <c r="J968">
        <f>7.5</f>
        <v>7.5</v>
      </c>
      <c r="K968">
        <f>57.4</f>
        <v>57.4</v>
      </c>
      <c r="L968">
        <f>0</f>
        <v>0</v>
      </c>
      <c r="M968" t="e">
        <f>NA()</f>
        <v>#N/A</v>
      </c>
      <c r="N968">
        <f>4</f>
        <v>4</v>
      </c>
      <c r="O968">
        <f t="shared" si="34"/>
        <v>0.1</v>
      </c>
    </row>
    <row r="969" spans="1:15" x14ac:dyDescent="0.25">
      <c r="A969" s="1">
        <v>44589</v>
      </c>
      <c r="B969">
        <f>-0.2</f>
        <v>-0.2</v>
      </c>
      <c r="C969">
        <f>0</f>
        <v>0</v>
      </c>
      <c r="D969" t="e">
        <f>NA()</f>
        <v>#N/A</v>
      </c>
      <c r="E969" t="e">
        <f>NA()</f>
        <v>#N/A</v>
      </c>
      <c r="F969" t="e">
        <f>NA()</f>
        <v>#N/A</v>
      </c>
      <c r="G969" t="e">
        <f>NA()</f>
        <v>#N/A</v>
      </c>
      <c r="H969" t="e">
        <f>NA()</f>
        <v>#N/A</v>
      </c>
      <c r="I969" t="e">
        <f>NA()</f>
        <v>#N/A</v>
      </c>
      <c r="J969" t="e">
        <f>NA()</f>
        <v>#N/A</v>
      </c>
      <c r="K969" t="e">
        <f>NA()</f>
        <v>#N/A</v>
      </c>
      <c r="L969" t="e">
        <f>NA()</f>
        <v>#N/A</v>
      </c>
      <c r="M969" t="e">
        <f>NA()</f>
        <v>#N/A</v>
      </c>
      <c r="N969" t="e">
        <f>NA()</f>
        <v>#N/A</v>
      </c>
      <c r="O969">
        <f t="shared" ref="O969:O1000" si="35">0.1</f>
        <v>0.1</v>
      </c>
    </row>
    <row r="970" spans="1:15" x14ac:dyDescent="0.25">
      <c r="A970" s="1">
        <v>44588</v>
      </c>
      <c r="B970" t="e">
        <f>NA()</f>
        <v>#N/A</v>
      </c>
      <c r="C970" t="e">
        <f>NA()</f>
        <v>#N/A</v>
      </c>
      <c r="D970" t="e">
        <f>NA()</f>
        <v>#N/A</v>
      </c>
      <c r="E970" t="e">
        <f>NA()</f>
        <v>#N/A</v>
      </c>
      <c r="F970" t="e">
        <f>NA()</f>
        <v>#N/A</v>
      </c>
      <c r="G970" t="e">
        <f>NA()</f>
        <v>#N/A</v>
      </c>
      <c r="H970" t="e">
        <f>NA()</f>
        <v>#N/A</v>
      </c>
      <c r="I970" t="e">
        <f>NA()</f>
        <v>#N/A</v>
      </c>
      <c r="J970" t="e">
        <f>NA()</f>
        <v>#N/A</v>
      </c>
      <c r="K970" t="e">
        <f>NA()</f>
        <v>#N/A</v>
      </c>
      <c r="L970" t="e">
        <f>NA()</f>
        <v>#N/A</v>
      </c>
      <c r="M970" t="e">
        <f>NA()</f>
        <v>#N/A</v>
      </c>
      <c r="N970" t="e">
        <f>NA()</f>
        <v>#N/A</v>
      </c>
      <c r="O970">
        <f t="shared" si="35"/>
        <v>0.1</v>
      </c>
    </row>
    <row r="971" spans="1:15" x14ac:dyDescent="0.25">
      <c r="A971" s="1">
        <v>44587</v>
      </c>
      <c r="B971" t="e">
        <f>NA()</f>
        <v>#N/A</v>
      </c>
      <c r="C971" t="e">
        <f>NA()</f>
        <v>#N/A</v>
      </c>
      <c r="D971" t="e">
        <f>NA()</f>
        <v>#N/A</v>
      </c>
      <c r="E971" t="e">
        <f>NA()</f>
        <v>#N/A</v>
      </c>
      <c r="F971" t="e">
        <f>NA()</f>
        <v>#N/A</v>
      </c>
      <c r="G971" t="e">
        <f>NA()</f>
        <v>#N/A</v>
      </c>
      <c r="H971" t="e">
        <f>NA()</f>
        <v>#N/A</v>
      </c>
      <c r="I971" t="e">
        <f>NA()</f>
        <v>#N/A</v>
      </c>
      <c r="J971" t="e">
        <f>NA()</f>
        <v>#N/A</v>
      </c>
      <c r="K971" t="e">
        <f>NA()</f>
        <v>#N/A</v>
      </c>
      <c r="L971" t="e">
        <f>NA()</f>
        <v>#N/A</v>
      </c>
      <c r="M971" t="e">
        <f>NA()</f>
        <v>#N/A</v>
      </c>
      <c r="N971" t="e">
        <f>NA()</f>
        <v>#N/A</v>
      </c>
      <c r="O971">
        <f t="shared" si="35"/>
        <v>0.1</v>
      </c>
    </row>
    <row r="972" spans="1:15" x14ac:dyDescent="0.25">
      <c r="A972" s="1">
        <v>44586</v>
      </c>
      <c r="B972" t="e">
        <f>NA()</f>
        <v>#N/A</v>
      </c>
      <c r="C972" t="e">
        <f>NA()</f>
        <v>#N/A</v>
      </c>
      <c r="D972" t="e">
        <f>NA()</f>
        <v>#N/A</v>
      </c>
      <c r="E972" t="e">
        <f>NA()</f>
        <v>#N/A</v>
      </c>
      <c r="F972" t="e">
        <f>NA()</f>
        <v>#N/A</v>
      </c>
      <c r="G972" t="e">
        <f>NA()</f>
        <v>#N/A</v>
      </c>
      <c r="H972" t="e">
        <f>NA()</f>
        <v>#N/A</v>
      </c>
      <c r="I972" t="e">
        <f>NA()</f>
        <v>#N/A</v>
      </c>
      <c r="J972" t="e">
        <f>NA()</f>
        <v>#N/A</v>
      </c>
      <c r="K972" t="e">
        <f>NA()</f>
        <v>#N/A</v>
      </c>
      <c r="L972" t="e">
        <f>NA()</f>
        <v>#N/A</v>
      </c>
      <c r="M972" t="e">
        <f>NA()</f>
        <v>#N/A</v>
      </c>
      <c r="N972" t="e">
        <f>NA()</f>
        <v>#N/A</v>
      </c>
      <c r="O972">
        <f t="shared" si="35"/>
        <v>0.1</v>
      </c>
    </row>
    <row r="973" spans="1:15" x14ac:dyDescent="0.25">
      <c r="A973" s="1">
        <v>44585</v>
      </c>
      <c r="B973" t="e">
        <f>NA()</f>
        <v>#N/A</v>
      </c>
      <c r="C973" t="e">
        <f>NA()</f>
        <v>#N/A</v>
      </c>
      <c r="D973" t="e">
        <f>NA()</f>
        <v>#N/A</v>
      </c>
      <c r="E973" t="e">
        <f>NA()</f>
        <v>#N/A</v>
      </c>
      <c r="F973" t="e">
        <f>NA()</f>
        <v>#N/A</v>
      </c>
      <c r="G973" t="e">
        <f>NA()</f>
        <v>#N/A</v>
      </c>
      <c r="H973" t="e">
        <f>NA()</f>
        <v>#N/A</v>
      </c>
      <c r="I973" t="e">
        <f>NA()</f>
        <v>#N/A</v>
      </c>
      <c r="J973" t="e">
        <f>NA()</f>
        <v>#N/A</v>
      </c>
      <c r="K973" t="e">
        <f>NA()</f>
        <v>#N/A</v>
      </c>
      <c r="L973" t="e">
        <f>NA()</f>
        <v>#N/A</v>
      </c>
      <c r="M973" t="e">
        <f>NA()</f>
        <v>#N/A</v>
      </c>
      <c r="N973" t="e">
        <f>NA()</f>
        <v>#N/A</v>
      </c>
      <c r="O973">
        <f t="shared" si="35"/>
        <v>0.1</v>
      </c>
    </row>
    <row r="974" spans="1:15" x14ac:dyDescent="0.25">
      <c r="A974" s="1">
        <v>44582</v>
      </c>
      <c r="B974">
        <f>-0.4</f>
        <v>-0.4</v>
      </c>
      <c r="C974">
        <f>0</f>
        <v>0</v>
      </c>
      <c r="D974" t="e">
        <f>NA()</f>
        <v>#N/A</v>
      </c>
      <c r="E974" t="e">
        <f>NA()</f>
        <v>#N/A</v>
      </c>
      <c r="F974" t="e">
        <f>NA()</f>
        <v>#N/A</v>
      </c>
      <c r="G974" t="e">
        <f>NA()</f>
        <v>#N/A</v>
      </c>
      <c r="H974" t="e">
        <f>NA()</f>
        <v>#N/A</v>
      </c>
      <c r="I974" t="e">
        <f>NA()</f>
        <v>#N/A</v>
      </c>
      <c r="J974" t="e">
        <f>NA()</f>
        <v>#N/A</v>
      </c>
      <c r="K974" t="e">
        <f>NA()</f>
        <v>#N/A</v>
      </c>
      <c r="L974" t="e">
        <f>NA()</f>
        <v>#N/A</v>
      </c>
      <c r="M974" t="e">
        <f>NA()</f>
        <v>#N/A</v>
      </c>
      <c r="N974" t="e">
        <f>NA()</f>
        <v>#N/A</v>
      </c>
      <c r="O974">
        <f t="shared" si="35"/>
        <v>0.1</v>
      </c>
    </row>
    <row r="975" spans="1:15" x14ac:dyDescent="0.25">
      <c r="A975" s="1">
        <v>44581</v>
      </c>
      <c r="B975" t="e">
        <f>NA()</f>
        <v>#N/A</v>
      </c>
      <c r="C975" t="e">
        <f>NA()</f>
        <v>#N/A</v>
      </c>
      <c r="D975" t="e">
        <f>NA()</f>
        <v>#N/A</v>
      </c>
      <c r="E975" t="e">
        <f>NA()</f>
        <v>#N/A</v>
      </c>
      <c r="F975" t="e">
        <f>NA()</f>
        <v>#N/A</v>
      </c>
      <c r="G975" t="e">
        <f>NA()</f>
        <v>#N/A</v>
      </c>
      <c r="H975" t="e">
        <f>NA()</f>
        <v>#N/A</v>
      </c>
      <c r="I975" t="e">
        <f>NA()</f>
        <v>#N/A</v>
      </c>
      <c r="J975" t="e">
        <f>NA()</f>
        <v>#N/A</v>
      </c>
      <c r="K975" t="e">
        <f>NA()</f>
        <v>#N/A</v>
      </c>
      <c r="L975" t="e">
        <f>NA()</f>
        <v>#N/A</v>
      </c>
      <c r="M975" t="e">
        <f>NA()</f>
        <v>#N/A</v>
      </c>
      <c r="N975" t="e">
        <f>NA()</f>
        <v>#N/A</v>
      </c>
      <c r="O975">
        <f t="shared" si="35"/>
        <v>0.1</v>
      </c>
    </row>
    <row r="976" spans="1:15" x14ac:dyDescent="0.25">
      <c r="A976" s="1">
        <v>44580</v>
      </c>
      <c r="B976" t="e">
        <f>NA()</f>
        <v>#N/A</v>
      </c>
      <c r="C976" t="e">
        <f>NA()</f>
        <v>#N/A</v>
      </c>
      <c r="D976" t="e">
        <f>NA()</f>
        <v>#N/A</v>
      </c>
      <c r="E976" t="e">
        <f>NA()</f>
        <v>#N/A</v>
      </c>
      <c r="F976" t="e">
        <f>NA()</f>
        <v>#N/A</v>
      </c>
      <c r="G976" t="e">
        <f>NA()</f>
        <v>#N/A</v>
      </c>
      <c r="H976" t="e">
        <f>NA()</f>
        <v>#N/A</v>
      </c>
      <c r="I976" t="e">
        <f>NA()</f>
        <v>#N/A</v>
      </c>
      <c r="J976" t="e">
        <f>NA()</f>
        <v>#N/A</v>
      </c>
      <c r="K976" t="e">
        <f>NA()</f>
        <v>#N/A</v>
      </c>
      <c r="L976" t="e">
        <f>NA()</f>
        <v>#N/A</v>
      </c>
      <c r="M976" t="e">
        <f>NA()</f>
        <v>#N/A</v>
      </c>
      <c r="N976" t="e">
        <f>NA()</f>
        <v>#N/A</v>
      </c>
      <c r="O976">
        <f t="shared" si="35"/>
        <v>0.1</v>
      </c>
    </row>
    <row r="977" spans="1:15" x14ac:dyDescent="0.25">
      <c r="A977" s="1">
        <v>44579</v>
      </c>
      <c r="B977" t="e">
        <f>NA()</f>
        <v>#N/A</v>
      </c>
      <c r="C977" t="e">
        <f>NA()</f>
        <v>#N/A</v>
      </c>
      <c r="D977" t="e">
        <f>NA()</f>
        <v>#N/A</v>
      </c>
      <c r="E977" t="e">
        <f>NA()</f>
        <v>#N/A</v>
      </c>
      <c r="F977" t="e">
        <f>NA()</f>
        <v>#N/A</v>
      </c>
      <c r="G977" t="e">
        <f>NA()</f>
        <v>#N/A</v>
      </c>
      <c r="H977" t="e">
        <f>NA()</f>
        <v>#N/A</v>
      </c>
      <c r="I977" t="e">
        <f>NA()</f>
        <v>#N/A</v>
      </c>
      <c r="J977" t="e">
        <f>NA()</f>
        <v>#N/A</v>
      </c>
      <c r="K977" t="e">
        <f>NA()</f>
        <v>#N/A</v>
      </c>
      <c r="L977" t="e">
        <f>NA()</f>
        <v>#N/A</v>
      </c>
      <c r="M977" t="e">
        <f>NA()</f>
        <v>#N/A</v>
      </c>
      <c r="N977" t="e">
        <f>NA()</f>
        <v>#N/A</v>
      </c>
      <c r="O977">
        <f t="shared" si="35"/>
        <v>0.1</v>
      </c>
    </row>
    <row r="978" spans="1:15" x14ac:dyDescent="0.25">
      <c r="A978" s="1">
        <v>44575</v>
      </c>
      <c r="B978">
        <f>-0.7</f>
        <v>-0.7</v>
      </c>
      <c r="C978">
        <f>0</f>
        <v>0</v>
      </c>
      <c r="D978" t="e">
        <f>NA()</f>
        <v>#N/A</v>
      </c>
      <c r="E978" t="e">
        <f>NA()</f>
        <v>#N/A</v>
      </c>
      <c r="F978" t="e">
        <f>NA()</f>
        <v>#N/A</v>
      </c>
      <c r="G978" t="e">
        <f>NA()</f>
        <v>#N/A</v>
      </c>
      <c r="H978" t="e">
        <f>NA()</f>
        <v>#N/A</v>
      </c>
      <c r="I978" t="e">
        <f>NA()</f>
        <v>#N/A</v>
      </c>
      <c r="J978" t="e">
        <f>NA()</f>
        <v>#N/A</v>
      </c>
      <c r="K978" t="e">
        <f>NA()</f>
        <v>#N/A</v>
      </c>
      <c r="L978" t="e">
        <f>NA()</f>
        <v>#N/A</v>
      </c>
      <c r="M978" t="e">
        <f>NA()</f>
        <v>#N/A</v>
      </c>
      <c r="N978" t="e">
        <f>NA()</f>
        <v>#N/A</v>
      </c>
      <c r="O978">
        <f t="shared" si="35"/>
        <v>0.1</v>
      </c>
    </row>
    <row r="979" spans="1:15" x14ac:dyDescent="0.25">
      <c r="A979" s="1">
        <v>44574</v>
      </c>
      <c r="B979" t="e">
        <f>NA()</f>
        <v>#N/A</v>
      </c>
      <c r="C979" t="e">
        <f>NA()</f>
        <v>#N/A</v>
      </c>
      <c r="D979" t="e">
        <f>NA()</f>
        <v>#N/A</v>
      </c>
      <c r="E979" t="e">
        <f>NA()</f>
        <v>#N/A</v>
      </c>
      <c r="F979" t="e">
        <f>NA()</f>
        <v>#N/A</v>
      </c>
      <c r="G979" t="e">
        <f>NA()</f>
        <v>#N/A</v>
      </c>
      <c r="H979" t="e">
        <f>NA()</f>
        <v>#N/A</v>
      </c>
      <c r="I979" t="e">
        <f>NA()</f>
        <v>#N/A</v>
      </c>
      <c r="J979" t="e">
        <f>NA()</f>
        <v>#N/A</v>
      </c>
      <c r="K979" t="e">
        <f>NA()</f>
        <v>#N/A</v>
      </c>
      <c r="L979" t="e">
        <f>NA()</f>
        <v>#N/A</v>
      </c>
      <c r="M979" t="e">
        <f>NA()</f>
        <v>#N/A</v>
      </c>
      <c r="N979" t="e">
        <f>NA()</f>
        <v>#N/A</v>
      </c>
      <c r="O979">
        <f t="shared" si="35"/>
        <v>0.1</v>
      </c>
    </row>
    <row r="980" spans="1:15" x14ac:dyDescent="0.25">
      <c r="A980" s="1">
        <v>44573</v>
      </c>
      <c r="B980" t="e">
        <f>NA()</f>
        <v>#N/A</v>
      </c>
      <c r="C980" t="e">
        <f>NA()</f>
        <v>#N/A</v>
      </c>
      <c r="D980" t="e">
        <f>NA()</f>
        <v>#N/A</v>
      </c>
      <c r="E980" t="e">
        <f>NA()</f>
        <v>#N/A</v>
      </c>
      <c r="F980" t="e">
        <f>NA()</f>
        <v>#N/A</v>
      </c>
      <c r="G980" t="e">
        <f>NA()</f>
        <v>#N/A</v>
      </c>
      <c r="H980" t="e">
        <f>NA()</f>
        <v>#N/A</v>
      </c>
      <c r="I980" t="e">
        <f>NA()</f>
        <v>#N/A</v>
      </c>
      <c r="J980" t="e">
        <f>NA()</f>
        <v>#N/A</v>
      </c>
      <c r="K980" t="e">
        <f>NA()</f>
        <v>#N/A</v>
      </c>
      <c r="L980" t="e">
        <f>NA()</f>
        <v>#N/A</v>
      </c>
      <c r="M980" t="e">
        <f>NA()</f>
        <v>#N/A</v>
      </c>
      <c r="N980" t="e">
        <f>NA()</f>
        <v>#N/A</v>
      </c>
      <c r="O980">
        <f t="shared" si="35"/>
        <v>0.1</v>
      </c>
    </row>
    <row r="981" spans="1:15" x14ac:dyDescent="0.25">
      <c r="A981" s="1">
        <v>44572</v>
      </c>
      <c r="B981" t="e">
        <f>NA()</f>
        <v>#N/A</v>
      </c>
      <c r="C981" t="e">
        <f>NA()</f>
        <v>#N/A</v>
      </c>
      <c r="D981" t="e">
        <f>NA()</f>
        <v>#N/A</v>
      </c>
      <c r="E981" t="e">
        <f>NA()</f>
        <v>#N/A</v>
      </c>
      <c r="F981" t="e">
        <f>NA()</f>
        <v>#N/A</v>
      </c>
      <c r="G981" t="e">
        <f>NA()</f>
        <v>#N/A</v>
      </c>
      <c r="H981" t="e">
        <f>NA()</f>
        <v>#N/A</v>
      </c>
      <c r="I981" t="e">
        <f>NA()</f>
        <v>#N/A</v>
      </c>
      <c r="J981" t="e">
        <f>NA()</f>
        <v>#N/A</v>
      </c>
      <c r="K981" t="e">
        <f>NA()</f>
        <v>#N/A</v>
      </c>
      <c r="L981" t="e">
        <f>NA()</f>
        <v>#N/A</v>
      </c>
      <c r="M981" t="e">
        <f>NA()</f>
        <v>#N/A</v>
      </c>
      <c r="N981" t="e">
        <f>NA()</f>
        <v>#N/A</v>
      </c>
      <c r="O981">
        <f t="shared" si="35"/>
        <v>0.1</v>
      </c>
    </row>
    <row r="982" spans="1:15" x14ac:dyDescent="0.25">
      <c r="A982" s="1">
        <v>44571</v>
      </c>
      <c r="B982" t="e">
        <f>NA()</f>
        <v>#N/A</v>
      </c>
      <c r="C982" t="e">
        <f>NA()</f>
        <v>#N/A</v>
      </c>
      <c r="D982" t="e">
        <f>NA()</f>
        <v>#N/A</v>
      </c>
      <c r="E982" t="e">
        <f>NA()</f>
        <v>#N/A</v>
      </c>
      <c r="F982" t="e">
        <f>NA()</f>
        <v>#N/A</v>
      </c>
      <c r="G982" t="e">
        <f>NA()</f>
        <v>#N/A</v>
      </c>
      <c r="H982" t="e">
        <f>NA()</f>
        <v>#N/A</v>
      </c>
      <c r="I982" t="e">
        <f>NA()</f>
        <v>#N/A</v>
      </c>
      <c r="J982" t="e">
        <f>NA()</f>
        <v>#N/A</v>
      </c>
      <c r="K982" t="e">
        <f>NA()</f>
        <v>#N/A</v>
      </c>
      <c r="L982" t="e">
        <f>NA()</f>
        <v>#N/A</v>
      </c>
      <c r="M982" t="e">
        <f>NA()</f>
        <v>#N/A</v>
      </c>
      <c r="N982" t="e">
        <f>NA()</f>
        <v>#N/A</v>
      </c>
      <c r="O982">
        <f t="shared" si="35"/>
        <v>0.1</v>
      </c>
    </row>
    <row r="983" spans="1:15" x14ac:dyDescent="0.25">
      <c r="A983" s="1">
        <v>44568</v>
      </c>
      <c r="B983">
        <f>-0.7</f>
        <v>-0.7</v>
      </c>
      <c r="C983">
        <f>0</f>
        <v>0</v>
      </c>
      <c r="D983" t="e">
        <f>NA()</f>
        <v>#N/A</v>
      </c>
      <c r="E983" t="e">
        <f>NA()</f>
        <v>#N/A</v>
      </c>
      <c r="F983" t="e">
        <f>NA()</f>
        <v>#N/A</v>
      </c>
      <c r="G983" t="e">
        <f>NA()</f>
        <v>#N/A</v>
      </c>
      <c r="H983" t="e">
        <f>NA()</f>
        <v>#N/A</v>
      </c>
      <c r="I983" t="e">
        <f>NA()</f>
        <v>#N/A</v>
      </c>
      <c r="J983" t="e">
        <f>NA()</f>
        <v>#N/A</v>
      </c>
      <c r="K983" t="e">
        <f>NA()</f>
        <v>#N/A</v>
      </c>
      <c r="L983" t="e">
        <f>NA()</f>
        <v>#N/A</v>
      </c>
      <c r="M983" t="e">
        <f>NA()</f>
        <v>#N/A</v>
      </c>
      <c r="N983" t="e">
        <f>NA()</f>
        <v>#N/A</v>
      </c>
      <c r="O983">
        <f t="shared" si="35"/>
        <v>0.1</v>
      </c>
    </row>
    <row r="984" spans="1:15" x14ac:dyDescent="0.25">
      <c r="A984" s="1">
        <v>44567</v>
      </c>
      <c r="B984" t="e">
        <f>NA()</f>
        <v>#N/A</v>
      </c>
      <c r="C984" t="e">
        <f>NA()</f>
        <v>#N/A</v>
      </c>
      <c r="D984" t="e">
        <f>NA()</f>
        <v>#N/A</v>
      </c>
      <c r="E984" t="e">
        <f>NA()</f>
        <v>#N/A</v>
      </c>
      <c r="F984" t="e">
        <f>NA()</f>
        <v>#N/A</v>
      </c>
      <c r="G984" t="e">
        <f>NA()</f>
        <v>#N/A</v>
      </c>
      <c r="H984" t="e">
        <f>NA()</f>
        <v>#N/A</v>
      </c>
      <c r="I984" t="e">
        <f>NA()</f>
        <v>#N/A</v>
      </c>
      <c r="J984" t="e">
        <f>NA()</f>
        <v>#N/A</v>
      </c>
      <c r="K984" t="e">
        <f>NA()</f>
        <v>#N/A</v>
      </c>
      <c r="L984" t="e">
        <f>NA()</f>
        <v>#N/A</v>
      </c>
      <c r="M984" t="e">
        <f>NA()</f>
        <v>#N/A</v>
      </c>
      <c r="N984" t="e">
        <f>NA()</f>
        <v>#N/A</v>
      </c>
      <c r="O984">
        <f t="shared" si="35"/>
        <v>0.1</v>
      </c>
    </row>
    <row r="985" spans="1:15" x14ac:dyDescent="0.25">
      <c r="A985" s="1">
        <v>44566</v>
      </c>
      <c r="B985" t="e">
        <f>NA()</f>
        <v>#N/A</v>
      </c>
      <c r="C985" t="e">
        <f>NA()</f>
        <v>#N/A</v>
      </c>
      <c r="D985" t="e">
        <f>NA()</f>
        <v>#N/A</v>
      </c>
      <c r="E985" t="e">
        <f>NA()</f>
        <v>#N/A</v>
      </c>
      <c r="F985" t="e">
        <f>NA()</f>
        <v>#N/A</v>
      </c>
      <c r="G985" t="e">
        <f>NA()</f>
        <v>#N/A</v>
      </c>
      <c r="H985" t="e">
        <f>NA()</f>
        <v>#N/A</v>
      </c>
      <c r="I985" t="e">
        <f>NA()</f>
        <v>#N/A</v>
      </c>
      <c r="J985" t="e">
        <f>NA()</f>
        <v>#N/A</v>
      </c>
      <c r="K985" t="e">
        <f>NA()</f>
        <v>#N/A</v>
      </c>
      <c r="L985" t="e">
        <f>NA()</f>
        <v>#N/A</v>
      </c>
      <c r="M985" t="e">
        <f>NA()</f>
        <v>#N/A</v>
      </c>
      <c r="N985" t="e">
        <f>NA()</f>
        <v>#N/A</v>
      </c>
      <c r="O985">
        <f t="shared" si="35"/>
        <v>0.1</v>
      </c>
    </row>
    <row r="986" spans="1:15" x14ac:dyDescent="0.25">
      <c r="A986" s="1">
        <v>44565</v>
      </c>
      <c r="B986" t="e">
        <f>NA()</f>
        <v>#N/A</v>
      </c>
      <c r="C986" t="e">
        <f>NA()</f>
        <v>#N/A</v>
      </c>
      <c r="D986" t="e">
        <f>NA()</f>
        <v>#N/A</v>
      </c>
      <c r="E986" t="e">
        <f>NA()</f>
        <v>#N/A</v>
      </c>
      <c r="F986" t="e">
        <f>NA()</f>
        <v>#N/A</v>
      </c>
      <c r="G986" t="e">
        <f>NA()</f>
        <v>#N/A</v>
      </c>
      <c r="H986" t="e">
        <f>NA()</f>
        <v>#N/A</v>
      </c>
      <c r="I986" t="e">
        <f>NA()</f>
        <v>#N/A</v>
      </c>
      <c r="J986" t="e">
        <f>NA()</f>
        <v>#N/A</v>
      </c>
      <c r="K986" t="e">
        <f>NA()</f>
        <v>#N/A</v>
      </c>
      <c r="L986" t="e">
        <f>NA()</f>
        <v>#N/A</v>
      </c>
      <c r="M986" t="e">
        <f>NA()</f>
        <v>#N/A</v>
      </c>
      <c r="N986" t="e">
        <f>NA()</f>
        <v>#N/A</v>
      </c>
      <c r="O986">
        <f t="shared" si="35"/>
        <v>0.1</v>
      </c>
    </row>
    <row r="987" spans="1:15" x14ac:dyDescent="0.25">
      <c r="A987" s="1">
        <v>44564</v>
      </c>
      <c r="B987" t="e">
        <f>NA()</f>
        <v>#N/A</v>
      </c>
      <c r="C987" t="e">
        <f>NA()</f>
        <v>#N/A</v>
      </c>
      <c r="D987" t="e">
        <f>NA()</f>
        <v>#N/A</v>
      </c>
      <c r="E987" t="e">
        <f>NA()</f>
        <v>#N/A</v>
      </c>
      <c r="F987" t="e">
        <f>NA()</f>
        <v>#N/A</v>
      </c>
      <c r="G987" t="e">
        <f>NA()</f>
        <v>#N/A</v>
      </c>
      <c r="H987" t="e">
        <f>NA()</f>
        <v>#N/A</v>
      </c>
      <c r="I987" t="e">
        <f>NA()</f>
        <v>#N/A</v>
      </c>
      <c r="J987" t="e">
        <f>NA()</f>
        <v>#N/A</v>
      </c>
      <c r="K987" t="e">
        <f>NA()</f>
        <v>#N/A</v>
      </c>
      <c r="L987" t="e">
        <f>NA()</f>
        <v>#N/A</v>
      </c>
      <c r="M987" t="e">
        <f>NA()</f>
        <v>#N/A</v>
      </c>
      <c r="N987" t="e">
        <f>NA()</f>
        <v>#N/A</v>
      </c>
      <c r="O987">
        <f t="shared" si="35"/>
        <v>0.1</v>
      </c>
    </row>
    <row r="988" spans="1:15" x14ac:dyDescent="0.25">
      <c r="A988" s="1">
        <v>44561</v>
      </c>
      <c r="B988">
        <f>-0.8</f>
        <v>-0.8</v>
      </c>
      <c r="C988">
        <f>0</f>
        <v>0</v>
      </c>
      <c r="D988">
        <f>0.5</f>
        <v>0.5</v>
      </c>
      <c r="E988">
        <f>-1.9</f>
        <v>-1.9</v>
      </c>
      <c r="F988">
        <f>11417</f>
        <v>11417</v>
      </c>
      <c r="G988">
        <f>62</f>
        <v>62</v>
      </c>
      <c r="H988">
        <f>14</f>
        <v>14</v>
      </c>
      <c r="I988">
        <f>278.8</f>
        <v>278.8</v>
      </c>
      <c r="J988">
        <f>7</f>
        <v>7</v>
      </c>
      <c r="K988">
        <f>58.3</f>
        <v>58.3</v>
      </c>
      <c r="L988">
        <f>-0.1</f>
        <v>-0.1</v>
      </c>
      <c r="M988">
        <f>7</f>
        <v>7</v>
      </c>
      <c r="N988">
        <f>3.9</f>
        <v>3.9</v>
      </c>
      <c r="O988">
        <f t="shared" si="35"/>
        <v>0.1</v>
      </c>
    </row>
    <row r="989" spans="1:15" x14ac:dyDescent="0.25">
      <c r="A989" s="1">
        <v>44560</v>
      </c>
      <c r="B989" t="e">
        <f>NA()</f>
        <v>#N/A</v>
      </c>
      <c r="C989" t="e">
        <f>NA()</f>
        <v>#N/A</v>
      </c>
      <c r="D989" t="e">
        <f>NA()</f>
        <v>#N/A</v>
      </c>
      <c r="E989" t="e">
        <f>NA()</f>
        <v>#N/A</v>
      </c>
      <c r="F989" t="e">
        <f>NA()</f>
        <v>#N/A</v>
      </c>
      <c r="G989" t="e">
        <f>NA()</f>
        <v>#N/A</v>
      </c>
      <c r="H989" t="e">
        <f>NA()</f>
        <v>#N/A</v>
      </c>
      <c r="I989" t="e">
        <f>NA()</f>
        <v>#N/A</v>
      </c>
      <c r="J989" t="e">
        <f>NA()</f>
        <v>#N/A</v>
      </c>
      <c r="K989" t="e">
        <f>NA()</f>
        <v>#N/A</v>
      </c>
      <c r="L989" t="e">
        <f>NA()</f>
        <v>#N/A</v>
      </c>
      <c r="M989" t="e">
        <f>NA()</f>
        <v>#N/A</v>
      </c>
      <c r="N989" t="e">
        <f>NA()</f>
        <v>#N/A</v>
      </c>
      <c r="O989">
        <f t="shared" si="35"/>
        <v>0.1</v>
      </c>
    </row>
    <row r="990" spans="1:15" x14ac:dyDescent="0.25">
      <c r="A990" s="1">
        <v>44559</v>
      </c>
      <c r="B990" t="e">
        <f>NA()</f>
        <v>#N/A</v>
      </c>
      <c r="C990" t="e">
        <f>NA()</f>
        <v>#N/A</v>
      </c>
      <c r="D990" t="e">
        <f>NA()</f>
        <v>#N/A</v>
      </c>
      <c r="E990" t="e">
        <f>NA()</f>
        <v>#N/A</v>
      </c>
      <c r="F990" t="e">
        <f>NA()</f>
        <v>#N/A</v>
      </c>
      <c r="G990" t="e">
        <f>NA()</f>
        <v>#N/A</v>
      </c>
      <c r="H990" t="e">
        <f>NA()</f>
        <v>#N/A</v>
      </c>
      <c r="I990" t="e">
        <f>NA()</f>
        <v>#N/A</v>
      </c>
      <c r="J990" t="e">
        <f>NA()</f>
        <v>#N/A</v>
      </c>
      <c r="K990" t="e">
        <f>NA()</f>
        <v>#N/A</v>
      </c>
      <c r="L990" t="e">
        <f>NA()</f>
        <v>#N/A</v>
      </c>
      <c r="M990" t="e">
        <f>NA()</f>
        <v>#N/A</v>
      </c>
      <c r="N990" t="e">
        <f>NA()</f>
        <v>#N/A</v>
      </c>
      <c r="O990">
        <f t="shared" si="35"/>
        <v>0.1</v>
      </c>
    </row>
    <row r="991" spans="1:15" x14ac:dyDescent="0.25">
      <c r="A991" s="1">
        <v>44558</v>
      </c>
      <c r="B991" t="e">
        <f>NA()</f>
        <v>#N/A</v>
      </c>
      <c r="C991" t="e">
        <f>NA()</f>
        <v>#N/A</v>
      </c>
      <c r="D991" t="e">
        <f>NA()</f>
        <v>#N/A</v>
      </c>
      <c r="E991" t="e">
        <f>NA()</f>
        <v>#N/A</v>
      </c>
      <c r="F991" t="e">
        <f>NA()</f>
        <v>#N/A</v>
      </c>
      <c r="G991" t="e">
        <f>NA()</f>
        <v>#N/A</v>
      </c>
      <c r="H991" t="e">
        <f>NA()</f>
        <v>#N/A</v>
      </c>
      <c r="I991" t="e">
        <f>NA()</f>
        <v>#N/A</v>
      </c>
      <c r="J991" t="e">
        <f>NA()</f>
        <v>#N/A</v>
      </c>
      <c r="K991" t="e">
        <f>NA()</f>
        <v>#N/A</v>
      </c>
      <c r="L991" t="e">
        <f>NA()</f>
        <v>#N/A</v>
      </c>
      <c r="M991" t="e">
        <f>NA()</f>
        <v>#N/A</v>
      </c>
      <c r="N991" t="e">
        <f>NA()</f>
        <v>#N/A</v>
      </c>
      <c r="O991">
        <f t="shared" si="35"/>
        <v>0.1</v>
      </c>
    </row>
    <row r="992" spans="1:15" x14ac:dyDescent="0.25">
      <c r="A992" s="1">
        <v>44557</v>
      </c>
      <c r="B992" t="e">
        <f>NA()</f>
        <v>#N/A</v>
      </c>
      <c r="C992" t="e">
        <f>NA()</f>
        <v>#N/A</v>
      </c>
      <c r="D992" t="e">
        <f>NA()</f>
        <v>#N/A</v>
      </c>
      <c r="E992" t="e">
        <f>NA()</f>
        <v>#N/A</v>
      </c>
      <c r="F992" t="e">
        <f>NA()</f>
        <v>#N/A</v>
      </c>
      <c r="G992" t="e">
        <f>NA()</f>
        <v>#N/A</v>
      </c>
      <c r="H992" t="e">
        <f>NA()</f>
        <v>#N/A</v>
      </c>
      <c r="I992" t="e">
        <f>NA()</f>
        <v>#N/A</v>
      </c>
      <c r="J992" t="e">
        <f>NA()</f>
        <v>#N/A</v>
      </c>
      <c r="K992" t="e">
        <f>NA()</f>
        <v>#N/A</v>
      </c>
      <c r="L992" t="e">
        <f>NA()</f>
        <v>#N/A</v>
      </c>
      <c r="M992" t="e">
        <f>NA()</f>
        <v>#N/A</v>
      </c>
      <c r="N992" t="e">
        <f>NA()</f>
        <v>#N/A</v>
      </c>
      <c r="O992">
        <f t="shared" si="35"/>
        <v>0.1</v>
      </c>
    </row>
    <row r="993" spans="1:15" x14ac:dyDescent="0.25">
      <c r="A993" s="1">
        <v>44554</v>
      </c>
      <c r="B993">
        <f>-0.6</f>
        <v>-0.6</v>
      </c>
      <c r="C993">
        <f>0</f>
        <v>0</v>
      </c>
      <c r="D993" t="e">
        <f>NA()</f>
        <v>#N/A</v>
      </c>
      <c r="E993" t="e">
        <f>NA()</f>
        <v>#N/A</v>
      </c>
      <c r="F993" t="e">
        <f>NA()</f>
        <v>#N/A</v>
      </c>
      <c r="G993" t="e">
        <f>NA()</f>
        <v>#N/A</v>
      </c>
      <c r="H993" t="e">
        <f>NA()</f>
        <v>#N/A</v>
      </c>
      <c r="I993" t="e">
        <f>NA()</f>
        <v>#N/A</v>
      </c>
      <c r="J993" t="e">
        <f>NA()</f>
        <v>#N/A</v>
      </c>
      <c r="K993" t="e">
        <f>NA()</f>
        <v>#N/A</v>
      </c>
      <c r="L993" t="e">
        <f>NA()</f>
        <v>#N/A</v>
      </c>
      <c r="M993" t="e">
        <f>NA()</f>
        <v>#N/A</v>
      </c>
      <c r="N993" t="e">
        <f>NA()</f>
        <v>#N/A</v>
      </c>
      <c r="O993">
        <f t="shared" si="35"/>
        <v>0.1</v>
      </c>
    </row>
    <row r="994" spans="1:15" x14ac:dyDescent="0.25">
      <c r="A994" s="1">
        <v>44553</v>
      </c>
      <c r="B994" t="e">
        <f>NA()</f>
        <v>#N/A</v>
      </c>
      <c r="C994" t="e">
        <f>NA()</f>
        <v>#N/A</v>
      </c>
      <c r="D994" t="e">
        <f>NA()</f>
        <v>#N/A</v>
      </c>
      <c r="E994" t="e">
        <f>NA()</f>
        <v>#N/A</v>
      </c>
      <c r="F994" t="e">
        <f>NA()</f>
        <v>#N/A</v>
      </c>
      <c r="G994" t="e">
        <f>NA()</f>
        <v>#N/A</v>
      </c>
      <c r="H994" t="e">
        <f>NA()</f>
        <v>#N/A</v>
      </c>
      <c r="I994" t="e">
        <f>NA()</f>
        <v>#N/A</v>
      </c>
      <c r="J994" t="e">
        <f>NA()</f>
        <v>#N/A</v>
      </c>
      <c r="K994" t="e">
        <f>NA()</f>
        <v>#N/A</v>
      </c>
      <c r="L994" t="e">
        <f>NA()</f>
        <v>#N/A</v>
      </c>
      <c r="M994" t="e">
        <f>NA()</f>
        <v>#N/A</v>
      </c>
      <c r="N994" t="e">
        <f>NA()</f>
        <v>#N/A</v>
      </c>
      <c r="O994">
        <f t="shared" si="35"/>
        <v>0.1</v>
      </c>
    </row>
    <row r="995" spans="1:15" x14ac:dyDescent="0.25">
      <c r="A995" s="1">
        <v>44552</v>
      </c>
      <c r="B995" t="e">
        <f>NA()</f>
        <v>#N/A</v>
      </c>
      <c r="C995" t="e">
        <f>NA()</f>
        <v>#N/A</v>
      </c>
      <c r="D995" t="e">
        <f>NA()</f>
        <v>#N/A</v>
      </c>
      <c r="E995" t="e">
        <f>NA()</f>
        <v>#N/A</v>
      </c>
      <c r="F995" t="e">
        <f>NA()</f>
        <v>#N/A</v>
      </c>
      <c r="G995" t="e">
        <f>NA()</f>
        <v>#N/A</v>
      </c>
      <c r="H995" t="e">
        <f>NA()</f>
        <v>#N/A</v>
      </c>
      <c r="I995" t="e">
        <f>NA()</f>
        <v>#N/A</v>
      </c>
      <c r="J995" t="e">
        <f>NA()</f>
        <v>#N/A</v>
      </c>
      <c r="K995" t="e">
        <f>NA()</f>
        <v>#N/A</v>
      </c>
      <c r="L995" t="e">
        <f>NA()</f>
        <v>#N/A</v>
      </c>
      <c r="M995" t="e">
        <f>NA()</f>
        <v>#N/A</v>
      </c>
      <c r="N995" t="e">
        <f>NA()</f>
        <v>#N/A</v>
      </c>
      <c r="O995">
        <f t="shared" si="35"/>
        <v>0.1</v>
      </c>
    </row>
    <row r="996" spans="1:15" x14ac:dyDescent="0.25">
      <c r="A996" s="1">
        <v>44551</v>
      </c>
      <c r="B996" t="e">
        <f>NA()</f>
        <v>#N/A</v>
      </c>
      <c r="C996" t="e">
        <f>NA()</f>
        <v>#N/A</v>
      </c>
      <c r="D996" t="e">
        <f>NA()</f>
        <v>#N/A</v>
      </c>
      <c r="E996" t="e">
        <f>NA()</f>
        <v>#N/A</v>
      </c>
      <c r="F996" t="e">
        <f>NA()</f>
        <v>#N/A</v>
      </c>
      <c r="G996" t="e">
        <f>NA()</f>
        <v>#N/A</v>
      </c>
      <c r="H996" t="e">
        <f>NA()</f>
        <v>#N/A</v>
      </c>
      <c r="I996" t="e">
        <f>NA()</f>
        <v>#N/A</v>
      </c>
      <c r="J996" t="e">
        <f>NA()</f>
        <v>#N/A</v>
      </c>
      <c r="K996" t="e">
        <f>NA()</f>
        <v>#N/A</v>
      </c>
      <c r="L996" t="e">
        <f>NA()</f>
        <v>#N/A</v>
      </c>
      <c r="M996" t="e">
        <f>NA()</f>
        <v>#N/A</v>
      </c>
      <c r="N996" t="e">
        <f>NA()</f>
        <v>#N/A</v>
      </c>
      <c r="O996">
        <f t="shared" si="35"/>
        <v>0.1</v>
      </c>
    </row>
    <row r="997" spans="1:15" x14ac:dyDescent="0.25">
      <c r="A997" s="1">
        <v>44550</v>
      </c>
      <c r="B997" t="e">
        <f>NA()</f>
        <v>#N/A</v>
      </c>
      <c r="C997" t="e">
        <f>NA()</f>
        <v>#N/A</v>
      </c>
      <c r="D997" t="e">
        <f>NA()</f>
        <v>#N/A</v>
      </c>
      <c r="E997" t="e">
        <f>NA()</f>
        <v>#N/A</v>
      </c>
      <c r="F997" t="e">
        <f>NA()</f>
        <v>#N/A</v>
      </c>
      <c r="G997" t="e">
        <f>NA()</f>
        <v>#N/A</v>
      </c>
      <c r="H997" t="e">
        <f>NA()</f>
        <v>#N/A</v>
      </c>
      <c r="I997" t="e">
        <f>NA()</f>
        <v>#N/A</v>
      </c>
      <c r="J997" t="e">
        <f>NA()</f>
        <v>#N/A</v>
      </c>
      <c r="K997" t="e">
        <f>NA()</f>
        <v>#N/A</v>
      </c>
      <c r="L997" t="e">
        <f>NA()</f>
        <v>#N/A</v>
      </c>
      <c r="M997" t="e">
        <f>NA()</f>
        <v>#N/A</v>
      </c>
      <c r="N997" t="e">
        <f>NA()</f>
        <v>#N/A</v>
      </c>
      <c r="O997">
        <f t="shared" si="35"/>
        <v>0.1</v>
      </c>
    </row>
    <row r="998" spans="1:15" x14ac:dyDescent="0.25">
      <c r="A998" s="1">
        <v>44547</v>
      </c>
      <c r="B998">
        <f>-0.5</f>
        <v>-0.5</v>
      </c>
      <c r="C998">
        <f>0</f>
        <v>0</v>
      </c>
      <c r="D998" t="e">
        <f>NA()</f>
        <v>#N/A</v>
      </c>
      <c r="E998" t="e">
        <f>NA()</f>
        <v>#N/A</v>
      </c>
      <c r="F998" t="e">
        <f>NA()</f>
        <v>#N/A</v>
      </c>
      <c r="G998" t="e">
        <f>NA()</f>
        <v>#N/A</v>
      </c>
      <c r="H998" t="e">
        <f>NA()</f>
        <v>#N/A</v>
      </c>
      <c r="I998" t="e">
        <f>NA()</f>
        <v>#N/A</v>
      </c>
      <c r="J998" t="e">
        <f>NA()</f>
        <v>#N/A</v>
      </c>
      <c r="K998" t="e">
        <f>NA()</f>
        <v>#N/A</v>
      </c>
      <c r="L998" t="e">
        <f>NA()</f>
        <v>#N/A</v>
      </c>
      <c r="M998" t="e">
        <f>NA()</f>
        <v>#N/A</v>
      </c>
      <c r="N998" t="e">
        <f>NA()</f>
        <v>#N/A</v>
      </c>
      <c r="O998">
        <f t="shared" si="35"/>
        <v>0.1</v>
      </c>
    </row>
    <row r="999" spans="1:15" x14ac:dyDescent="0.25">
      <c r="A999" s="1">
        <v>44546</v>
      </c>
      <c r="B999" t="e">
        <f>NA()</f>
        <v>#N/A</v>
      </c>
      <c r="C999" t="e">
        <f>NA()</f>
        <v>#N/A</v>
      </c>
      <c r="D999" t="e">
        <f>NA()</f>
        <v>#N/A</v>
      </c>
      <c r="E999" t="e">
        <f>NA()</f>
        <v>#N/A</v>
      </c>
      <c r="F999" t="e">
        <f>NA()</f>
        <v>#N/A</v>
      </c>
      <c r="G999" t="e">
        <f>NA()</f>
        <v>#N/A</v>
      </c>
      <c r="H999" t="e">
        <f>NA()</f>
        <v>#N/A</v>
      </c>
      <c r="I999" t="e">
        <f>NA()</f>
        <v>#N/A</v>
      </c>
      <c r="J999" t="e">
        <f>NA()</f>
        <v>#N/A</v>
      </c>
      <c r="K999" t="e">
        <f>NA()</f>
        <v>#N/A</v>
      </c>
      <c r="L999" t="e">
        <f>NA()</f>
        <v>#N/A</v>
      </c>
      <c r="M999" t="e">
        <f>NA()</f>
        <v>#N/A</v>
      </c>
      <c r="N999" t="e">
        <f>NA()</f>
        <v>#N/A</v>
      </c>
      <c r="O999">
        <f t="shared" si="35"/>
        <v>0.1</v>
      </c>
    </row>
    <row r="1000" spans="1:15" x14ac:dyDescent="0.25">
      <c r="A1000" s="1">
        <v>44545</v>
      </c>
      <c r="B1000" t="e">
        <f>NA()</f>
        <v>#N/A</v>
      </c>
      <c r="C1000" t="e">
        <f>NA()</f>
        <v>#N/A</v>
      </c>
      <c r="D1000" t="e">
        <f>NA()</f>
        <v>#N/A</v>
      </c>
      <c r="E1000" t="e">
        <f>NA()</f>
        <v>#N/A</v>
      </c>
      <c r="F1000" t="e">
        <f>NA()</f>
        <v>#N/A</v>
      </c>
      <c r="G1000" t="e">
        <f>NA()</f>
        <v>#N/A</v>
      </c>
      <c r="H1000" t="e">
        <f>NA()</f>
        <v>#N/A</v>
      </c>
      <c r="I1000" t="e">
        <f>NA()</f>
        <v>#N/A</v>
      </c>
      <c r="J1000" t="e">
        <f>NA()</f>
        <v>#N/A</v>
      </c>
      <c r="K1000" t="e">
        <f>NA()</f>
        <v>#N/A</v>
      </c>
      <c r="L1000" t="e">
        <f>NA()</f>
        <v>#N/A</v>
      </c>
      <c r="M1000" t="e">
        <f>NA()</f>
        <v>#N/A</v>
      </c>
      <c r="N1000" t="e">
        <f>NA()</f>
        <v>#N/A</v>
      </c>
      <c r="O1000">
        <f t="shared" si="35"/>
        <v>0.1</v>
      </c>
    </row>
    <row r="1001" spans="1:15" x14ac:dyDescent="0.25">
      <c r="A1001" s="1">
        <v>44544</v>
      </c>
      <c r="B1001" t="e">
        <f>NA()</f>
        <v>#N/A</v>
      </c>
      <c r="C1001" t="e">
        <f>NA()</f>
        <v>#N/A</v>
      </c>
      <c r="D1001" t="e">
        <f>NA()</f>
        <v>#N/A</v>
      </c>
      <c r="E1001" t="e">
        <f>NA()</f>
        <v>#N/A</v>
      </c>
      <c r="F1001" t="e">
        <f>NA()</f>
        <v>#N/A</v>
      </c>
      <c r="G1001" t="e">
        <f>NA()</f>
        <v>#N/A</v>
      </c>
      <c r="H1001" t="e">
        <f>NA()</f>
        <v>#N/A</v>
      </c>
      <c r="I1001" t="e">
        <f>NA()</f>
        <v>#N/A</v>
      </c>
      <c r="J1001" t="e">
        <f>NA()</f>
        <v>#N/A</v>
      </c>
      <c r="K1001" t="e">
        <f>NA()</f>
        <v>#N/A</v>
      </c>
      <c r="L1001" t="e">
        <f>NA()</f>
        <v>#N/A</v>
      </c>
      <c r="M1001" t="e">
        <f>NA()</f>
        <v>#N/A</v>
      </c>
      <c r="N1001" t="e">
        <f>NA()</f>
        <v>#N/A</v>
      </c>
      <c r="O1001">
        <f t="shared" ref="O1001:O1030" si="36">0.1</f>
        <v>0.1</v>
      </c>
    </row>
    <row r="1002" spans="1:15" x14ac:dyDescent="0.25">
      <c r="A1002" s="1">
        <v>44543</v>
      </c>
      <c r="B1002" t="e">
        <f>NA()</f>
        <v>#N/A</v>
      </c>
      <c r="C1002" t="e">
        <f>NA()</f>
        <v>#N/A</v>
      </c>
      <c r="D1002" t="e">
        <f>NA()</f>
        <v>#N/A</v>
      </c>
      <c r="E1002" t="e">
        <f>NA()</f>
        <v>#N/A</v>
      </c>
      <c r="F1002" t="e">
        <f>NA()</f>
        <v>#N/A</v>
      </c>
      <c r="G1002" t="e">
        <f>NA()</f>
        <v>#N/A</v>
      </c>
      <c r="H1002" t="e">
        <f>NA()</f>
        <v>#N/A</v>
      </c>
      <c r="I1002" t="e">
        <f>NA()</f>
        <v>#N/A</v>
      </c>
      <c r="J1002" t="e">
        <f>NA()</f>
        <v>#N/A</v>
      </c>
      <c r="K1002" t="e">
        <f>NA()</f>
        <v>#N/A</v>
      </c>
      <c r="L1002" t="e">
        <f>NA()</f>
        <v>#N/A</v>
      </c>
      <c r="M1002" t="e">
        <f>NA()</f>
        <v>#N/A</v>
      </c>
      <c r="N1002" t="e">
        <f>NA()</f>
        <v>#N/A</v>
      </c>
      <c r="O1002">
        <f t="shared" si="36"/>
        <v>0.1</v>
      </c>
    </row>
    <row r="1003" spans="1:15" x14ac:dyDescent="0.25">
      <c r="A1003" s="1">
        <v>44540</v>
      </c>
      <c r="B1003">
        <f>-0.7</f>
        <v>-0.7</v>
      </c>
      <c r="C1003">
        <f>0</f>
        <v>0</v>
      </c>
      <c r="D1003" t="e">
        <f>NA()</f>
        <v>#N/A</v>
      </c>
      <c r="E1003" t="e">
        <f>NA()</f>
        <v>#N/A</v>
      </c>
      <c r="F1003" t="e">
        <f>NA()</f>
        <v>#N/A</v>
      </c>
      <c r="G1003" t="e">
        <f>NA()</f>
        <v>#N/A</v>
      </c>
      <c r="H1003" t="e">
        <f>NA()</f>
        <v>#N/A</v>
      </c>
      <c r="I1003" t="e">
        <f>NA()</f>
        <v>#N/A</v>
      </c>
      <c r="J1003" t="e">
        <f>NA()</f>
        <v>#N/A</v>
      </c>
      <c r="K1003" t="e">
        <f>NA()</f>
        <v>#N/A</v>
      </c>
      <c r="L1003" t="e">
        <f>NA()</f>
        <v>#N/A</v>
      </c>
      <c r="M1003" t="e">
        <f>NA()</f>
        <v>#N/A</v>
      </c>
      <c r="N1003" t="e">
        <f>NA()</f>
        <v>#N/A</v>
      </c>
      <c r="O1003">
        <f t="shared" si="36"/>
        <v>0.1</v>
      </c>
    </row>
    <row r="1004" spans="1:15" x14ac:dyDescent="0.25">
      <c r="A1004" s="1">
        <v>44539</v>
      </c>
      <c r="B1004" t="e">
        <f>NA()</f>
        <v>#N/A</v>
      </c>
      <c r="C1004" t="e">
        <f>NA()</f>
        <v>#N/A</v>
      </c>
      <c r="D1004" t="e">
        <f>NA()</f>
        <v>#N/A</v>
      </c>
      <c r="E1004" t="e">
        <f>NA()</f>
        <v>#N/A</v>
      </c>
      <c r="F1004" t="e">
        <f>NA()</f>
        <v>#N/A</v>
      </c>
      <c r="G1004" t="e">
        <f>NA()</f>
        <v>#N/A</v>
      </c>
      <c r="H1004" t="e">
        <f>NA()</f>
        <v>#N/A</v>
      </c>
      <c r="I1004" t="e">
        <f>NA()</f>
        <v>#N/A</v>
      </c>
      <c r="J1004" t="e">
        <f>NA()</f>
        <v>#N/A</v>
      </c>
      <c r="K1004" t="e">
        <f>NA()</f>
        <v>#N/A</v>
      </c>
      <c r="L1004" t="e">
        <f>NA()</f>
        <v>#N/A</v>
      </c>
      <c r="M1004" t="e">
        <f>NA()</f>
        <v>#N/A</v>
      </c>
      <c r="N1004" t="e">
        <f>NA()</f>
        <v>#N/A</v>
      </c>
      <c r="O1004">
        <f t="shared" si="36"/>
        <v>0.1</v>
      </c>
    </row>
    <row r="1005" spans="1:15" x14ac:dyDescent="0.25">
      <c r="A1005" s="1">
        <v>44538</v>
      </c>
      <c r="B1005" t="e">
        <f>NA()</f>
        <v>#N/A</v>
      </c>
      <c r="C1005" t="e">
        <f>NA()</f>
        <v>#N/A</v>
      </c>
      <c r="D1005" t="e">
        <f>NA()</f>
        <v>#N/A</v>
      </c>
      <c r="E1005" t="e">
        <f>NA()</f>
        <v>#N/A</v>
      </c>
      <c r="F1005" t="e">
        <f>NA()</f>
        <v>#N/A</v>
      </c>
      <c r="G1005" t="e">
        <f>NA()</f>
        <v>#N/A</v>
      </c>
      <c r="H1005" t="e">
        <f>NA()</f>
        <v>#N/A</v>
      </c>
      <c r="I1005" t="e">
        <f>NA()</f>
        <v>#N/A</v>
      </c>
      <c r="J1005" t="e">
        <f>NA()</f>
        <v>#N/A</v>
      </c>
      <c r="K1005" t="e">
        <f>NA()</f>
        <v>#N/A</v>
      </c>
      <c r="L1005" t="e">
        <f>NA()</f>
        <v>#N/A</v>
      </c>
      <c r="M1005" t="e">
        <f>NA()</f>
        <v>#N/A</v>
      </c>
      <c r="N1005" t="e">
        <f>NA()</f>
        <v>#N/A</v>
      </c>
      <c r="O1005">
        <f t="shared" si="36"/>
        <v>0.1</v>
      </c>
    </row>
    <row r="1006" spans="1:15" x14ac:dyDescent="0.25">
      <c r="A1006" s="1">
        <v>44537</v>
      </c>
      <c r="B1006" t="e">
        <f>NA()</f>
        <v>#N/A</v>
      </c>
      <c r="C1006" t="e">
        <f>NA()</f>
        <v>#N/A</v>
      </c>
      <c r="D1006" t="e">
        <f>NA()</f>
        <v>#N/A</v>
      </c>
      <c r="E1006" t="e">
        <f>NA()</f>
        <v>#N/A</v>
      </c>
      <c r="F1006" t="e">
        <f>NA()</f>
        <v>#N/A</v>
      </c>
      <c r="G1006" t="e">
        <f>NA()</f>
        <v>#N/A</v>
      </c>
      <c r="H1006" t="e">
        <f>NA()</f>
        <v>#N/A</v>
      </c>
      <c r="I1006" t="e">
        <f>NA()</f>
        <v>#N/A</v>
      </c>
      <c r="J1006" t="e">
        <f>NA()</f>
        <v>#N/A</v>
      </c>
      <c r="K1006" t="e">
        <f>NA()</f>
        <v>#N/A</v>
      </c>
      <c r="L1006" t="e">
        <f>NA()</f>
        <v>#N/A</v>
      </c>
      <c r="M1006" t="e">
        <f>NA()</f>
        <v>#N/A</v>
      </c>
      <c r="N1006" t="e">
        <f>NA()</f>
        <v>#N/A</v>
      </c>
      <c r="O1006">
        <f t="shared" si="36"/>
        <v>0.1</v>
      </c>
    </row>
    <row r="1007" spans="1:15" x14ac:dyDescent="0.25">
      <c r="A1007" s="1">
        <v>44536</v>
      </c>
      <c r="B1007" t="e">
        <f>NA()</f>
        <v>#N/A</v>
      </c>
      <c r="C1007" t="e">
        <f>NA()</f>
        <v>#N/A</v>
      </c>
      <c r="D1007" t="e">
        <f>NA()</f>
        <v>#N/A</v>
      </c>
      <c r="E1007" t="e">
        <f>NA()</f>
        <v>#N/A</v>
      </c>
      <c r="F1007" t="e">
        <f>NA()</f>
        <v>#N/A</v>
      </c>
      <c r="G1007" t="e">
        <f>NA()</f>
        <v>#N/A</v>
      </c>
      <c r="H1007" t="e">
        <f>NA()</f>
        <v>#N/A</v>
      </c>
      <c r="I1007" t="e">
        <f>NA()</f>
        <v>#N/A</v>
      </c>
      <c r="J1007" t="e">
        <f>NA()</f>
        <v>#N/A</v>
      </c>
      <c r="K1007" t="e">
        <f>NA()</f>
        <v>#N/A</v>
      </c>
      <c r="L1007" t="e">
        <f>NA()</f>
        <v>#N/A</v>
      </c>
      <c r="M1007" t="e">
        <f>NA()</f>
        <v>#N/A</v>
      </c>
      <c r="N1007" t="e">
        <f>NA()</f>
        <v>#N/A</v>
      </c>
      <c r="O1007">
        <f t="shared" si="36"/>
        <v>0.1</v>
      </c>
    </row>
    <row r="1008" spans="1:15" x14ac:dyDescent="0.25">
      <c r="A1008" s="1">
        <v>44533</v>
      </c>
      <c r="B1008">
        <f>-0.2</f>
        <v>-0.2</v>
      </c>
      <c r="C1008">
        <f>0</f>
        <v>0</v>
      </c>
      <c r="D1008" t="e">
        <f>NA()</f>
        <v>#N/A</v>
      </c>
      <c r="E1008" t="e">
        <f>NA()</f>
        <v>#N/A</v>
      </c>
      <c r="F1008" t="e">
        <f>NA()</f>
        <v>#N/A</v>
      </c>
      <c r="G1008" t="e">
        <f>NA()</f>
        <v>#N/A</v>
      </c>
      <c r="H1008" t="e">
        <f>NA()</f>
        <v>#N/A</v>
      </c>
      <c r="I1008" t="e">
        <f>NA()</f>
        <v>#N/A</v>
      </c>
      <c r="J1008" t="e">
        <f>NA()</f>
        <v>#N/A</v>
      </c>
      <c r="K1008" t="e">
        <f>NA()</f>
        <v>#N/A</v>
      </c>
      <c r="L1008" t="e">
        <f>NA()</f>
        <v>#N/A</v>
      </c>
      <c r="M1008" t="e">
        <f>NA()</f>
        <v>#N/A</v>
      </c>
      <c r="N1008" t="e">
        <f>NA()</f>
        <v>#N/A</v>
      </c>
      <c r="O1008">
        <f t="shared" si="36"/>
        <v>0.1</v>
      </c>
    </row>
    <row r="1009" spans="1:15" x14ac:dyDescent="0.25">
      <c r="A1009" s="1">
        <v>44532</v>
      </c>
      <c r="B1009" t="e">
        <f>NA()</f>
        <v>#N/A</v>
      </c>
      <c r="C1009" t="e">
        <f>NA()</f>
        <v>#N/A</v>
      </c>
      <c r="D1009" t="e">
        <f>NA()</f>
        <v>#N/A</v>
      </c>
      <c r="E1009" t="e">
        <f>NA()</f>
        <v>#N/A</v>
      </c>
      <c r="F1009" t="e">
        <f>NA()</f>
        <v>#N/A</v>
      </c>
      <c r="G1009" t="e">
        <f>NA()</f>
        <v>#N/A</v>
      </c>
      <c r="H1009" t="e">
        <f>NA()</f>
        <v>#N/A</v>
      </c>
      <c r="I1009" t="e">
        <f>NA()</f>
        <v>#N/A</v>
      </c>
      <c r="J1009" t="e">
        <f>NA()</f>
        <v>#N/A</v>
      </c>
      <c r="K1009" t="e">
        <f>NA()</f>
        <v>#N/A</v>
      </c>
      <c r="L1009" t="e">
        <f>NA()</f>
        <v>#N/A</v>
      </c>
      <c r="M1009" t="e">
        <f>NA()</f>
        <v>#N/A</v>
      </c>
      <c r="N1009" t="e">
        <f>NA()</f>
        <v>#N/A</v>
      </c>
      <c r="O1009">
        <f t="shared" si="36"/>
        <v>0.1</v>
      </c>
    </row>
    <row r="1010" spans="1:15" x14ac:dyDescent="0.25">
      <c r="A1010" s="1">
        <v>44531</v>
      </c>
      <c r="B1010" t="e">
        <f>NA()</f>
        <v>#N/A</v>
      </c>
      <c r="C1010" t="e">
        <f>NA()</f>
        <v>#N/A</v>
      </c>
      <c r="D1010" t="e">
        <f>NA()</f>
        <v>#N/A</v>
      </c>
      <c r="E1010" t="e">
        <f>NA()</f>
        <v>#N/A</v>
      </c>
      <c r="F1010" t="e">
        <f>NA()</f>
        <v>#N/A</v>
      </c>
      <c r="G1010" t="e">
        <f>NA()</f>
        <v>#N/A</v>
      </c>
      <c r="H1010" t="e">
        <f>NA()</f>
        <v>#N/A</v>
      </c>
      <c r="I1010" t="e">
        <f>NA()</f>
        <v>#N/A</v>
      </c>
      <c r="J1010" t="e">
        <f>NA()</f>
        <v>#N/A</v>
      </c>
      <c r="K1010" t="e">
        <f>NA()</f>
        <v>#N/A</v>
      </c>
      <c r="L1010" t="e">
        <f>NA()</f>
        <v>#N/A</v>
      </c>
      <c r="M1010" t="e">
        <f>NA()</f>
        <v>#N/A</v>
      </c>
      <c r="N1010" t="e">
        <f>NA()</f>
        <v>#N/A</v>
      </c>
      <c r="O1010">
        <f t="shared" si="36"/>
        <v>0.1</v>
      </c>
    </row>
    <row r="1011" spans="1:15" x14ac:dyDescent="0.25">
      <c r="A1011" s="1">
        <v>44530</v>
      </c>
      <c r="B1011" t="e">
        <f>NA()</f>
        <v>#N/A</v>
      </c>
      <c r="C1011" t="e">
        <f>NA()</f>
        <v>#N/A</v>
      </c>
      <c r="D1011">
        <f>0.3</f>
        <v>0.3</v>
      </c>
      <c r="E1011">
        <f>-1.3</f>
        <v>-1.3</v>
      </c>
      <c r="F1011">
        <f>11119</f>
        <v>11119</v>
      </c>
      <c r="G1011">
        <f>61.9</f>
        <v>61.9</v>
      </c>
      <c r="H1011">
        <f>14.6</f>
        <v>14.6</v>
      </c>
      <c r="I1011">
        <f>277.9</f>
        <v>277.89999999999998</v>
      </c>
      <c r="J1011">
        <f>6.8</f>
        <v>6.8</v>
      </c>
      <c r="K1011">
        <f>60.8</f>
        <v>60.8</v>
      </c>
      <c r="L1011">
        <f>0.9</f>
        <v>0.9</v>
      </c>
      <c r="M1011" t="e">
        <f>NA()</f>
        <v>#N/A</v>
      </c>
      <c r="N1011">
        <f>4.2</f>
        <v>4.2</v>
      </c>
      <c r="O1011">
        <f t="shared" si="36"/>
        <v>0.1</v>
      </c>
    </row>
    <row r="1012" spans="1:15" x14ac:dyDescent="0.25">
      <c r="A1012" s="1">
        <v>44529</v>
      </c>
      <c r="B1012" t="e">
        <f>NA()</f>
        <v>#N/A</v>
      </c>
      <c r="C1012" t="e">
        <f>NA()</f>
        <v>#N/A</v>
      </c>
      <c r="D1012" t="e">
        <f>NA()</f>
        <v>#N/A</v>
      </c>
      <c r="E1012" t="e">
        <f>NA()</f>
        <v>#N/A</v>
      </c>
      <c r="F1012" t="e">
        <f>NA()</f>
        <v>#N/A</v>
      </c>
      <c r="G1012" t="e">
        <f>NA()</f>
        <v>#N/A</v>
      </c>
      <c r="H1012" t="e">
        <f>NA()</f>
        <v>#N/A</v>
      </c>
      <c r="I1012" t="e">
        <f>NA()</f>
        <v>#N/A</v>
      </c>
      <c r="J1012" t="e">
        <f>NA()</f>
        <v>#N/A</v>
      </c>
      <c r="K1012" t="e">
        <f>NA()</f>
        <v>#N/A</v>
      </c>
      <c r="L1012" t="e">
        <f>NA()</f>
        <v>#N/A</v>
      </c>
      <c r="M1012" t="e">
        <f>NA()</f>
        <v>#N/A</v>
      </c>
      <c r="N1012" t="e">
        <f>NA()</f>
        <v>#N/A</v>
      </c>
      <c r="O1012">
        <f t="shared" si="36"/>
        <v>0.1</v>
      </c>
    </row>
    <row r="1013" spans="1:15" x14ac:dyDescent="0.25">
      <c r="A1013" s="1">
        <v>44526</v>
      </c>
      <c r="B1013">
        <f>-0.5</f>
        <v>-0.5</v>
      </c>
      <c r="C1013">
        <f>0</f>
        <v>0</v>
      </c>
      <c r="D1013" t="e">
        <f>NA()</f>
        <v>#N/A</v>
      </c>
      <c r="E1013" t="e">
        <f>NA()</f>
        <v>#N/A</v>
      </c>
      <c r="F1013" t="e">
        <f>NA()</f>
        <v>#N/A</v>
      </c>
      <c r="G1013" t="e">
        <f>NA()</f>
        <v>#N/A</v>
      </c>
      <c r="H1013" t="e">
        <f>NA()</f>
        <v>#N/A</v>
      </c>
      <c r="I1013" t="e">
        <f>NA()</f>
        <v>#N/A</v>
      </c>
      <c r="J1013" t="e">
        <f>NA()</f>
        <v>#N/A</v>
      </c>
      <c r="K1013" t="e">
        <f>NA()</f>
        <v>#N/A</v>
      </c>
      <c r="L1013" t="e">
        <f>NA()</f>
        <v>#N/A</v>
      </c>
      <c r="M1013" t="e">
        <f>NA()</f>
        <v>#N/A</v>
      </c>
      <c r="N1013" t="e">
        <f>NA()</f>
        <v>#N/A</v>
      </c>
      <c r="O1013">
        <f t="shared" si="36"/>
        <v>0.1</v>
      </c>
    </row>
    <row r="1014" spans="1:15" x14ac:dyDescent="0.25">
      <c r="A1014" s="1">
        <v>44524</v>
      </c>
      <c r="B1014" t="e">
        <f>NA()</f>
        <v>#N/A</v>
      </c>
      <c r="C1014" t="e">
        <f>NA()</f>
        <v>#N/A</v>
      </c>
      <c r="D1014" t="e">
        <f>NA()</f>
        <v>#N/A</v>
      </c>
      <c r="E1014" t="e">
        <f>NA()</f>
        <v>#N/A</v>
      </c>
      <c r="F1014" t="e">
        <f>NA()</f>
        <v>#N/A</v>
      </c>
      <c r="G1014" t="e">
        <f>NA()</f>
        <v>#N/A</v>
      </c>
      <c r="H1014" t="e">
        <f>NA()</f>
        <v>#N/A</v>
      </c>
      <c r="I1014" t="e">
        <f>NA()</f>
        <v>#N/A</v>
      </c>
      <c r="J1014" t="e">
        <f>NA()</f>
        <v>#N/A</v>
      </c>
      <c r="K1014" t="e">
        <f>NA()</f>
        <v>#N/A</v>
      </c>
      <c r="L1014" t="e">
        <f>NA()</f>
        <v>#N/A</v>
      </c>
      <c r="M1014" t="e">
        <f>NA()</f>
        <v>#N/A</v>
      </c>
      <c r="N1014" t="e">
        <f>NA()</f>
        <v>#N/A</v>
      </c>
      <c r="O1014">
        <f t="shared" si="36"/>
        <v>0.1</v>
      </c>
    </row>
    <row r="1015" spans="1:15" x14ac:dyDescent="0.25">
      <c r="A1015" s="1">
        <v>44523</v>
      </c>
      <c r="B1015" t="e">
        <f>NA()</f>
        <v>#N/A</v>
      </c>
      <c r="C1015" t="e">
        <f>NA()</f>
        <v>#N/A</v>
      </c>
      <c r="D1015" t="e">
        <f>NA()</f>
        <v>#N/A</v>
      </c>
      <c r="E1015" t="e">
        <f>NA()</f>
        <v>#N/A</v>
      </c>
      <c r="F1015" t="e">
        <f>NA()</f>
        <v>#N/A</v>
      </c>
      <c r="G1015" t="e">
        <f>NA()</f>
        <v>#N/A</v>
      </c>
      <c r="H1015" t="e">
        <f>NA()</f>
        <v>#N/A</v>
      </c>
      <c r="I1015" t="e">
        <f>NA()</f>
        <v>#N/A</v>
      </c>
      <c r="J1015" t="e">
        <f>NA()</f>
        <v>#N/A</v>
      </c>
      <c r="K1015" t="e">
        <f>NA()</f>
        <v>#N/A</v>
      </c>
      <c r="L1015" t="e">
        <f>NA()</f>
        <v>#N/A</v>
      </c>
      <c r="M1015" t="e">
        <f>NA()</f>
        <v>#N/A</v>
      </c>
      <c r="N1015" t="e">
        <f>NA()</f>
        <v>#N/A</v>
      </c>
      <c r="O1015">
        <f t="shared" si="36"/>
        <v>0.1</v>
      </c>
    </row>
    <row r="1016" spans="1:15" x14ac:dyDescent="0.25">
      <c r="A1016" s="1">
        <v>44522</v>
      </c>
      <c r="B1016" t="e">
        <f>NA()</f>
        <v>#N/A</v>
      </c>
      <c r="C1016" t="e">
        <f>NA()</f>
        <v>#N/A</v>
      </c>
      <c r="D1016" t="e">
        <f>NA()</f>
        <v>#N/A</v>
      </c>
      <c r="E1016" t="e">
        <f>NA()</f>
        <v>#N/A</v>
      </c>
      <c r="F1016" t="e">
        <f>NA()</f>
        <v>#N/A</v>
      </c>
      <c r="G1016" t="e">
        <f>NA()</f>
        <v>#N/A</v>
      </c>
      <c r="H1016" t="e">
        <f>NA()</f>
        <v>#N/A</v>
      </c>
      <c r="I1016" t="e">
        <f>NA()</f>
        <v>#N/A</v>
      </c>
      <c r="J1016" t="e">
        <f>NA()</f>
        <v>#N/A</v>
      </c>
      <c r="K1016" t="e">
        <f>NA()</f>
        <v>#N/A</v>
      </c>
      <c r="L1016" t="e">
        <f>NA()</f>
        <v>#N/A</v>
      </c>
      <c r="M1016" t="e">
        <f>NA()</f>
        <v>#N/A</v>
      </c>
      <c r="N1016" t="e">
        <f>NA()</f>
        <v>#N/A</v>
      </c>
      <c r="O1016">
        <f t="shared" si="36"/>
        <v>0.1</v>
      </c>
    </row>
    <row r="1017" spans="1:15" x14ac:dyDescent="0.25">
      <c r="A1017" s="1">
        <v>44519</v>
      </c>
      <c r="B1017">
        <f>-0.7</f>
        <v>-0.7</v>
      </c>
      <c r="C1017">
        <f>0</f>
        <v>0</v>
      </c>
      <c r="D1017" t="e">
        <f>NA()</f>
        <v>#N/A</v>
      </c>
      <c r="E1017" t="e">
        <f>NA()</f>
        <v>#N/A</v>
      </c>
      <c r="F1017" t="e">
        <f>NA()</f>
        <v>#N/A</v>
      </c>
      <c r="G1017" t="e">
        <f>NA()</f>
        <v>#N/A</v>
      </c>
      <c r="H1017" t="e">
        <f>NA()</f>
        <v>#N/A</v>
      </c>
      <c r="I1017" t="e">
        <f>NA()</f>
        <v>#N/A</v>
      </c>
      <c r="J1017" t="e">
        <f>NA()</f>
        <v>#N/A</v>
      </c>
      <c r="K1017" t="e">
        <f>NA()</f>
        <v>#N/A</v>
      </c>
      <c r="L1017" t="e">
        <f>NA()</f>
        <v>#N/A</v>
      </c>
      <c r="M1017" t="e">
        <f>NA()</f>
        <v>#N/A</v>
      </c>
      <c r="N1017" t="e">
        <f>NA()</f>
        <v>#N/A</v>
      </c>
      <c r="O1017">
        <f t="shared" si="36"/>
        <v>0.1</v>
      </c>
    </row>
    <row r="1018" spans="1:15" x14ac:dyDescent="0.25">
      <c r="A1018" s="1">
        <v>44518</v>
      </c>
      <c r="B1018" t="e">
        <f>NA()</f>
        <v>#N/A</v>
      </c>
      <c r="C1018" t="e">
        <f>NA()</f>
        <v>#N/A</v>
      </c>
      <c r="D1018" t="e">
        <f>NA()</f>
        <v>#N/A</v>
      </c>
      <c r="E1018" t="e">
        <f>NA()</f>
        <v>#N/A</v>
      </c>
      <c r="F1018" t="e">
        <f>NA()</f>
        <v>#N/A</v>
      </c>
      <c r="G1018" t="e">
        <f>NA()</f>
        <v>#N/A</v>
      </c>
      <c r="H1018" t="e">
        <f>NA()</f>
        <v>#N/A</v>
      </c>
      <c r="I1018" t="e">
        <f>NA()</f>
        <v>#N/A</v>
      </c>
      <c r="J1018" t="e">
        <f>NA()</f>
        <v>#N/A</v>
      </c>
      <c r="K1018" t="e">
        <f>NA()</f>
        <v>#N/A</v>
      </c>
      <c r="L1018" t="e">
        <f>NA()</f>
        <v>#N/A</v>
      </c>
      <c r="M1018" t="e">
        <f>NA()</f>
        <v>#N/A</v>
      </c>
      <c r="N1018" t="e">
        <f>NA()</f>
        <v>#N/A</v>
      </c>
      <c r="O1018">
        <f t="shared" si="36"/>
        <v>0.1</v>
      </c>
    </row>
    <row r="1019" spans="1:15" x14ac:dyDescent="0.25">
      <c r="A1019" s="1">
        <v>44517</v>
      </c>
      <c r="B1019" t="e">
        <f>NA()</f>
        <v>#N/A</v>
      </c>
      <c r="C1019" t="e">
        <f>NA()</f>
        <v>#N/A</v>
      </c>
      <c r="D1019" t="e">
        <f>NA()</f>
        <v>#N/A</v>
      </c>
      <c r="E1019" t="e">
        <f>NA()</f>
        <v>#N/A</v>
      </c>
      <c r="F1019" t="e">
        <f>NA()</f>
        <v>#N/A</v>
      </c>
      <c r="G1019" t="e">
        <f>NA()</f>
        <v>#N/A</v>
      </c>
      <c r="H1019" t="e">
        <f>NA()</f>
        <v>#N/A</v>
      </c>
      <c r="I1019" t="e">
        <f>NA()</f>
        <v>#N/A</v>
      </c>
      <c r="J1019" t="e">
        <f>NA()</f>
        <v>#N/A</v>
      </c>
      <c r="K1019" t="e">
        <f>NA()</f>
        <v>#N/A</v>
      </c>
      <c r="L1019" t="e">
        <f>NA()</f>
        <v>#N/A</v>
      </c>
      <c r="M1019" t="e">
        <f>NA()</f>
        <v>#N/A</v>
      </c>
      <c r="N1019" t="e">
        <f>NA()</f>
        <v>#N/A</v>
      </c>
      <c r="O1019">
        <f t="shared" si="36"/>
        <v>0.1</v>
      </c>
    </row>
    <row r="1020" spans="1:15" x14ac:dyDescent="0.25">
      <c r="A1020" s="1">
        <v>44516</v>
      </c>
      <c r="B1020" t="e">
        <f>NA()</f>
        <v>#N/A</v>
      </c>
      <c r="C1020" t="e">
        <f>NA()</f>
        <v>#N/A</v>
      </c>
      <c r="D1020" t="e">
        <f>NA()</f>
        <v>#N/A</v>
      </c>
      <c r="E1020" t="e">
        <f>NA()</f>
        <v>#N/A</v>
      </c>
      <c r="F1020" t="e">
        <f>NA()</f>
        <v>#N/A</v>
      </c>
      <c r="G1020" t="e">
        <f>NA()</f>
        <v>#N/A</v>
      </c>
      <c r="H1020" t="e">
        <f>NA()</f>
        <v>#N/A</v>
      </c>
      <c r="I1020" t="e">
        <f>NA()</f>
        <v>#N/A</v>
      </c>
      <c r="J1020" t="e">
        <f>NA()</f>
        <v>#N/A</v>
      </c>
      <c r="K1020" t="e">
        <f>NA()</f>
        <v>#N/A</v>
      </c>
      <c r="L1020" t="e">
        <f>NA()</f>
        <v>#N/A</v>
      </c>
      <c r="M1020" t="e">
        <f>NA()</f>
        <v>#N/A</v>
      </c>
      <c r="N1020" t="e">
        <f>NA()</f>
        <v>#N/A</v>
      </c>
      <c r="O1020">
        <f t="shared" si="36"/>
        <v>0.1</v>
      </c>
    </row>
    <row r="1021" spans="1:15" x14ac:dyDescent="0.25">
      <c r="A1021" s="1">
        <v>44515</v>
      </c>
      <c r="B1021" t="e">
        <f>NA()</f>
        <v>#N/A</v>
      </c>
      <c r="C1021" t="e">
        <f>NA()</f>
        <v>#N/A</v>
      </c>
      <c r="D1021" t="e">
        <f>NA()</f>
        <v>#N/A</v>
      </c>
      <c r="E1021" t="e">
        <f>NA()</f>
        <v>#N/A</v>
      </c>
      <c r="F1021" t="e">
        <f>NA()</f>
        <v>#N/A</v>
      </c>
      <c r="G1021" t="e">
        <f>NA()</f>
        <v>#N/A</v>
      </c>
      <c r="H1021" t="e">
        <f>NA()</f>
        <v>#N/A</v>
      </c>
      <c r="I1021" t="e">
        <f>NA()</f>
        <v>#N/A</v>
      </c>
      <c r="J1021" t="e">
        <f>NA()</f>
        <v>#N/A</v>
      </c>
      <c r="K1021" t="e">
        <f>NA()</f>
        <v>#N/A</v>
      </c>
      <c r="L1021" t="e">
        <f>NA()</f>
        <v>#N/A</v>
      </c>
      <c r="M1021" t="e">
        <f>NA()</f>
        <v>#N/A</v>
      </c>
      <c r="N1021" t="e">
        <f>NA()</f>
        <v>#N/A</v>
      </c>
      <c r="O1021">
        <f t="shared" si="36"/>
        <v>0.1</v>
      </c>
    </row>
    <row r="1022" spans="1:15" x14ac:dyDescent="0.25">
      <c r="A1022" s="1">
        <v>44512</v>
      </c>
      <c r="B1022">
        <f>-0.8</f>
        <v>-0.8</v>
      </c>
      <c r="C1022">
        <f>0</f>
        <v>0</v>
      </c>
      <c r="D1022" t="e">
        <f>NA()</f>
        <v>#N/A</v>
      </c>
      <c r="E1022" t="e">
        <f>NA()</f>
        <v>#N/A</v>
      </c>
      <c r="F1022" t="e">
        <f>NA()</f>
        <v>#N/A</v>
      </c>
      <c r="G1022" t="e">
        <f>NA()</f>
        <v>#N/A</v>
      </c>
      <c r="H1022" t="e">
        <f>NA()</f>
        <v>#N/A</v>
      </c>
      <c r="I1022" t="e">
        <f>NA()</f>
        <v>#N/A</v>
      </c>
      <c r="J1022" t="e">
        <f>NA()</f>
        <v>#N/A</v>
      </c>
      <c r="K1022" t="e">
        <f>NA()</f>
        <v>#N/A</v>
      </c>
      <c r="L1022" t="e">
        <f>NA()</f>
        <v>#N/A</v>
      </c>
      <c r="M1022" t="e">
        <f>NA()</f>
        <v>#N/A</v>
      </c>
      <c r="N1022" t="e">
        <f>NA()</f>
        <v>#N/A</v>
      </c>
      <c r="O1022">
        <f t="shared" si="36"/>
        <v>0.1</v>
      </c>
    </row>
    <row r="1023" spans="1:15" x14ac:dyDescent="0.25">
      <c r="A1023" s="1">
        <v>44510</v>
      </c>
      <c r="B1023" t="e">
        <f>NA()</f>
        <v>#N/A</v>
      </c>
      <c r="C1023" t="e">
        <f>NA()</f>
        <v>#N/A</v>
      </c>
      <c r="D1023" t="e">
        <f>NA()</f>
        <v>#N/A</v>
      </c>
      <c r="E1023" t="e">
        <f>NA()</f>
        <v>#N/A</v>
      </c>
      <c r="F1023" t="e">
        <f>NA()</f>
        <v>#N/A</v>
      </c>
      <c r="G1023" t="e">
        <f>NA()</f>
        <v>#N/A</v>
      </c>
      <c r="H1023" t="e">
        <f>NA()</f>
        <v>#N/A</v>
      </c>
      <c r="I1023" t="e">
        <f>NA()</f>
        <v>#N/A</v>
      </c>
      <c r="J1023" t="e">
        <f>NA()</f>
        <v>#N/A</v>
      </c>
      <c r="K1023" t="e">
        <f>NA()</f>
        <v>#N/A</v>
      </c>
      <c r="L1023" t="e">
        <f>NA()</f>
        <v>#N/A</v>
      </c>
      <c r="M1023" t="e">
        <f>NA()</f>
        <v>#N/A</v>
      </c>
      <c r="N1023" t="e">
        <f>NA()</f>
        <v>#N/A</v>
      </c>
      <c r="O1023">
        <f t="shared" si="36"/>
        <v>0.1</v>
      </c>
    </row>
    <row r="1024" spans="1:15" x14ac:dyDescent="0.25">
      <c r="A1024" s="1">
        <v>44509</v>
      </c>
      <c r="B1024" t="e">
        <f>NA()</f>
        <v>#N/A</v>
      </c>
      <c r="C1024" t="e">
        <f>NA()</f>
        <v>#N/A</v>
      </c>
      <c r="D1024" t="e">
        <f>NA()</f>
        <v>#N/A</v>
      </c>
      <c r="E1024" t="e">
        <f>NA()</f>
        <v>#N/A</v>
      </c>
      <c r="F1024" t="e">
        <f>NA()</f>
        <v>#N/A</v>
      </c>
      <c r="G1024" t="e">
        <f>NA()</f>
        <v>#N/A</v>
      </c>
      <c r="H1024" t="e">
        <f>NA()</f>
        <v>#N/A</v>
      </c>
      <c r="I1024" t="e">
        <f>NA()</f>
        <v>#N/A</v>
      </c>
      <c r="J1024" t="e">
        <f>NA()</f>
        <v>#N/A</v>
      </c>
      <c r="K1024" t="e">
        <f>NA()</f>
        <v>#N/A</v>
      </c>
      <c r="L1024" t="e">
        <f>NA()</f>
        <v>#N/A</v>
      </c>
      <c r="M1024" t="e">
        <f>NA()</f>
        <v>#N/A</v>
      </c>
      <c r="N1024" t="e">
        <f>NA()</f>
        <v>#N/A</v>
      </c>
      <c r="O1024">
        <f t="shared" si="36"/>
        <v>0.1</v>
      </c>
    </row>
    <row r="1025" spans="1:15" x14ac:dyDescent="0.25">
      <c r="A1025" s="1">
        <v>44508</v>
      </c>
      <c r="B1025" t="e">
        <f>NA()</f>
        <v>#N/A</v>
      </c>
      <c r="C1025" t="e">
        <f>NA()</f>
        <v>#N/A</v>
      </c>
      <c r="D1025" t="e">
        <f>NA()</f>
        <v>#N/A</v>
      </c>
      <c r="E1025" t="e">
        <f>NA()</f>
        <v>#N/A</v>
      </c>
      <c r="F1025" t="e">
        <f>NA()</f>
        <v>#N/A</v>
      </c>
      <c r="G1025" t="e">
        <f>NA()</f>
        <v>#N/A</v>
      </c>
      <c r="H1025" t="e">
        <f>NA()</f>
        <v>#N/A</v>
      </c>
      <c r="I1025" t="e">
        <f>NA()</f>
        <v>#N/A</v>
      </c>
      <c r="J1025" t="e">
        <f>NA()</f>
        <v>#N/A</v>
      </c>
      <c r="K1025" t="e">
        <f>NA()</f>
        <v>#N/A</v>
      </c>
      <c r="L1025" t="e">
        <f>NA()</f>
        <v>#N/A</v>
      </c>
      <c r="M1025" t="e">
        <f>NA()</f>
        <v>#N/A</v>
      </c>
      <c r="N1025" t="e">
        <f>NA()</f>
        <v>#N/A</v>
      </c>
      <c r="O1025">
        <f t="shared" si="36"/>
        <v>0.1</v>
      </c>
    </row>
    <row r="1026" spans="1:15" x14ac:dyDescent="0.25">
      <c r="A1026" s="1">
        <v>44505</v>
      </c>
      <c r="B1026">
        <f>-0.7</f>
        <v>-0.7</v>
      </c>
      <c r="C1026">
        <f>0</f>
        <v>0</v>
      </c>
      <c r="D1026" t="e">
        <f>NA()</f>
        <v>#N/A</v>
      </c>
      <c r="E1026" t="e">
        <f>NA()</f>
        <v>#N/A</v>
      </c>
      <c r="F1026" t="e">
        <f>NA()</f>
        <v>#N/A</v>
      </c>
      <c r="G1026" t="e">
        <f>NA()</f>
        <v>#N/A</v>
      </c>
      <c r="H1026" t="e">
        <f>NA()</f>
        <v>#N/A</v>
      </c>
      <c r="I1026" t="e">
        <f>NA()</f>
        <v>#N/A</v>
      </c>
      <c r="J1026" t="e">
        <f>NA()</f>
        <v>#N/A</v>
      </c>
      <c r="K1026" t="e">
        <f>NA()</f>
        <v>#N/A</v>
      </c>
      <c r="L1026" t="e">
        <f>NA()</f>
        <v>#N/A</v>
      </c>
      <c r="M1026" t="e">
        <f>NA()</f>
        <v>#N/A</v>
      </c>
      <c r="N1026" t="e">
        <f>NA()</f>
        <v>#N/A</v>
      </c>
      <c r="O1026">
        <f t="shared" si="36"/>
        <v>0.1</v>
      </c>
    </row>
    <row r="1027" spans="1:15" x14ac:dyDescent="0.25">
      <c r="A1027" s="1">
        <v>44504</v>
      </c>
      <c r="B1027" t="e">
        <f>NA()</f>
        <v>#N/A</v>
      </c>
      <c r="C1027" t="e">
        <f>NA()</f>
        <v>#N/A</v>
      </c>
      <c r="D1027" t="e">
        <f>NA()</f>
        <v>#N/A</v>
      </c>
      <c r="E1027" t="e">
        <f>NA()</f>
        <v>#N/A</v>
      </c>
      <c r="F1027" t="e">
        <f>NA()</f>
        <v>#N/A</v>
      </c>
      <c r="G1027" t="e">
        <f>NA()</f>
        <v>#N/A</v>
      </c>
      <c r="H1027" t="e">
        <f>NA()</f>
        <v>#N/A</v>
      </c>
      <c r="I1027" t="e">
        <f>NA()</f>
        <v>#N/A</v>
      </c>
      <c r="J1027" t="e">
        <f>NA()</f>
        <v>#N/A</v>
      </c>
      <c r="K1027" t="e">
        <f>NA()</f>
        <v>#N/A</v>
      </c>
      <c r="L1027" t="e">
        <f>NA()</f>
        <v>#N/A</v>
      </c>
      <c r="M1027" t="e">
        <f>NA()</f>
        <v>#N/A</v>
      </c>
      <c r="N1027" t="e">
        <f>NA()</f>
        <v>#N/A</v>
      </c>
      <c r="O1027">
        <f t="shared" si="36"/>
        <v>0.1</v>
      </c>
    </row>
    <row r="1028" spans="1:15" x14ac:dyDescent="0.25">
      <c r="A1028" s="1">
        <v>44503</v>
      </c>
      <c r="B1028" t="e">
        <f>NA()</f>
        <v>#N/A</v>
      </c>
      <c r="C1028" t="e">
        <f>NA()</f>
        <v>#N/A</v>
      </c>
      <c r="D1028" t="e">
        <f>NA()</f>
        <v>#N/A</v>
      </c>
      <c r="E1028" t="e">
        <f>NA()</f>
        <v>#N/A</v>
      </c>
      <c r="F1028" t="e">
        <f>NA()</f>
        <v>#N/A</v>
      </c>
      <c r="G1028" t="e">
        <f>NA()</f>
        <v>#N/A</v>
      </c>
      <c r="H1028" t="e">
        <f>NA()</f>
        <v>#N/A</v>
      </c>
      <c r="I1028" t="e">
        <f>NA()</f>
        <v>#N/A</v>
      </c>
      <c r="J1028" t="e">
        <f>NA()</f>
        <v>#N/A</v>
      </c>
      <c r="K1028" t="e">
        <f>NA()</f>
        <v>#N/A</v>
      </c>
      <c r="L1028" t="e">
        <f>NA()</f>
        <v>#N/A</v>
      </c>
      <c r="M1028" t="e">
        <f>NA()</f>
        <v>#N/A</v>
      </c>
      <c r="N1028" t="e">
        <f>NA()</f>
        <v>#N/A</v>
      </c>
      <c r="O1028">
        <f t="shared" si="36"/>
        <v>0.1</v>
      </c>
    </row>
    <row r="1029" spans="1:15" x14ac:dyDescent="0.25">
      <c r="A1029" s="1">
        <v>44502</v>
      </c>
      <c r="B1029" t="e">
        <f>NA()</f>
        <v>#N/A</v>
      </c>
      <c r="C1029" t="e">
        <f>NA()</f>
        <v>#N/A</v>
      </c>
      <c r="D1029" t="e">
        <f>NA()</f>
        <v>#N/A</v>
      </c>
      <c r="E1029" t="e">
        <f>NA()</f>
        <v>#N/A</v>
      </c>
      <c r="F1029" t="e">
        <f>NA()</f>
        <v>#N/A</v>
      </c>
      <c r="G1029" t="e">
        <f>NA()</f>
        <v>#N/A</v>
      </c>
      <c r="H1029" t="e">
        <f>NA()</f>
        <v>#N/A</v>
      </c>
      <c r="I1029" t="e">
        <f>NA()</f>
        <v>#N/A</v>
      </c>
      <c r="J1029" t="e">
        <f>NA()</f>
        <v>#N/A</v>
      </c>
      <c r="K1029" t="e">
        <f>NA()</f>
        <v>#N/A</v>
      </c>
      <c r="L1029" t="e">
        <f>NA()</f>
        <v>#N/A</v>
      </c>
      <c r="M1029" t="e">
        <f>NA()</f>
        <v>#N/A</v>
      </c>
      <c r="N1029" t="e">
        <f>NA()</f>
        <v>#N/A</v>
      </c>
      <c r="O1029">
        <f t="shared" si="36"/>
        <v>0.1</v>
      </c>
    </row>
    <row r="1030" spans="1:15" x14ac:dyDescent="0.25">
      <c r="A1030" s="1">
        <v>44501</v>
      </c>
      <c r="B1030" t="e">
        <f>NA()</f>
        <v>#N/A</v>
      </c>
      <c r="C1030" t="e">
        <f>NA()</f>
        <v>#N/A</v>
      </c>
      <c r="D1030" t="e">
        <f>NA()</f>
        <v>#N/A</v>
      </c>
      <c r="E1030" t="e">
        <f>NA()</f>
        <v>#N/A</v>
      </c>
      <c r="F1030" t="e">
        <f>NA()</f>
        <v>#N/A</v>
      </c>
      <c r="G1030" t="e">
        <f>NA()</f>
        <v>#N/A</v>
      </c>
      <c r="H1030" t="e">
        <f>NA()</f>
        <v>#N/A</v>
      </c>
      <c r="I1030" t="e">
        <f>NA()</f>
        <v>#N/A</v>
      </c>
      <c r="J1030" t="e">
        <f>NA()</f>
        <v>#N/A</v>
      </c>
      <c r="K1030" t="e">
        <f>NA()</f>
        <v>#N/A</v>
      </c>
      <c r="L1030" t="e">
        <f>NA()</f>
        <v>#N/A</v>
      </c>
      <c r="M1030" t="e">
        <f>NA()</f>
        <v>#N/A</v>
      </c>
      <c r="N1030" t="e">
        <f>NA()</f>
        <v>#N/A</v>
      </c>
      <c r="O1030">
        <f t="shared" si="36"/>
        <v>0.1</v>
      </c>
    </row>
    <row r="1031" spans="1:15" x14ac:dyDescent="0.25">
      <c r="A1031" s="1">
        <v>44500</v>
      </c>
      <c r="B1031" t="e">
        <f>NA()</f>
        <v>#N/A</v>
      </c>
      <c r="C1031" t="e">
        <f>NA()</f>
        <v>#N/A</v>
      </c>
      <c r="D1031">
        <f>0.6</f>
        <v>0.6</v>
      </c>
      <c r="E1031">
        <f>-0.8</f>
        <v>-0.8</v>
      </c>
      <c r="F1031">
        <f>11341</f>
        <v>11341</v>
      </c>
      <c r="G1031">
        <f>61.8</f>
        <v>61.8</v>
      </c>
      <c r="H1031">
        <f>13.4</f>
        <v>13.4</v>
      </c>
      <c r="I1031">
        <f>276.6</f>
        <v>276.60000000000002</v>
      </c>
      <c r="J1031">
        <f>6.2</f>
        <v>6.2</v>
      </c>
      <c r="K1031">
        <f>60.7</f>
        <v>60.7</v>
      </c>
      <c r="L1031">
        <f>1.4</f>
        <v>1.4</v>
      </c>
      <c r="M1031" t="e">
        <f>NA()</f>
        <v>#N/A</v>
      </c>
      <c r="N1031">
        <f>4.5</f>
        <v>4.5</v>
      </c>
      <c r="O1031" t="e">
        <f>NA()</f>
        <v>#N/A</v>
      </c>
    </row>
    <row r="1032" spans="1:15" x14ac:dyDescent="0.25">
      <c r="A1032" s="1">
        <v>44498</v>
      </c>
      <c r="B1032">
        <f>-0.8</f>
        <v>-0.8</v>
      </c>
      <c r="C1032">
        <f>0</f>
        <v>0</v>
      </c>
      <c r="D1032" t="e">
        <f>NA()</f>
        <v>#N/A</v>
      </c>
      <c r="E1032" t="e">
        <f>NA()</f>
        <v>#N/A</v>
      </c>
      <c r="F1032" t="e">
        <f>NA()</f>
        <v>#N/A</v>
      </c>
      <c r="G1032" t="e">
        <f>NA()</f>
        <v>#N/A</v>
      </c>
      <c r="H1032" t="e">
        <f>NA()</f>
        <v>#N/A</v>
      </c>
      <c r="I1032" t="e">
        <f>NA()</f>
        <v>#N/A</v>
      </c>
      <c r="J1032" t="e">
        <f>NA()</f>
        <v>#N/A</v>
      </c>
      <c r="K1032" t="e">
        <f>NA()</f>
        <v>#N/A</v>
      </c>
      <c r="L1032" t="e">
        <f>NA()</f>
        <v>#N/A</v>
      </c>
      <c r="M1032" t="e">
        <f>NA()</f>
        <v>#N/A</v>
      </c>
      <c r="N1032" t="e">
        <f>NA()</f>
        <v>#N/A</v>
      </c>
      <c r="O1032">
        <f t="shared" ref="O1032:O1063" si="37">0.1</f>
        <v>0.1</v>
      </c>
    </row>
    <row r="1033" spans="1:15" x14ac:dyDescent="0.25">
      <c r="A1033" s="1">
        <v>44497</v>
      </c>
      <c r="B1033" t="e">
        <f>NA()</f>
        <v>#N/A</v>
      </c>
      <c r="C1033" t="e">
        <f>NA()</f>
        <v>#N/A</v>
      </c>
      <c r="D1033" t="e">
        <f>NA()</f>
        <v>#N/A</v>
      </c>
      <c r="E1033" t="e">
        <f>NA()</f>
        <v>#N/A</v>
      </c>
      <c r="F1033" t="e">
        <f>NA()</f>
        <v>#N/A</v>
      </c>
      <c r="G1033" t="e">
        <f>NA()</f>
        <v>#N/A</v>
      </c>
      <c r="H1033" t="e">
        <f>NA()</f>
        <v>#N/A</v>
      </c>
      <c r="I1033" t="e">
        <f>NA()</f>
        <v>#N/A</v>
      </c>
      <c r="J1033" t="e">
        <f>NA()</f>
        <v>#N/A</v>
      </c>
      <c r="K1033" t="e">
        <f>NA()</f>
        <v>#N/A</v>
      </c>
      <c r="L1033" t="e">
        <f>NA()</f>
        <v>#N/A</v>
      </c>
      <c r="M1033" t="e">
        <f>NA()</f>
        <v>#N/A</v>
      </c>
      <c r="N1033" t="e">
        <f>NA()</f>
        <v>#N/A</v>
      </c>
      <c r="O1033">
        <f t="shared" si="37"/>
        <v>0.1</v>
      </c>
    </row>
    <row r="1034" spans="1:15" x14ac:dyDescent="0.25">
      <c r="A1034" s="1">
        <v>44496</v>
      </c>
      <c r="B1034" t="e">
        <f>NA()</f>
        <v>#N/A</v>
      </c>
      <c r="C1034" t="e">
        <f>NA()</f>
        <v>#N/A</v>
      </c>
      <c r="D1034" t="e">
        <f>NA()</f>
        <v>#N/A</v>
      </c>
      <c r="E1034" t="e">
        <f>NA()</f>
        <v>#N/A</v>
      </c>
      <c r="F1034" t="e">
        <f>NA()</f>
        <v>#N/A</v>
      </c>
      <c r="G1034" t="e">
        <f>NA()</f>
        <v>#N/A</v>
      </c>
      <c r="H1034" t="e">
        <f>NA()</f>
        <v>#N/A</v>
      </c>
      <c r="I1034" t="e">
        <f>NA()</f>
        <v>#N/A</v>
      </c>
      <c r="J1034" t="e">
        <f>NA()</f>
        <v>#N/A</v>
      </c>
      <c r="K1034" t="e">
        <f>NA()</f>
        <v>#N/A</v>
      </c>
      <c r="L1034" t="e">
        <f>NA()</f>
        <v>#N/A</v>
      </c>
      <c r="M1034" t="e">
        <f>NA()</f>
        <v>#N/A</v>
      </c>
      <c r="N1034" t="e">
        <f>NA()</f>
        <v>#N/A</v>
      </c>
      <c r="O1034">
        <f t="shared" si="37"/>
        <v>0.1</v>
      </c>
    </row>
    <row r="1035" spans="1:15" x14ac:dyDescent="0.25">
      <c r="A1035" s="1">
        <v>44495</v>
      </c>
      <c r="B1035" t="e">
        <f>NA()</f>
        <v>#N/A</v>
      </c>
      <c r="C1035" t="e">
        <f>NA()</f>
        <v>#N/A</v>
      </c>
      <c r="D1035" t="e">
        <f>NA()</f>
        <v>#N/A</v>
      </c>
      <c r="E1035" t="e">
        <f>NA()</f>
        <v>#N/A</v>
      </c>
      <c r="F1035" t="e">
        <f>NA()</f>
        <v>#N/A</v>
      </c>
      <c r="G1035" t="e">
        <f>NA()</f>
        <v>#N/A</v>
      </c>
      <c r="H1035" t="e">
        <f>NA()</f>
        <v>#N/A</v>
      </c>
      <c r="I1035" t="e">
        <f>NA()</f>
        <v>#N/A</v>
      </c>
      <c r="J1035" t="e">
        <f>NA()</f>
        <v>#N/A</v>
      </c>
      <c r="K1035" t="e">
        <f>NA()</f>
        <v>#N/A</v>
      </c>
      <c r="L1035" t="e">
        <f>NA()</f>
        <v>#N/A</v>
      </c>
      <c r="M1035" t="e">
        <f>NA()</f>
        <v>#N/A</v>
      </c>
      <c r="N1035" t="e">
        <f>NA()</f>
        <v>#N/A</v>
      </c>
      <c r="O1035">
        <f t="shared" si="37"/>
        <v>0.1</v>
      </c>
    </row>
    <row r="1036" spans="1:15" x14ac:dyDescent="0.25">
      <c r="A1036" s="1">
        <v>44494</v>
      </c>
      <c r="B1036" t="e">
        <f>NA()</f>
        <v>#N/A</v>
      </c>
      <c r="C1036" t="e">
        <f>NA()</f>
        <v>#N/A</v>
      </c>
      <c r="D1036" t="e">
        <f>NA()</f>
        <v>#N/A</v>
      </c>
      <c r="E1036" t="e">
        <f>NA()</f>
        <v>#N/A</v>
      </c>
      <c r="F1036" t="e">
        <f>NA()</f>
        <v>#N/A</v>
      </c>
      <c r="G1036" t="e">
        <f>NA()</f>
        <v>#N/A</v>
      </c>
      <c r="H1036" t="e">
        <f>NA()</f>
        <v>#N/A</v>
      </c>
      <c r="I1036" t="e">
        <f>NA()</f>
        <v>#N/A</v>
      </c>
      <c r="J1036" t="e">
        <f>NA()</f>
        <v>#N/A</v>
      </c>
      <c r="K1036" t="e">
        <f>NA()</f>
        <v>#N/A</v>
      </c>
      <c r="L1036" t="e">
        <f>NA()</f>
        <v>#N/A</v>
      </c>
      <c r="M1036" t="e">
        <f>NA()</f>
        <v>#N/A</v>
      </c>
      <c r="N1036" t="e">
        <f>NA()</f>
        <v>#N/A</v>
      </c>
      <c r="O1036">
        <f t="shared" si="37"/>
        <v>0.1</v>
      </c>
    </row>
    <row r="1037" spans="1:15" x14ac:dyDescent="0.25">
      <c r="A1037" s="1">
        <v>44491</v>
      </c>
      <c r="B1037">
        <f>-0.9</f>
        <v>-0.9</v>
      </c>
      <c r="C1037">
        <f>0</f>
        <v>0</v>
      </c>
      <c r="D1037" t="e">
        <f>NA()</f>
        <v>#N/A</v>
      </c>
      <c r="E1037" t="e">
        <f>NA()</f>
        <v>#N/A</v>
      </c>
      <c r="F1037" t="e">
        <f>NA()</f>
        <v>#N/A</v>
      </c>
      <c r="G1037" t="e">
        <f>NA()</f>
        <v>#N/A</v>
      </c>
      <c r="H1037" t="e">
        <f>NA()</f>
        <v>#N/A</v>
      </c>
      <c r="I1037" t="e">
        <f>NA()</f>
        <v>#N/A</v>
      </c>
      <c r="J1037" t="e">
        <f>NA()</f>
        <v>#N/A</v>
      </c>
      <c r="K1037" t="e">
        <f>NA()</f>
        <v>#N/A</v>
      </c>
      <c r="L1037" t="e">
        <f>NA()</f>
        <v>#N/A</v>
      </c>
      <c r="M1037" t="e">
        <f>NA()</f>
        <v>#N/A</v>
      </c>
      <c r="N1037" t="e">
        <f>NA()</f>
        <v>#N/A</v>
      </c>
      <c r="O1037">
        <f t="shared" si="37"/>
        <v>0.1</v>
      </c>
    </row>
    <row r="1038" spans="1:15" x14ac:dyDescent="0.25">
      <c r="A1038" s="1">
        <v>44490</v>
      </c>
      <c r="B1038" t="e">
        <f>NA()</f>
        <v>#N/A</v>
      </c>
      <c r="C1038" t="e">
        <f>NA()</f>
        <v>#N/A</v>
      </c>
      <c r="D1038" t="e">
        <f>NA()</f>
        <v>#N/A</v>
      </c>
      <c r="E1038" t="e">
        <f>NA()</f>
        <v>#N/A</v>
      </c>
      <c r="F1038" t="e">
        <f>NA()</f>
        <v>#N/A</v>
      </c>
      <c r="G1038" t="e">
        <f>NA()</f>
        <v>#N/A</v>
      </c>
      <c r="H1038" t="e">
        <f>NA()</f>
        <v>#N/A</v>
      </c>
      <c r="I1038" t="e">
        <f>NA()</f>
        <v>#N/A</v>
      </c>
      <c r="J1038" t="e">
        <f>NA()</f>
        <v>#N/A</v>
      </c>
      <c r="K1038" t="e">
        <f>NA()</f>
        <v>#N/A</v>
      </c>
      <c r="L1038" t="e">
        <f>NA()</f>
        <v>#N/A</v>
      </c>
      <c r="M1038" t="e">
        <f>NA()</f>
        <v>#N/A</v>
      </c>
      <c r="N1038" t="e">
        <f>NA()</f>
        <v>#N/A</v>
      </c>
      <c r="O1038">
        <f t="shared" si="37"/>
        <v>0.1</v>
      </c>
    </row>
    <row r="1039" spans="1:15" x14ac:dyDescent="0.25">
      <c r="A1039" s="1">
        <v>44489</v>
      </c>
      <c r="B1039" t="e">
        <f>NA()</f>
        <v>#N/A</v>
      </c>
      <c r="C1039" t="e">
        <f>NA()</f>
        <v>#N/A</v>
      </c>
      <c r="D1039" t="e">
        <f>NA()</f>
        <v>#N/A</v>
      </c>
      <c r="E1039" t="e">
        <f>NA()</f>
        <v>#N/A</v>
      </c>
      <c r="F1039" t="e">
        <f>NA()</f>
        <v>#N/A</v>
      </c>
      <c r="G1039" t="e">
        <f>NA()</f>
        <v>#N/A</v>
      </c>
      <c r="H1039" t="e">
        <f>NA()</f>
        <v>#N/A</v>
      </c>
      <c r="I1039" t="e">
        <f>NA()</f>
        <v>#N/A</v>
      </c>
      <c r="J1039" t="e">
        <f>NA()</f>
        <v>#N/A</v>
      </c>
      <c r="K1039" t="e">
        <f>NA()</f>
        <v>#N/A</v>
      </c>
      <c r="L1039" t="e">
        <f>NA()</f>
        <v>#N/A</v>
      </c>
      <c r="M1039" t="e">
        <f>NA()</f>
        <v>#N/A</v>
      </c>
      <c r="N1039" t="e">
        <f>NA()</f>
        <v>#N/A</v>
      </c>
      <c r="O1039">
        <f t="shared" si="37"/>
        <v>0.1</v>
      </c>
    </row>
    <row r="1040" spans="1:15" x14ac:dyDescent="0.25">
      <c r="A1040" s="1">
        <v>44488</v>
      </c>
      <c r="B1040" t="e">
        <f>NA()</f>
        <v>#N/A</v>
      </c>
      <c r="C1040" t="e">
        <f>NA()</f>
        <v>#N/A</v>
      </c>
      <c r="D1040" t="e">
        <f>NA()</f>
        <v>#N/A</v>
      </c>
      <c r="E1040" t="e">
        <f>NA()</f>
        <v>#N/A</v>
      </c>
      <c r="F1040" t="e">
        <f>NA()</f>
        <v>#N/A</v>
      </c>
      <c r="G1040" t="e">
        <f>NA()</f>
        <v>#N/A</v>
      </c>
      <c r="H1040" t="e">
        <f>NA()</f>
        <v>#N/A</v>
      </c>
      <c r="I1040" t="e">
        <f>NA()</f>
        <v>#N/A</v>
      </c>
      <c r="J1040" t="e">
        <f>NA()</f>
        <v>#N/A</v>
      </c>
      <c r="K1040" t="e">
        <f>NA()</f>
        <v>#N/A</v>
      </c>
      <c r="L1040" t="e">
        <f>NA()</f>
        <v>#N/A</v>
      </c>
      <c r="M1040" t="e">
        <f>NA()</f>
        <v>#N/A</v>
      </c>
      <c r="N1040" t="e">
        <f>NA()</f>
        <v>#N/A</v>
      </c>
      <c r="O1040">
        <f t="shared" si="37"/>
        <v>0.1</v>
      </c>
    </row>
    <row r="1041" spans="1:15" x14ac:dyDescent="0.25">
      <c r="A1041" s="1">
        <v>44487</v>
      </c>
      <c r="B1041" t="e">
        <f>NA()</f>
        <v>#N/A</v>
      </c>
      <c r="C1041" t="e">
        <f>NA()</f>
        <v>#N/A</v>
      </c>
      <c r="D1041" t="e">
        <f>NA()</f>
        <v>#N/A</v>
      </c>
      <c r="E1041" t="e">
        <f>NA()</f>
        <v>#N/A</v>
      </c>
      <c r="F1041" t="e">
        <f>NA()</f>
        <v>#N/A</v>
      </c>
      <c r="G1041" t="e">
        <f>NA()</f>
        <v>#N/A</v>
      </c>
      <c r="H1041" t="e">
        <f>NA()</f>
        <v>#N/A</v>
      </c>
      <c r="I1041" t="e">
        <f>NA()</f>
        <v>#N/A</v>
      </c>
      <c r="J1041" t="e">
        <f>NA()</f>
        <v>#N/A</v>
      </c>
      <c r="K1041" t="e">
        <f>NA()</f>
        <v>#N/A</v>
      </c>
      <c r="L1041" t="e">
        <f>NA()</f>
        <v>#N/A</v>
      </c>
      <c r="M1041" t="e">
        <f>NA()</f>
        <v>#N/A</v>
      </c>
      <c r="N1041" t="e">
        <f>NA()</f>
        <v>#N/A</v>
      </c>
      <c r="O1041">
        <f t="shared" si="37"/>
        <v>0.1</v>
      </c>
    </row>
    <row r="1042" spans="1:15" x14ac:dyDescent="0.25">
      <c r="A1042" s="1">
        <v>44484</v>
      </c>
      <c r="B1042">
        <f>-0.7</f>
        <v>-0.7</v>
      </c>
      <c r="C1042">
        <f>0</f>
        <v>0</v>
      </c>
      <c r="D1042" t="e">
        <f>NA()</f>
        <v>#N/A</v>
      </c>
      <c r="E1042" t="e">
        <f>NA()</f>
        <v>#N/A</v>
      </c>
      <c r="F1042" t="e">
        <f>NA()</f>
        <v>#N/A</v>
      </c>
      <c r="G1042" t="e">
        <f>NA()</f>
        <v>#N/A</v>
      </c>
      <c r="H1042" t="e">
        <f>NA()</f>
        <v>#N/A</v>
      </c>
      <c r="I1042" t="e">
        <f>NA()</f>
        <v>#N/A</v>
      </c>
      <c r="J1042" t="e">
        <f>NA()</f>
        <v>#N/A</v>
      </c>
      <c r="K1042" t="e">
        <f>NA()</f>
        <v>#N/A</v>
      </c>
      <c r="L1042" t="e">
        <f>NA()</f>
        <v>#N/A</v>
      </c>
      <c r="M1042" t="e">
        <f>NA()</f>
        <v>#N/A</v>
      </c>
      <c r="N1042" t="e">
        <f>NA()</f>
        <v>#N/A</v>
      </c>
      <c r="O1042">
        <f t="shared" si="37"/>
        <v>0.1</v>
      </c>
    </row>
    <row r="1043" spans="1:15" x14ac:dyDescent="0.25">
      <c r="A1043" s="1">
        <v>44483</v>
      </c>
      <c r="B1043" t="e">
        <f>NA()</f>
        <v>#N/A</v>
      </c>
      <c r="C1043" t="e">
        <f>NA()</f>
        <v>#N/A</v>
      </c>
      <c r="D1043" t="e">
        <f>NA()</f>
        <v>#N/A</v>
      </c>
      <c r="E1043" t="e">
        <f>NA()</f>
        <v>#N/A</v>
      </c>
      <c r="F1043" t="e">
        <f>NA()</f>
        <v>#N/A</v>
      </c>
      <c r="G1043" t="e">
        <f>NA()</f>
        <v>#N/A</v>
      </c>
      <c r="H1043" t="e">
        <f>NA()</f>
        <v>#N/A</v>
      </c>
      <c r="I1043" t="e">
        <f>NA()</f>
        <v>#N/A</v>
      </c>
      <c r="J1043" t="e">
        <f>NA()</f>
        <v>#N/A</v>
      </c>
      <c r="K1043" t="e">
        <f>NA()</f>
        <v>#N/A</v>
      </c>
      <c r="L1043" t="e">
        <f>NA()</f>
        <v>#N/A</v>
      </c>
      <c r="M1043" t="e">
        <f>NA()</f>
        <v>#N/A</v>
      </c>
      <c r="N1043" t="e">
        <f>NA()</f>
        <v>#N/A</v>
      </c>
      <c r="O1043">
        <f t="shared" si="37"/>
        <v>0.1</v>
      </c>
    </row>
    <row r="1044" spans="1:15" x14ac:dyDescent="0.25">
      <c r="A1044" s="1">
        <v>44482</v>
      </c>
      <c r="B1044" t="e">
        <f>NA()</f>
        <v>#N/A</v>
      </c>
      <c r="C1044" t="e">
        <f>NA()</f>
        <v>#N/A</v>
      </c>
      <c r="D1044" t="e">
        <f>NA()</f>
        <v>#N/A</v>
      </c>
      <c r="E1044" t="e">
        <f>NA()</f>
        <v>#N/A</v>
      </c>
      <c r="F1044" t="e">
        <f>NA()</f>
        <v>#N/A</v>
      </c>
      <c r="G1044" t="e">
        <f>NA()</f>
        <v>#N/A</v>
      </c>
      <c r="H1044" t="e">
        <f>NA()</f>
        <v>#N/A</v>
      </c>
      <c r="I1044" t="e">
        <f>NA()</f>
        <v>#N/A</v>
      </c>
      <c r="J1044" t="e">
        <f>NA()</f>
        <v>#N/A</v>
      </c>
      <c r="K1044" t="e">
        <f>NA()</f>
        <v>#N/A</v>
      </c>
      <c r="L1044" t="e">
        <f>NA()</f>
        <v>#N/A</v>
      </c>
      <c r="M1044" t="e">
        <f>NA()</f>
        <v>#N/A</v>
      </c>
      <c r="N1044" t="e">
        <f>NA()</f>
        <v>#N/A</v>
      </c>
      <c r="O1044">
        <f t="shared" si="37"/>
        <v>0.1</v>
      </c>
    </row>
    <row r="1045" spans="1:15" x14ac:dyDescent="0.25">
      <c r="A1045" s="1">
        <v>44481</v>
      </c>
      <c r="B1045" t="e">
        <f>NA()</f>
        <v>#N/A</v>
      </c>
      <c r="C1045" t="e">
        <f>NA()</f>
        <v>#N/A</v>
      </c>
      <c r="D1045" t="e">
        <f>NA()</f>
        <v>#N/A</v>
      </c>
      <c r="E1045" t="e">
        <f>NA()</f>
        <v>#N/A</v>
      </c>
      <c r="F1045" t="e">
        <f>NA()</f>
        <v>#N/A</v>
      </c>
      <c r="G1045" t="e">
        <f>NA()</f>
        <v>#N/A</v>
      </c>
      <c r="H1045" t="e">
        <f>NA()</f>
        <v>#N/A</v>
      </c>
      <c r="I1045" t="e">
        <f>NA()</f>
        <v>#N/A</v>
      </c>
      <c r="J1045" t="e">
        <f>NA()</f>
        <v>#N/A</v>
      </c>
      <c r="K1045" t="e">
        <f>NA()</f>
        <v>#N/A</v>
      </c>
      <c r="L1045" t="e">
        <f>NA()</f>
        <v>#N/A</v>
      </c>
      <c r="M1045" t="e">
        <f>NA()</f>
        <v>#N/A</v>
      </c>
      <c r="N1045" t="e">
        <f>NA()</f>
        <v>#N/A</v>
      </c>
      <c r="O1045">
        <f t="shared" si="37"/>
        <v>0.1</v>
      </c>
    </row>
    <row r="1046" spans="1:15" x14ac:dyDescent="0.25">
      <c r="A1046" s="1">
        <v>44477</v>
      </c>
      <c r="B1046">
        <f>-0.6</f>
        <v>-0.6</v>
      </c>
      <c r="C1046">
        <f>0</f>
        <v>0</v>
      </c>
      <c r="D1046" t="e">
        <f>NA()</f>
        <v>#N/A</v>
      </c>
      <c r="E1046" t="e">
        <f>NA()</f>
        <v>#N/A</v>
      </c>
      <c r="F1046" t="e">
        <f>NA()</f>
        <v>#N/A</v>
      </c>
      <c r="G1046" t="e">
        <f>NA()</f>
        <v>#N/A</v>
      </c>
      <c r="H1046" t="e">
        <f>NA()</f>
        <v>#N/A</v>
      </c>
      <c r="I1046" t="e">
        <f>NA()</f>
        <v>#N/A</v>
      </c>
      <c r="J1046" t="e">
        <f>NA()</f>
        <v>#N/A</v>
      </c>
      <c r="K1046" t="e">
        <f>NA()</f>
        <v>#N/A</v>
      </c>
      <c r="L1046" t="e">
        <f>NA()</f>
        <v>#N/A</v>
      </c>
      <c r="M1046" t="e">
        <f>NA()</f>
        <v>#N/A</v>
      </c>
      <c r="N1046" t="e">
        <f>NA()</f>
        <v>#N/A</v>
      </c>
      <c r="O1046">
        <f t="shared" si="37"/>
        <v>0.1</v>
      </c>
    </row>
    <row r="1047" spans="1:15" x14ac:dyDescent="0.25">
      <c r="A1047" s="1">
        <v>44476</v>
      </c>
      <c r="B1047" t="e">
        <f>NA()</f>
        <v>#N/A</v>
      </c>
      <c r="C1047" t="e">
        <f>NA()</f>
        <v>#N/A</v>
      </c>
      <c r="D1047" t="e">
        <f>NA()</f>
        <v>#N/A</v>
      </c>
      <c r="E1047" t="e">
        <f>NA()</f>
        <v>#N/A</v>
      </c>
      <c r="F1047" t="e">
        <f>NA()</f>
        <v>#N/A</v>
      </c>
      <c r="G1047" t="e">
        <f>NA()</f>
        <v>#N/A</v>
      </c>
      <c r="H1047" t="e">
        <f>NA()</f>
        <v>#N/A</v>
      </c>
      <c r="I1047" t="e">
        <f>NA()</f>
        <v>#N/A</v>
      </c>
      <c r="J1047" t="e">
        <f>NA()</f>
        <v>#N/A</v>
      </c>
      <c r="K1047" t="e">
        <f>NA()</f>
        <v>#N/A</v>
      </c>
      <c r="L1047" t="e">
        <f>NA()</f>
        <v>#N/A</v>
      </c>
      <c r="M1047" t="e">
        <f>NA()</f>
        <v>#N/A</v>
      </c>
      <c r="N1047" t="e">
        <f>NA()</f>
        <v>#N/A</v>
      </c>
      <c r="O1047">
        <f t="shared" si="37"/>
        <v>0.1</v>
      </c>
    </row>
    <row r="1048" spans="1:15" x14ac:dyDescent="0.25">
      <c r="A1048" s="1">
        <v>44475</v>
      </c>
      <c r="B1048" t="e">
        <f>NA()</f>
        <v>#N/A</v>
      </c>
      <c r="C1048" t="e">
        <f>NA()</f>
        <v>#N/A</v>
      </c>
      <c r="D1048" t="e">
        <f>NA()</f>
        <v>#N/A</v>
      </c>
      <c r="E1048" t="e">
        <f>NA()</f>
        <v>#N/A</v>
      </c>
      <c r="F1048" t="e">
        <f>NA()</f>
        <v>#N/A</v>
      </c>
      <c r="G1048" t="e">
        <f>NA()</f>
        <v>#N/A</v>
      </c>
      <c r="H1048" t="e">
        <f>NA()</f>
        <v>#N/A</v>
      </c>
      <c r="I1048" t="e">
        <f>NA()</f>
        <v>#N/A</v>
      </c>
      <c r="J1048" t="e">
        <f>NA()</f>
        <v>#N/A</v>
      </c>
      <c r="K1048" t="e">
        <f>NA()</f>
        <v>#N/A</v>
      </c>
      <c r="L1048" t="e">
        <f>NA()</f>
        <v>#N/A</v>
      </c>
      <c r="M1048" t="e">
        <f>NA()</f>
        <v>#N/A</v>
      </c>
      <c r="N1048" t="e">
        <f>NA()</f>
        <v>#N/A</v>
      </c>
      <c r="O1048">
        <f t="shared" si="37"/>
        <v>0.1</v>
      </c>
    </row>
    <row r="1049" spans="1:15" x14ac:dyDescent="0.25">
      <c r="A1049" s="1">
        <v>44474</v>
      </c>
      <c r="B1049" t="e">
        <f>NA()</f>
        <v>#N/A</v>
      </c>
      <c r="C1049" t="e">
        <f>NA()</f>
        <v>#N/A</v>
      </c>
      <c r="D1049" t="e">
        <f>NA()</f>
        <v>#N/A</v>
      </c>
      <c r="E1049" t="e">
        <f>NA()</f>
        <v>#N/A</v>
      </c>
      <c r="F1049" t="e">
        <f>NA()</f>
        <v>#N/A</v>
      </c>
      <c r="G1049" t="e">
        <f>NA()</f>
        <v>#N/A</v>
      </c>
      <c r="H1049" t="e">
        <f>NA()</f>
        <v>#N/A</v>
      </c>
      <c r="I1049" t="e">
        <f>NA()</f>
        <v>#N/A</v>
      </c>
      <c r="J1049" t="e">
        <f>NA()</f>
        <v>#N/A</v>
      </c>
      <c r="K1049" t="e">
        <f>NA()</f>
        <v>#N/A</v>
      </c>
      <c r="L1049" t="e">
        <f>NA()</f>
        <v>#N/A</v>
      </c>
      <c r="M1049" t="e">
        <f>NA()</f>
        <v>#N/A</v>
      </c>
      <c r="N1049" t="e">
        <f>NA()</f>
        <v>#N/A</v>
      </c>
      <c r="O1049">
        <f t="shared" si="37"/>
        <v>0.1</v>
      </c>
    </row>
    <row r="1050" spans="1:15" x14ac:dyDescent="0.25">
      <c r="A1050" s="1">
        <v>44473</v>
      </c>
      <c r="B1050" t="e">
        <f>NA()</f>
        <v>#N/A</v>
      </c>
      <c r="C1050" t="e">
        <f>NA()</f>
        <v>#N/A</v>
      </c>
      <c r="D1050" t="e">
        <f>NA()</f>
        <v>#N/A</v>
      </c>
      <c r="E1050" t="e">
        <f>NA()</f>
        <v>#N/A</v>
      </c>
      <c r="F1050" t="e">
        <f>NA()</f>
        <v>#N/A</v>
      </c>
      <c r="G1050" t="e">
        <f>NA()</f>
        <v>#N/A</v>
      </c>
      <c r="H1050" t="e">
        <f>NA()</f>
        <v>#N/A</v>
      </c>
      <c r="I1050" t="e">
        <f>NA()</f>
        <v>#N/A</v>
      </c>
      <c r="J1050" t="e">
        <f>NA()</f>
        <v>#N/A</v>
      </c>
      <c r="K1050" t="e">
        <f>NA()</f>
        <v>#N/A</v>
      </c>
      <c r="L1050" t="e">
        <f>NA()</f>
        <v>#N/A</v>
      </c>
      <c r="M1050" t="e">
        <f>NA()</f>
        <v>#N/A</v>
      </c>
      <c r="N1050" t="e">
        <f>NA()</f>
        <v>#N/A</v>
      </c>
      <c r="O1050">
        <f t="shared" si="37"/>
        <v>0.1</v>
      </c>
    </row>
    <row r="1051" spans="1:15" x14ac:dyDescent="0.25">
      <c r="A1051" s="1">
        <v>44470</v>
      </c>
      <c r="B1051">
        <f>-0.6</f>
        <v>-0.6</v>
      </c>
      <c r="C1051">
        <f>0</f>
        <v>0</v>
      </c>
      <c r="D1051" t="e">
        <f>NA()</f>
        <v>#N/A</v>
      </c>
      <c r="E1051" t="e">
        <f>NA()</f>
        <v>#N/A</v>
      </c>
      <c r="F1051" t="e">
        <f>NA()</f>
        <v>#N/A</v>
      </c>
      <c r="G1051" t="e">
        <f>NA()</f>
        <v>#N/A</v>
      </c>
      <c r="H1051" t="e">
        <f>NA()</f>
        <v>#N/A</v>
      </c>
      <c r="I1051" t="e">
        <f>NA()</f>
        <v>#N/A</v>
      </c>
      <c r="J1051" t="e">
        <f>NA()</f>
        <v>#N/A</v>
      </c>
      <c r="K1051" t="e">
        <f>NA()</f>
        <v>#N/A</v>
      </c>
      <c r="L1051" t="e">
        <f>NA()</f>
        <v>#N/A</v>
      </c>
      <c r="M1051" t="e">
        <f>NA()</f>
        <v>#N/A</v>
      </c>
      <c r="N1051" t="e">
        <f>NA()</f>
        <v>#N/A</v>
      </c>
      <c r="O1051">
        <f t="shared" si="37"/>
        <v>0.1</v>
      </c>
    </row>
    <row r="1052" spans="1:15" x14ac:dyDescent="0.25">
      <c r="A1052" s="1">
        <v>44469</v>
      </c>
      <c r="B1052" t="e">
        <f>NA()</f>
        <v>#N/A</v>
      </c>
      <c r="C1052" t="e">
        <f>NA()</f>
        <v>#N/A</v>
      </c>
      <c r="D1052">
        <f>0.6</f>
        <v>0.6</v>
      </c>
      <c r="E1052">
        <f>-0.4</f>
        <v>-0.4</v>
      </c>
      <c r="F1052">
        <f>10879</f>
        <v>10879</v>
      </c>
      <c r="G1052">
        <f>61.7</f>
        <v>61.7</v>
      </c>
      <c r="H1052">
        <f>12.4</f>
        <v>12.4</v>
      </c>
      <c r="I1052">
        <f>274.3</f>
        <v>274.3</v>
      </c>
      <c r="J1052">
        <f>5.4</f>
        <v>5.4</v>
      </c>
      <c r="K1052">
        <f>60.8</f>
        <v>60.8</v>
      </c>
      <c r="L1052">
        <f>-1</f>
        <v>-1</v>
      </c>
      <c r="M1052">
        <f>3.3</f>
        <v>3.3</v>
      </c>
      <c r="N1052">
        <f>4.7</f>
        <v>4.7</v>
      </c>
      <c r="O1052">
        <f t="shared" si="37"/>
        <v>0.1</v>
      </c>
    </row>
    <row r="1053" spans="1:15" x14ac:dyDescent="0.25">
      <c r="A1053" s="1">
        <v>44468</v>
      </c>
      <c r="B1053" t="e">
        <f>NA()</f>
        <v>#N/A</v>
      </c>
      <c r="C1053" t="e">
        <f>NA()</f>
        <v>#N/A</v>
      </c>
      <c r="D1053" t="e">
        <f>NA()</f>
        <v>#N/A</v>
      </c>
      <c r="E1053" t="e">
        <f>NA()</f>
        <v>#N/A</v>
      </c>
      <c r="F1053" t="e">
        <f>NA()</f>
        <v>#N/A</v>
      </c>
      <c r="G1053" t="e">
        <f>NA()</f>
        <v>#N/A</v>
      </c>
      <c r="H1053" t="e">
        <f>NA()</f>
        <v>#N/A</v>
      </c>
      <c r="I1053" t="e">
        <f>NA()</f>
        <v>#N/A</v>
      </c>
      <c r="J1053" t="e">
        <f>NA()</f>
        <v>#N/A</v>
      </c>
      <c r="K1053" t="e">
        <f>NA()</f>
        <v>#N/A</v>
      </c>
      <c r="L1053" t="e">
        <f>NA()</f>
        <v>#N/A</v>
      </c>
      <c r="M1053" t="e">
        <f>NA()</f>
        <v>#N/A</v>
      </c>
      <c r="N1053" t="e">
        <f>NA()</f>
        <v>#N/A</v>
      </c>
      <c r="O1053">
        <f t="shared" si="37"/>
        <v>0.1</v>
      </c>
    </row>
    <row r="1054" spans="1:15" x14ac:dyDescent="0.25">
      <c r="A1054" s="1">
        <v>44467</v>
      </c>
      <c r="B1054" t="e">
        <f>NA()</f>
        <v>#N/A</v>
      </c>
      <c r="C1054" t="e">
        <f>NA()</f>
        <v>#N/A</v>
      </c>
      <c r="D1054" t="e">
        <f>NA()</f>
        <v>#N/A</v>
      </c>
      <c r="E1054" t="e">
        <f>NA()</f>
        <v>#N/A</v>
      </c>
      <c r="F1054" t="e">
        <f>NA()</f>
        <v>#N/A</v>
      </c>
      <c r="G1054" t="e">
        <f>NA()</f>
        <v>#N/A</v>
      </c>
      <c r="H1054" t="e">
        <f>NA()</f>
        <v>#N/A</v>
      </c>
      <c r="I1054" t="e">
        <f>NA()</f>
        <v>#N/A</v>
      </c>
      <c r="J1054" t="e">
        <f>NA()</f>
        <v>#N/A</v>
      </c>
      <c r="K1054" t="e">
        <f>NA()</f>
        <v>#N/A</v>
      </c>
      <c r="L1054" t="e">
        <f>NA()</f>
        <v>#N/A</v>
      </c>
      <c r="M1054" t="e">
        <f>NA()</f>
        <v>#N/A</v>
      </c>
      <c r="N1054" t="e">
        <f>NA()</f>
        <v>#N/A</v>
      </c>
      <c r="O1054">
        <f t="shared" si="37"/>
        <v>0.1</v>
      </c>
    </row>
    <row r="1055" spans="1:15" x14ac:dyDescent="0.25">
      <c r="A1055" s="1">
        <v>44466</v>
      </c>
      <c r="B1055" t="e">
        <f>NA()</f>
        <v>#N/A</v>
      </c>
      <c r="C1055" t="e">
        <f>NA()</f>
        <v>#N/A</v>
      </c>
      <c r="D1055" t="e">
        <f>NA()</f>
        <v>#N/A</v>
      </c>
      <c r="E1055" t="e">
        <f>NA()</f>
        <v>#N/A</v>
      </c>
      <c r="F1055" t="e">
        <f>NA()</f>
        <v>#N/A</v>
      </c>
      <c r="G1055" t="e">
        <f>NA()</f>
        <v>#N/A</v>
      </c>
      <c r="H1055" t="e">
        <f>NA()</f>
        <v>#N/A</v>
      </c>
      <c r="I1055" t="e">
        <f>NA()</f>
        <v>#N/A</v>
      </c>
      <c r="J1055" t="e">
        <f>NA()</f>
        <v>#N/A</v>
      </c>
      <c r="K1055" t="e">
        <f>NA()</f>
        <v>#N/A</v>
      </c>
      <c r="L1055" t="e">
        <f>NA()</f>
        <v>#N/A</v>
      </c>
      <c r="M1055" t="e">
        <f>NA()</f>
        <v>#N/A</v>
      </c>
      <c r="N1055" t="e">
        <f>NA()</f>
        <v>#N/A</v>
      </c>
      <c r="O1055">
        <f t="shared" si="37"/>
        <v>0.1</v>
      </c>
    </row>
    <row r="1056" spans="1:15" x14ac:dyDescent="0.25">
      <c r="A1056" s="1">
        <v>44463</v>
      </c>
      <c r="B1056">
        <f>-0.5</f>
        <v>-0.5</v>
      </c>
      <c r="C1056">
        <f>0</f>
        <v>0</v>
      </c>
      <c r="D1056" t="e">
        <f>NA()</f>
        <v>#N/A</v>
      </c>
      <c r="E1056" t="e">
        <f>NA()</f>
        <v>#N/A</v>
      </c>
      <c r="F1056" t="e">
        <f>NA()</f>
        <v>#N/A</v>
      </c>
      <c r="G1056" t="e">
        <f>NA()</f>
        <v>#N/A</v>
      </c>
      <c r="H1056" t="e">
        <f>NA()</f>
        <v>#N/A</v>
      </c>
      <c r="I1056" t="e">
        <f>NA()</f>
        <v>#N/A</v>
      </c>
      <c r="J1056" t="e">
        <f>NA()</f>
        <v>#N/A</v>
      </c>
      <c r="K1056" t="e">
        <f>NA()</f>
        <v>#N/A</v>
      </c>
      <c r="L1056" t="e">
        <f>NA()</f>
        <v>#N/A</v>
      </c>
      <c r="M1056" t="e">
        <f>NA()</f>
        <v>#N/A</v>
      </c>
      <c r="N1056" t="e">
        <f>NA()</f>
        <v>#N/A</v>
      </c>
      <c r="O1056">
        <f t="shared" si="37"/>
        <v>0.1</v>
      </c>
    </row>
    <row r="1057" spans="1:15" x14ac:dyDescent="0.25">
      <c r="A1057" s="1">
        <v>44462</v>
      </c>
      <c r="B1057" t="e">
        <f>NA()</f>
        <v>#N/A</v>
      </c>
      <c r="C1057" t="e">
        <f>NA()</f>
        <v>#N/A</v>
      </c>
      <c r="D1057" t="e">
        <f>NA()</f>
        <v>#N/A</v>
      </c>
      <c r="E1057" t="e">
        <f>NA()</f>
        <v>#N/A</v>
      </c>
      <c r="F1057" t="e">
        <f>NA()</f>
        <v>#N/A</v>
      </c>
      <c r="G1057" t="e">
        <f>NA()</f>
        <v>#N/A</v>
      </c>
      <c r="H1057" t="e">
        <f>NA()</f>
        <v>#N/A</v>
      </c>
      <c r="I1057" t="e">
        <f>NA()</f>
        <v>#N/A</v>
      </c>
      <c r="J1057" t="e">
        <f>NA()</f>
        <v>#N/A</v>
      </c>
      <c r="K1057" t="e">
        <f>NA()</f>
        <v>#N/A</v>
      </c>
      <c r="L1057" t="e">
        <f>NA()</f>
        <v>#N/A</v>
      </c>
      <c r="M1057" t="e">
        <f>NA()</f>
        <v>#N/A</v>
      </c>
      <c r="N1057" t="e">
        <f>NA()</f>
        <v>#N/A</v>
      </c>
      <c r="O1057">
        <f t="shared" si="37"/>
        <v>0.1</v>
      </c>
    </row>
    <row r="1058" spans="1:15" x14ac:dyDescent="0.25">
      <c r="A1058" s="1">
        <v>44461</v>
      </c>
      <c r="B1058" t="e">
        <f>NA()</f>
        <v>#N/A</v>
      </c>
      <c r="C1058" t="e">
        <f>NA()</f>
        <v>#N/A</v>
      </c>
      <c r="D1058" t="e">
        <f>NA()</f>
        <v>#N/A</v>
      </c>
      <c r="E1058" t="e">
        <f>NA()</f>
        <v>#N/A</v>
      </c>
      <c r="F1058" t="e">
        <f>NA()</f>
        <v>#N/A</v>
      </c>
      <c r="G1058" t="e">
        <f>NA()</f>
        <v>#N/A</v>
      </c>
      <c r="H1058" t="e">
        <f>NA()</f>
        <v>#N/A</v>
      </c>
      <c r="I1058" t="e">
        <f>NA()</f>
        <v>#N/A</v>
      </c>
      <c r="J1058" t="e">
        <f>NA()</f>
        <v>#N/A</v>
      </c>
      <c r="K1058" t="e">
        <f>NA()</f>
        <v>#N/A</v>
      </c>
      <c r="L1058" t="e">
        <f>NA()</f>
        <v>#N/A</v>
      </c>
      <c r="M1058" t="e">
        <f>NA()</f>
        <v>#N/A</v>
      </c>
      <c r="N1058" t="e">
        <f>NA()</f>
        <v>#N/A</v>
      </c>
      <c r="O1058">
        <f t="shared" si="37"/>
        <v>0.1</v>
      </c>
    </row>
    <row r="1059" spans="1:15" x14ac:dyDescent="0.25">
      <c r="A1059" s="1">
        <v>44460</v>
      </c>
      <c r="B1059" t="e">
        <f>NA()</f>
        <v>#N/A</v>
      </c>
      <c r="C1059" t="e">
        <f>NA()</f>
        <v>#N/A</v>
      </c>
      <c r="D1059" t="e">
        <f>NA()</f>
        <v>#N/A</v>
      </c>
      <c r="E1059" t="e">
        <f>NA()</f>
        <v>#N/A</v>
      </c>
      <c r="F1059" t="e">
        <f>NA()</f>
        <v>#N/A</v>
      </c>
      <c r="G1059" t="e">
        <f>NA()</f>
        <v>#N/A</v>
      </c>
      <c r="H1059" t="e">
        <f>NA()</f>
        <v>#N/A</v>
      </c>
      <c r="I1059" t="e">
        <f>NA()</f>
        <v>#N/A</v>
      </c>
      <c r="J1059" t="e">
        <f>NA()</f>
        <v>#N/A</v>
      </c>
      <c r="K1059" t="e">
        <f>NA()</f>
        <v>#N/A</v>
      </c>
      <c r="L1059" t="e">
        <f>NA()</f>
        <v>#N/A</v>
      </c>
      <c r="M1059" t="e">
        <f>NA()</f>
        <v>#N/A</v>
      </c>
      <c r="N1059" t="e">
        <f>NA()</f>
        <v>#N/A</v>
      </c>
      <c r="O1059">
        <f t="shared" si="37"/>
        <v>0.1</v>
      </c>
    </row>
    <row r="1060" spans="1:15" x14ac:dyDescent="0.25">
      <c r="A1060" s="1">
        <v>44459</v>
      </c>
      <c r="B1060" t="e">
        <f>NA()</f>
        <v>#N/A</v>
      </c>
      <c r="C1060" t="e">
        <f>NA()</f>
        <v>#N/A</v>
      </c>
      <c r="D1060" t="e">
        <f>NA()</f>
        <v>#N/A</v>
      </c>
      <c r="E1060" t="e">
        <f>NA()</f>
        <v>#N/A</v>
      </c>
      <c r="F1060" t="e">
        <f>NA()</f>
        <v>#N/A</v>
      </c>
      <c r="G1060" t="e">
        <f>NA()</f>
        <v>#N/A</v>
      </c>
      <c r="H1060" t="e">
        <f>NA()</f>
        <v>#N/A</v>
      </c>
      <c r="I1060" t="e">
        <f>NA()</f>
        <v>#N/A</v>
      </c>
      <c r="J1060" t="e">
        <f>NA()</f>
        <v>#N/A</v>
      </c>
      <c r="K1060" t="e">
        <f>NA()</f>
        <v>#N/A</v>
      </c>
      <c r="L1060" t="e">
        <f>NA()</f>
        <v>#N/A</v>
      </c>
      <c r="M1060" t="e">
        <f>NA()</f>
        <v>#N/A</v>
      </c>
      <c r="N1060" t="e">
        <f>NA()</f>
        <v>#N/A</v>
      </c>
      <c r="O1060">
        <f t="shared" si="37"/>
        <v>0.1</v>
      </c>
    </row>
    <row r="1061" spans="1:15" x14ac:dyDescent="0.25">
      <c r="A1061" s="1">
        <v>44456</v>
      </c>
      <c r="B1061">
        <f>-0.7</f>
        <v>-0.7</v>
      </c>
      <c r="C1061">
        <f>0</f>
        <v>0</v>
      </c>
      <c r="D1061" t="e">
        <f>NA()</f>
        <v>#N/A</v>
      </c>
      <c r="E1061" t="e">
        <f>NA()</f>
        <v>#N/A</v>
      </c>
      <c r="F1061" t="e">
        <f>NA()</f>
        <v>#N/A</v>
      </c>
      <c r="G1061" t="e">
        <f>NA()</f>
        <v>#N/A</v>
      </c>
      <c r="H1061" t="e">
        <f>NA()</f>
        <v>#N/A</v>
      </c>
      <c r="I1061" t="e">
        <f>NA()</f>
        <v>#N/A</v>
      </c>
      <c r="J1061" t="e">
        <f>NA()</f>
        <v>#N/A</v>
      </c>
      <c r="K1061" t="e">
        <f>NA()</f>
        <v>#N/A</v>
      </c>
      <c r="L1061" t="e">
        <f>NA()</f>
        <v>#N/A</v>
      </c>
      <c r="M1061" t="e">
        <f>NA()</f>
        <v>#N/A</v>
      </c>
      <c r="N1061" t="e">
        <f>NA()</f>
        <v>#N/A</v>
      </c>
      <c r="O1061">
        <f t="shared" si="37"/>
        <v>0.1</v>
      </c>
    </row>
    <row r="1062" spans="1:15" x14ac:dyDescent="0.25">
      <c r="A1062" s="1">
        <v>44455</v>
      </c>
      <c r="B1062" t="e">
        <f>NA()</f>
        <v>#N/A</v>
      </c>
      <c r="C1062" t="e">
        <f>NA()</f>
        <v>#N/A</v>
      </c>
      <c r="D1062" t="e">
        <f>NA()</f>
        <v>#N/A</v>
      </c>
      <c r="E1062" t="e">
        <f>NA()</f>
        <v>#N/A</v>
      </c>
      <c r="F1062" t="e">
        <f>NA()</f>
        <v>#N/A</v>
      </c>
      <c r="G1062" t="e">
        <f>NA()</f>
        <v>#N/A</v>
      </c>
      <c r="H1062" t="e">
        <f>NA()</f>
        <v>#N/A</v>
      </c>
      <c r="I1062" t="e">
        <f>NA()</f>
        <v>#N/A</v>
      </c>
      <c r="J1062" t="e">
        <f>NA()</f>
        <v>#N/A</v>
      </c>
      <c r="K1062" t="e">
        <f>NA()</f>
        <v>#N/A</v>
      </c>
      <c r="L1062" t="e">
        <f>NA()</f>
        <v>#N/A</v>
      </c>
      <c r="M1062" t="e">
        <f>NA()</f>
        <v>#N/A</v>
      </c>
      <c r="N1062" t="e">
        <f>NA()</f>
        <v>#N/A</v>
      </c>
      <c r="O1062">
        <f t="shared" si="37"/>
        <v>0.1</v>
      </c>
    </row>
    <row r="1063" spans="1:15" x14ac:dyDescent="0.25">
      <c r="A1063" s="1">
        <v>44454</v>
      </c>
      <c r="B1063" t="e">
        <f>NA()</f>
        <v>#N/A</v>
      </c>
      <c r="C1063" t="e">
        <f>NA()</f>
        <v>#N/A</v>
      </c>
      <c r="D1063" t="e">
        <f>NA()</f>
        <v>#N/A</v>
      </c>
      <c r="E1063" t="e">
        <f>NA()</f>
        <v>#N/A</v>
      </c>
      <c r="F1063" t="e">
        <f>NA()</f>
        <v>#N/A</v>
      </c>
      <c r="G1063" t="e">
        <f>NA()</f>
        <v>#N/A</v>
      </c>
      <c r="H1063" t="e">
        <f>NA()</f>
        <v>#N/A</v>
      </c>
      <c r="I1063" t="e">
        <f>NA()</f>
        <v>#N/A</v>
      </c>
      <c r="J1063" t="e">
        <f>NA()</f>
        <v>#N/A</v>
      </c>
      <c r="K1063" t="e">
        <f>NA()</f>
        <v>#N/A</v>
      </c>
      <c r="L1063" t="e">
        <f>NA()</f>
        <v>#N/A</v>
      </c>
      <c r="M1063" t="e">
        <f>NA()</f>
        <v>#N/A</v>
      </c>
      <c r="N1063" t="e">
        <f>NA()</f>
        <v>#N/A</v>
      </c>
      <c r="O1063">
        <f t="shared" si="37"/>
        <v>0.1</v>
      </c>
    </row>
    <row r="1064" spans="1:15" x14ac:dyDescent="0.25">
      <c r="A1064" s="1">
        <v>44453</v>
      </c>
      <c r="B1064" t="e">
        <f>NA()</f>
        <v>#N/A</v>
      </c>
      <c r="C1064" t="e">
        <f>NA()</f>
        <v>#N/A</v>
      </c>
      <c r="D1064" t="e">
        <f>NA()</f>
        <v>#N/A</v>
      </c>
      <c r="E1064" t="e">
        <f>NA()</f>
        <v>#N/A</v>
      </c>
      <c r="F1064" t="e">
        <f>NA()</f>
        <v>#N/A</v>
      </c>
      <c r="G1064" t="e">
        <f>NA()</f>
        <v>#N/A</v>
      </c>
      <c r="H1064" t="e">
        <f>NA()</f>
        <v>#N/A</v>
      </c>
      <c r="I1064" t="e">
        <f>NA()</f>
        <v>#N/A</v>
      </c>
      <c r="J1064" t="e">
        <f>NA()</f>
        <v>#N/A</v>
      </c>
      <c r="K1064" t="e">
        <f>NA()</f>
        <v>#N/A</v>
      </c>
      <c r="L1064" t="e">
        <f>NA()</f>
        <v>#N/A</v>
      </c>
      <c r="M1064" t="e">
        <f>NA()</f>
        <v>#N/A</v>
      </c>
      <c r="N1064" t="e">
        <f>NA()</f>
        <v>#N/A</v>
      </c>
      <c r="O1064">
        <f t="shared" ref="O1064:O1094" si="38">0.1</f>
        <v>0.1</v>
      </c>
    </row>
    <row r="1065" spans="1:15" x14ac:dyDescent="0.25">
      <c r="A1065" s="1">
        <v>44452</v>
      </c>
      <c r="B1065" t="e">
        <f>NA()</f>
        <v>#N/A</v>
      </c>
      <c r="C1065" t="e">
        <f>NA()</f>
        <v>#N/A</v>
      </c>
      <c r="D1065" t="e">
        <f>NA()</f>
        <v>#N/A</v>
      </c>
      <c r="E1065" t="e">
        <f>NA()</f>
        <v>#N/A</v>
      </c>
      <c r="F1065" t="e">
        <f>NA()</f>
        <v>#N/A</v>
      </c>
      <c r="G1065" t="e">
        <f>NA()</f>
        <v>#N/A</v>
      </c>
      <c r="H1065" t="e">
        <f>NA()</f>
        <v>#N/A</v>
      </c>
      <c r="I1065" t="e">
        <f>NA()</f>
        <v>#N/A</v>
      </c>
      <c r="J1065" t="e">
        <f>NA()</f>
        <v>#N/A</v>
      </c>
      <c r="K1065" t="e">
        <f>NA()</f>
        <v>#N/A</v>
      </c>
      <c r="L1065" t="e">
        <f>NA()</f>
        <v>#N/A</v>
      </c>
      <c r="M1065" t="e">
        <f>NA()</f>
        <v>#N/A</v>
      </c>
      <c r="N1065" t="e">
        <f>NA()</f>
        <v>#N/A</v>
      </c>
      <c r="O1065">
        <f t="shared" si="38"/>
        <v>0.1</v>
      </c>
    </row>
    <row r="1066" spans="1:15" x14ac:dyDescent="0.25">
      <c r="A1066" s="1">
        <v>44449</v>
      </c>
      <c r="B1066">
        <f>-0.7</f>
        <v>-0.7</v>
      </c>
      <c r="C1066">
        <f>0</f>
        <v>0</v>
      </c>
      <c r="D1066" t="e">
        <f>NA()</f>
        <v>#N/A</v>
      </c>
      <c r="E1066" t="e">
        <f>NA()</f>
        <v>#N/A</v>
      </c>
      <c r="F1066" t="e">
        <f>NA()</f>
        <v>#N/A</v>
      </c>
      <c r="G1066" t="e">
        <f>NA()</f>
        <v>#N/A</v>
      </c>
      <c r="H1066" t="e">
        <f>NA()</f>
        <v>#N/A</v>
      </c>
      <c r="I1066" t="e">
        <f>NA()</f>
        <v>#N/A</v>
      </c>
      <c r="J1066" t="e">
        <f>NA()</f>
        <v>#N/A</v>
      </c>
      <c r="K1066" t="e">
        <f>NA()</f>
        <v>#N/A</v>
      </c>
      <c r="L1066" t="e">
        <f>NA()</f>
        <v>#N/A</v>
      </c>
      <c r="M1066" t="e">
        <f>NA()</f>
        <v>#N/A</v>
      </c>
      <c r="N1066" t="e">
        <f>NA()</f>
        <v>#N/A</v>
      </c>
      <c r="O1066">
        <f t="shared" si="38"/>
        <v>0.1</v>
      </c>
    </row>
    <row r="1067" spans="1:15" x14ac:dyDescent="0.25">
      <c r="A1067" s="1">
        <v>44448</v>
      </c>
      <c r="B1067" t="e">
        <f>NA()</f>
        <v>#N/A</v>
      </c>
      <c r="C1067" t="e">
        <f>NA()</f>
        <v>#N/A</v>
      </c>
      <c r="D1067" t="e">
        <f>NA()</f>
        <v>#N/A</v>
      </c>
      <c r="E1067" t="e">
        <f>NA()</f>
        <v>#N/A</v>
      </c>
      <c r="F1067" t="e">
        <f>NA()</f>
        <v>#N/A</v>
      </c>
      <c r="G1067" t="e">
        <f>NA()</f>
        <v>#N/A</v>
      </c>
      <c r="H1067" t="e">
        <f>NA()</f>
        <v>#N/A</v>
      </c>
      <c r="I1067" t="e">
        <f>NA()</f>
        <v>#N/A</v>
      </c>
      <c r="J1067" t="e">
        <f>NA()</f>
        <v>#N/A</v>
      </c>
      <c r="K1067" t="e">
        <f>NA()</f>
        <v>#N/A</v>
      </c>
      <c r="L1067" t="e">
        <f>NA()</f>
        <v>#N/A</v>
      </c>
      <c r="M1067" t="e">
        <f>NA()</f>
        <v>#N/A</v>
      </c>
      <c r="N1067" t="e">
        <f>NA()</f>
        <v>#N/A</v>
      </c>
      <c r="O1067">
        <f t="shared" si="38"/>
        <v>0.1</v>
      </c>
    </row>
    <row r="1068" spans="1:15" x14ac:dyDescent="0.25">
      <c r="A1068" s="1">
        <v>44447</v>
      </c>
      <c r="B1068" t="e">
        <f>NA()</f>
        <v>#N/A</v>
      </c>
      <c r="C1068" t="e">
        <f>NA()</f>
        <v>#N/A</v>
      </c>
      <c r="D1068" t="e">
        <f>NA()</f>
        <v>#N/A</v>
      </c>
      <c r="E1068" t="e">
        <f>NA()</f>
        <v>#N/A</v>
      </c>
      <c r="F1068" t="e">
        <f>NA()</f>
        <v>#N/A</v>
      </c>
      <c r="G1068" t="e">
        <f>NA()</f>
        <v>#N/A</v>
      </c>
      <c r="H1068" t="e">
        <f>NA()</f>
        <v>#N/A</v>
      </c>
      <c r="I1068" t="e">
        <f>NA()</f>
        <v>#N/A</v>
      </c>
      <c r="J1068" t="e">
        <f>NA()</f>
        <v>#N/A</v>
      </c>
      <c r="K1068" t="e">
        <f>NA()</f>
        <v>#N/A</v>
      </c>
      <c r="L1068" t="e">
        <f>NA()</f>
        <v>#N/A</v>
      </c>
      <c r="M1068" t="e">
        <f>NA()</f>
        <v>#N/A</v>
      </c>
      <c r="N1068" t="e">
        <f>NA()</f>
        <v>#N/A</v>
      </c>
      <c r="O1068">
        <f t="shared" si="38"/>
        <v>0.1</v>
      </c>
    </row>
    <row r="1069" spans="1:15" x14ac:dyDescent="0.25">
      <c r="A1069" s="1">
        <v>44446</v>
      </c>
      <c r="B1069" t="e">
        <f>NA()</f>
        <v>#N/A</v>
      </c>
      <c r="C1069" t="e">
        <f>NA()</f>
        <v>#N/A</v>
      </c>
      <c r="D1069" t="e">
        <f>NA()</f>
        <v>#N/A</v>
      </c>
      <c r="E1069" t="e">
        <f>NA()</f>
        <v>#N/A</v>
      </c>
      <c r="F1069" t="e">
        <f>NA()</f>
        <v>#N/A</v>
      </c>
      <c r="G1069" t="e">
        <f>NA()</f>
        <v>#N/A</v>
      </c>
      <c r="H1069" t="e">
        <f>NA()</f>
        <v>#N/A</v>
      </c>
      <c r="I1069" t="e">
        <f>NA()</f>
        <v>#N/A</v>
      </c>
      <c r="J1069" t="e">
        <f>NA()</f>
        <v>#N/A</v>
      </c>
      <c r="K1069" t="e">
        <f>NA()</f>
        <v>#N/A</v>
      </c>
      <c r="L1069" t="e">
        <f>NA()</f>
        <v>#N/A</v>
      </c>
      <c r="M1069" t="e">
        <f>NA()</f>
        <v>#N/A</v>
      </c>
      <c r="N1069" t="e">
        <f>NA()</f>
        <v>#N/A</v>
      </c>
      <c r="O1069">
        <f t="shared" si="38"/>
        <v>0.1</v>
      </c>
    </row>
    <row r="1070" spans="1:15" x14ac:dyDescent="0.25">
      <c r="A1070" s="1">
        <v>44442</v>
      </c>
      <c r="B1070">
        <f>-0.8</f>
        <v>-0.8</v>
      </c>
      <c r="C1070">
        <f>0</f>
        <v>0</v>
      </c>
      <c r="D1070" t="e">
        <f>NA()</f>
        <v>#N/A</v>
      </c>
      <c r="E1070" t="e">
        <f>NA()</f>
        <v>#N/A</v>
      </c>
      <c r="F1070" t="e">
        <f>NA()</f>
        <v>#N/A</v>
      </c>
      <c r="G1070" t="e">
        <f>NA()</f>
        <v>#N/A</v>
      </c>
      <c r="H1070" t="e">
        <f>NA()</f>
        <v>#N/A</v>
      </c>
      <c r="I1070" t="e">
        <f>NA()</f>
        <v>#N/A</v>
      </c>
      <c r="J1070" t="e">
        <f>NA()</f>
        <v>#N/A</v>
      </c>
      <c r="K1070" t="e">
        <f>NA()</f>
        <v>#N/A</v>
      </c>
      <c r="L1070" t="e">
        <f>NA()</f>
        <v>#N/A</v>
      </c>
      <c r="M1070" t="e">
        <f>NA()</f>
        <v>#N/A</v>
      </c>
      <c r="N1070" t="e">
        <f>NA()</f>
        <v>#N/A</v>
      </c>
      <c r="O1070">
        <f t="shared" si="38"/>
        <v>0.1</v>
      </c>
    </row>
    <row r="1071" spans="1:15" x14ac:dyDescent="0.25">
      <c r="A1071" s="1">
        <v>44441</v>
      </c>
      <c r="B1071" t="e">
        <f>NA()</f>
        <v>#N/A</v>
      </c>
      <c r="C1071" t="e">
        <f>NA()</f>
        <v>#N/A</v>
      </c>
      <c r="D1071" t="e">
        <f>NA()</f>
        <v>#N/A</v>
      </c>
      <c r="E1071" t="e">
        <f>NA()</f>
        <v>#N/A</v>
      </c>
      <c r="F1071" t="e">
        <f>NA()</f>
        <v>#N/A</v>
      </c>
      <c r="G1071" t="e">
        <f>NA()</f>
        <v>#N/A</v>
      </c>
      <c r="H1071" t="e">
        <f>NA()</f>
        <v>#N/A</v>
      </c>
      <c r="I1071" t="e">
        <f>NA()</f>
        <v>#N/A</v>
      </c>
      <c r="J1071" t="e">
        <f>NA()</f>
        <v>#N/A</v>
      </c>
      <c r="K1071" t="e">
        <f>NA()</f>
        <v>#N/A</v>
      </c>
      <c r="L1071" t="e">
        <f>NA()</f>
        <v>#N/A</v>
      </c>
      <c r="M1071" t="e">
        <f>NA()</f>
        <v>#N/A</v>
      </c>
      <c r="N1071" t="e">
        <f>NA()</f>
        <v>#N/A</v>
      </c>
      <c r="O1071">
        <f t="shared" si="38"/>
        <v>0.1</v>
      </c>
    </row>
    <row r="1072" spans="1:15" x14ac:dyDescent="0.25">
      <c r="A1072" s="1">
        <v>44440</v>
      </c>
      <c r="B1072" t="e">
        <f>NA()</f>
        <v>#N/A</v>
      </c>
      <c r="C1072" t="e">
        <f>NA()</f>
        <v>#N/A</v>
      </c>
      <c r="D1072" t="e">
        <f>NA()</f>
        <v>#N/A</v>
      </c>
      <c r="E1072" t="e">
        <f>NA()</f>
        <v>#N/A</v>
      </c>
      <c r="F1072" t="e">
        <f>NA()</f>
        <v>#N/A</v>
      </c>
      <c r="G1072" t="e">
        <f>NA()</f>
        <v>#N/A</v>
      </c>
      <c r="H1072" t="e">
        <f>NA()</f>
        <v>#N/A</v>
      </c>
      <c r="I1072" t="e">
        <f>NA()</f>
        <v>#N/A</v>
      </c>
      <c r="J1072" t="e">
        <f>NA()</f>
        <v>#N/A</v>
      </c>
      <c r="K1072" t="e">
        <f>NA()</f>
        <v>#N/A</v>
      </c>
      <c r="L1072" t="e">
        <f>NA()</f>
        <v>#N/A</v>
      </c>
      <c r="M1072" t="e">
        <f>NA()</f>
        <v>#N/A</v>
      </c>
      <c r="N1072" t="e">
        <f>NA()</f>
        <v>#N/A</v>
      </c>
      <c r="O1072">
        <f t="shared" si="38"/>
        <v>0.1</v>
      </c>
    </row>
    <row r="1073" spans="1:15" x14ac:dyDescent="0.25">
      <c r="A1073" s="1">
        <v>44439</v>
      </c>
      <c r="B1073" t="e">
        <f>NA()</f>
        <v>#N/A</v>
      </c>
      <c r="C1073" t="e">
        <f>NA()</f>
        <v>#N/A</v>
      </c>
      <c r="D1073">
        <f>0.4</f>
        <v>0.4</v>
      </c>
      <c r="E1073">
        <f>-0.8</f>
        <v>-0.8</v>
      </c>
      <c r="F1073">
        <f>10956</f>
        <v>10956</v>
      </c>
      <c r="G1073">
        <f>61.7</f>
        <v>61.7</v>
      </c>
      <c r="H1073">
        <f>13.5</f>
        <v>13.5</v>
      </c>
      <c r="I1073">
        <f>273.6</f>
        <v>273.60000000000002</v>
      </c>
      <c r="J1073">
        <f>5.3</f>
        <v>5.3</v>
      </c>
      <c r="K1073">
        <f>59.8</f>
        <v>59.8</v>
      </c>
      <c r="L1073">
        <f>0</f>
        <v>0</v>
      </c>
      <c r="M1073" t="e">
        <f>NA()</f>
        <v>#N/A</v>
      </c>
      <c r="N1073">
        <f>5.1</f>
        <v>5.0999999999999996</v>
      </c>
      <c r="O1073">
        <f t="shared" si="38"/>
        <v>0.1</v>
      </c>
    </row>
    <row r="1074" spans="1:15" x14ac:dyDescent="0.25">
      <c r="A1074" s="1">
        <v>44438</v>
      </c>
      <c r="B1074" t="e">
        <f>NA()</f>
        <v>#N/A</v>
      </c>
      <c r="C1074" t="e">
        <f>NA()</f>
        <v>#N/A</v>
      </c>
      <c r="D1074" t="e">
        <f>NA()</f>
        <v>#N/A</v>
      </c>
      <c r="E1074" t="e">
        <f>NA()</f>
        <v>#N/A</v>
      </c>
      <c r="F1074" t="e">
        <f>NA()</f>
        <v>#N/A</v>
      </c>
      <c r="G1074" t="e">
        <f>NA()</f>
        <v>#N/A</v>
      </c>
      <c r="H1074" t="e">
        <f>NA()</f>
        <v>#N/A</v>
      </c>
      <c r="I1074" t="e">
        <f>NA()</f>
        <v>#N/A</v>
      </c>
      <c r="J1074" t="e">
        <f>NA()</f>
        <v>#N/A</v>
      </c>
      <c r="K1074" t="e">
        <f>NA()</f>
        <v>#N/A</v>
      </c>
      <c r="L1074" t="e">
        <f>NA()</f>
        <v>#N/A</v>
      </c>
      <c r="M1074" t="e">
        <f>NA()</f>
        <v>#N/A</v>
      </c>
      <c r="N1074" t="e">
        <f>NA()</f>
        <v>#N/A</v>
      </c>
      <c r="O1074">
        <f t="shared" si="38"/>
        <v>0.1</v>
      </c>
    </row>
    <row r="1075" spans="1:15" x14ac:dyDescent="0.25">
      <c r="A1075" s="1">
        <v>44435</v>
      </c>
      <c r="B1075">
        <f>-0.8</f>
        <v>-0.8</v>
      </c>
      <c r="C1075">
        <f>0</f>
        <v>0</v>
      </c>
      <c r="D1075" t="e">
        <f>NA()</f>
        <v>#N/A</v>
      </c>
      <c r="E1075" t="e">
        <f>NA()</f>
        <v>#N/A</v>
      </c>
      <c r="F1075" t="e">
        <f>NA()</f>
        <v>#N/A</v>
      </c>
      <c r="G1075" t="e">
        <f>NA()</f>
        <v>#N/A</v>
      </c>
      <c r="H1075" t="e">
        <f>NA()</f>
        <v>#N/A</v>
      </c>
      <c r="I1075" t="e">
        <f>NA()</f>
        <v>#N/A</v>
      </c>
      <c r="J1075" t="e">
        <f>NA()</f>
        <v>#N/A</v>
      </c>
      <c r="K1075" t="e">
        <f>NA()</f>
        <v>#N/A</v>
      </c>
      <c r="L1075" t="e">
        <f>NA()</f>
        <v>#N/A</v>
      </c>
      <c r="M1075" t="e">
        <f>NA()</f>
        <v>#N/A</v>
      </c>
      <c r="N1075" t="e">
        <f>NA()</f>
        <v>#N/A</v>
      </c>
      <c r="O1075">
        <f t="shared" si="38"/>
        <v>0.1</v>
      </c>
    </row>
    <row r="1076" spans="1:15" x14ac:dyDescent="0.25">
      <c r="A1076" s="1">
        <v>44434</v>
      </c>
      <c r="B1076" t="e">
        <f>NA()</f>
        <v>#N/A</v>
      </c>
      <c r="C1076" t="e">
        <f>NA()</f>
        <v>#N/A</v>
      </c>
      <c r="D1076" t="e">
        <f>NA()</f>
        <v>#N/A</v>
      </c>
      <c r="E1076" t="e">
        <f>NA()</f>
        <v>#N/A</v>
      </c>
      <c r="F1076" t="e">
        <f>NA()</f>
        <v>#N/A</v>
      </c>
      <c r="G1076" t="e">
        <f>NA()</f>
        <v>#N/A</v>
      </c>
      <c r="H1076" t="e">
        <f>NA()</f>
        <v>#N/A</v>
      </c>
      <c r="I1076" t="e">
        <f>NA()</f>
        <v>#N/A</v>
      </c>
      <c r="J1076" t="e">
        <f>NA()</f>
        <v>#N/A</v>
      </c>
      <c r="K1076" t="e">
        <f>NA()</f>
        <v>#N/A</v>
      </c>
      <c r="L1076" t="e">
        <f>NA()</f>
        <v>#N/A</v>
      </c>
      <c r="M1076" t="e">
        <f>NA()</f>
        <v>#N/A</v>
      </c>
      <c r="N1076" t="e">
        <f>NA()</f>
        <v>#N/A</v>
      </c>
      <c r="O1076">
        <f t="shared" si="38"/>
        <v>0.1</v>
      </c>
    </row>
    <row r="1077" spans="1:15" x14ac:dyDescent="0.25">
      <c r="A1077" s="1">
        <v>44433</v>
      </c>
      <c r="B1077" t="e">
        <f>NA()</f>
        <v>#N/A</v>
      </c>
      <c r="C1077" t="e">
        <f>NA()</f>
        <v>#N/A</v>
      </c>
      <c r="D1077" t="e">
        <f>NA()</f>
        <v>#N/A</v>
      </c>
      <c r="E1077" t="e">
        <f>NA()</f>
        <v>#N/A</v>
      </c>
      <c r="F1077" t="e">
        <f>NA()</f>
        <v>#N/A</v>
      </c>
      <c r="G1077" t="e">
        <f>NA()</f>
        <v>#N/A</v>
      </c>
      <c r="H1077" t="e">
        <f>NA()</f>
        <v>#N/A</v>
      </c>
      <c r="I1077" t="e">
        <f>NA()</f>
        <v>#N/A</v>
      </c>
      <c r="J1077" t="e">
        <f>NA()</f>
        <v>#N/A</v>
      </c>
      <c r="K1077" t="e">
        <f>NA()</f>
        <v>#N/A</v>
      </c>
      <c r="L1077" t="e">
        <f>NA()</f>
        <v>#N/A</v>
      </c>
      <c r="M1077" t="e">
        <f>NA()</f>
        <v>#N/A</v>
      </c>
      <c r="N1077" t="e">
        <f>NA()</f>
        <v>#N/A</v>
      </c>
      <c r="O1077">
        <f t="shared" si="38"/>
        <v>0.1</v>
      </c>
    </row>
    <row r="1078" spans="1:15" x14ac:dyDescent="0.25">
      <c r="A1078" s="1">
        <v>44432</v>
      </c>
      <c r="B1078" t="e">
        <f>NA()</f>
        <v>#N/A</v>
      </c>
      <c r="C1078" t="e">
        <f>NA()</f>
        <v>#N/A</v>
      </c>
      <c r="D1078" t="e">
        <f>NA()</f>
        <v>#N/A</v>
      </c>
      <c r="E1078" t="e">
        <f>NA()</f>
        <v>#N/A</v>
      </c>
      <c r="F1078" t="e">
        <f>NA()</f>
        <v>#N/A</v>
      </c>
      <c r="G1078" t="e">
        <f>NA()</f>
        <v>#N/A</v>
      </c>
      <c r="H1078" t="e">
        <f>NA()</f>
        <v>#N/A</v>
      </c>
      <c r="I1078" t="e">
        <f>NA()</f>
        <v>#N/A</v>
      </c>
      <c r="J1078" t="e">
        <f>NA()</f>
        <v>#N/A</v>
      </c>
      <c r="K1078" t="e">
        <f>NA()</f>
        <v>#N/A</v>
      </c>
      <c r="L1078" t="e">
        <f>NA()</f>
        <v>#N/A</v>
      </c>
      <c r="M1078" t="e">
        <f>NA()</f>
        <v>#N/A</v>
      </c>
      <c r="N1078" t="e">
        <f>NA()</f>
        <v>#N/A</v>
      </c>
      <c r="O1078">
        <f t="shared" si="38"/>
        <v>0.1</v>
      </c>
    </row>
    <row r="1079" spans="1:15" x14ac:dyDescent="0.25">
      <c r="A1079" s="1">
        <v>44431</v>
      </c>
      <c r="B1079" t="e">
        <f>NA()</f>
        <v>#N/A</v>
      </c>
      <c r="C1079" t="e">
        <f>NA()</f>
        <v>#N/A</v>
      </c>
      <c r="D1079" t="e">
        <f>NA()</f>
        <v>#N/A</v>
      </c>
      <c r="E1079" t="e">
        <f>NA()</f>
        <v>#N/A</v>
      </c>
      <c r="F1079" t="e">
        <f>NA()</f>
        <v>#N/A</v>
      </c>
      <c r="G1079" t="e">
        <f>NA()</f>
        <v>#N/A</v>
      </c>
      <c r="H1079" t="e">
        <f>NA()</f>
        <v>#N/A</v>
      </c>
      <c r="I1079" t="e">
        <f>NA()</f>
        <v>#N/A</v>
      </c>
      <c r="J1079" t="e">
        <f>NA()</f>
        <v>#N/A</v>
      </c>
      <c r="K1079" t="e">
        <f>NA()</f>
        <v>#N/A</v>
      </c>
      <c r="L1079" t="e">
        <f>NA()</f>
        <v>#N/A</v>
      </c>
      <c r="M1079" t="e">
        <f>NA()</f>
        <v>#N/A</v>
      </c>
      <c r="N1079" t="e">
        <f>NA()</f>
        <v>#N/A</v>
      </c>
      <c r="O1079">
        <f t="shared" si="38"/>
        <v>0.1</v>
      </c>
    </row>
    <row r="1080" spans="1:15" x14ac:dyDescent="0.25">
      <c r="A1080" s="1">
        <v>44428</v>
      </c>
      <c r="B1080">
        <f>-0.6</f>
        <v>-0.6</v>
      </c>
      <c r="C1080">
        <f>0</f>
        <v>0</v>
      </c>
      <c r="D1080" t="e">
        <f>NA()</f>
        <v>#N/A</v>
      </c>
      <c r="E1080" t="e">
        <f>NA()</f>
        <v>#N/A</v>
      </c>
      <c r="F1080" t="e">
        <f>NA()</f>
        <v>#N/A</v>
      </c>
      <c r="G1080" t="e">
        <f>NA()</f>
        <v>#N/A</v>
      </c>
      <c r="H1080" t="e">
        <f>NA()</f>
        <v>#N/A</v>
      </c>
      <c r="I1080" t="e">
        <f>NA()</f>
        <v>#N/A</v>
      </c>
      <c r="J1080" t="e">
        <f>NA()</f>
        <v>#N/A</v>
      </c>
      <c r="K1080" t="e">
        <f>NA()</f>
        <v>#N/A</v>
      </c>
      <c r="L1080" t="e">
        <f>NA()</f>
        <v>#N/A</v>
      </c>
      <c r="M1080" t="e">
        <f>NA()</f>
        <v>#N/A</v>
      </c>
      <c r="N1080" t="e">
        <f>NA()</f>
        <v>#N/A</v>
      </c>
      <c r="O1080">
        <f t="shared" si="38"/>
        <v>0.1</v>
      </c>
    </row>
    <row r="1081" spans="1:15" x14ac:dyDescent="0.25">
      <c r="A1081" s="1">
        <v>44427</v>
      </c>
      <c r="B1081" t="e">
        <f>NA()</f>
        <v>#N/A</v>
      </c>
      <c r="C1081" t="e">
        <f>NA()</f>
        <v>#N/A</v>
      </c>
      <c r="D1081" t="e">
        <f>NA()</f>
        <v>#N/A</v>
      </c>
      <c r="E1081" t="e">
        <f>NA()</f>
        <v>#N/A</v>
      </c>
      <c r="F1081" t="e">
        <f>NA()</f>
        <v>#N/A</v>
      </c>
      <c r="G1081" t="e">
        <f>NA()</f>
        <v>#N/A</v>
      </c>
      <c r="H1081" t="e">
        <f>NA()</f>
        <v>#N/A</v>
      </c>
      <c r="I1081" t="e">
        <f>NA()</f>
        <v>#N/A</v>
      </c>
      <c r="J1081" t="e">
        <f>NA()</f>
        <v>#N/A</v>
      </c>
      <c r="K1081" t="e">
        <f>NA()</f>
        <v>#N/A</v>
      </c>
      <c r="L1081" t="e">
        <f>NA()</f>
        <v>#N/A</v>
      </c>
      <c r="M1081" t="e">
        <f>NA()</f>
        <v>#N/A</v>
      </c>
      <c r="N1081" t="e">
        <f>NA()</f>
        <v>#N/A</v>
      </c>
      <c r="O1081">
        <f t="shared" si="38"/>
        <v>0.1</v>
      </c>
    </row>
    <row r="1082" spans="1:15" x14ac:dyDescent="0.25">
      <c r="A1082" s="1">
        <v>44426</v>
      </c>
      <c r="B1082" t="e">
        <f>NA()</f>
        <v>#N/A</v>
      </c>
      <c r="C1082" t="e">
        <f>NA()</f>
        <v>#N/A</v>
      </c>
      <c r="D1082" t="e">
        <f>NA()</f>
        <v>#N/A</v>
      </c>
      <c r="E1082" t="e">
        <f>NA()</f>
        <v>#N/A</v>
      </c>
      <c r="F1082" t="e">
        <f>NA()</f>
        <v>#N/A</v>
      </c>
      <c r="G1082" t="e">
        <f>NA()</f>
        <v>#N/A</v>
      </c>
      <c r="H1082" t="e">
        <f>NA()</f>
        <v>#N/A</v>
      </c>
      <c r="I1082" t="e">
        <f>NA()</f>
        <v>#N/A</v>
      </c>
      <c r="J1082" t="e">
        <f>NA()</f>
        <v>#N/A</v>
      </c>
      <c r="K1082" t="e">
        <f>NA()</f>
        <v>#N/A</v>
      </c>
      <c r="L1082" t="e">
        <f>NA()</f>
        <v>#N/A</v>
      </c>
      <c r="M1082" t="e">
        <f>NA()</f>
        <v>#N/A</v>
      </c>
      <c r="N1082" t="e">
        <f>NA()</f>
        <v>#N/A</v>
      </c>
      <c r="O1082">
        <f t="shared" si="38"/>
        <v>0.1</v>
      </c>
    </row>
    <row r="1083" spans="1:15" x14ac:dyDescent="0.25">
      <c r="A1083" s="1">
        <v>44425</v>
      </c>
      <c r="B1083" t="e">
        <f>NA()</f>
        <v>#N/A</v>
      </c>
      <c r="C1083" t="e">
        <f>NA()</f>
        <v>#N/A</v>
      </c>
      <c r="D1083" t="e">
        <f>NA()</f>
        <v>#N/A</v>
      </c>
      <c r="E1083" t="e">
        <f>NA()</f>
        <v>#N/A</v>
      </c>
      <c r="F1083" t="e">
        <f>NA()</f>
        <v>#N/A</v>
      </c>
      <c r="G1083" t="e">
        <f>NA()</f>
        <v>#N/A</v>
      </c>
      <c r="H1083" t="e">
        <f>NA()</f>
        <v>#N/A</v>
      </c>
      <c r="I1083" t="e">
        <f>NA()</f>
        <v>#N/A</v>
      </c>
      <c r="J1083" t="e">
        <f>NA()</f>
        <v>#N/A</v>
      </c>
      <c r="K1083" t="e">
        <f>NA()</f>
        <v>#N/A</v>
      </c>
      <c r="L1083" t="e">
        <f>NA()</f>
        <v>#N/A</v>
      </c>
      <c r="M1083" t="e">
        <f>NA()</f>
        <v>#N/A</v>
      </c>
      <c r="N1083" t="e">
        <f>NA()</f>
        <v>#N/A</v>
      </c>
      <c r="O1083">
        <f t="shared" si="38"/>
        <v>0.1</v>
      </c>
    </row>
    <row r="1084" spans="1:15" x14ac:dyDescent="0.25">
      <c r="A1084" s="1">
        <v>44424</v>
      </c>
      <c r="B1084" t="e">
        <f>NA()</f>
        <v>#N/A</v>
      </c>
      <c r="C1084" t="e">
        <f>NA()</f>
        <v>#N/A</v>
      </c>
      <c r="D1084" t="e">
        <f>NA()</f>
        <v>#N/A</v>
      </c>
      <c r="E1084" t="e">
        <f>NA()</f>
        <v>#N/A</v>
      </c>
      <c r="F1084" t="e">
        <f>NA()</f>
        <v>#N/A</v>
      </c>
      <c r="G1084" t="e">
        <f>NA()</f>
        <v>#N/A</v>
      </c>
      <c r="H1084" t="e">
        <f>NA()</f>
        <v>#N/A</v>
      </c>
      <c r="I1084" t="e">
        <f>NA()</f>
        <v>#N/A</v>
      </c>
      <c r="J1084" t="e">
        <f>NA()</f>
        <v>#N/A</v>
      </c>
      <c r="K1084" t="e">
        <f>NA()</f>
        <v>#N/A</v>
      </c>
      <c r="L1084" t="e">
        <f>NA()</f>
        <v>#N/A</v>
      </c>
      <c r="M1084" t="e">
        <f>NA()</f>
        <v>#N/A</v>
      </c>
      <c r="N1084" t="e">
        <f>NA()</f>
        <v>#N/A</v>
      </c>
      <c r="O1084">
        <f t="shared" si="38"/>
        <v>0.1</v>
      </c>
    </row>
    <row r="1085" spans="1:15" x14ac:dyDescent="0.25">
      <c r="A1085" s="1">
        <v>44421</v>
      </c>
      <c r="B1085">
        <f>-0.9</f>
        <v>-0.9</v>
      </c>
      <c r="C1085">
        <f>0</f>
        <v>0</v>
      </c>
      <c r="D1085" t="e">
        <f>NA()</f>
        <v>#N/A</v>
      </c>
      <c r="E1085" t="e">
        <f>NA()</f>
        <v>#N/A</v>
      </c>
      <c r="F1085" t="e">
        <f>NA()</f>
        <v>#N/A</v>
      </c>
      <c r="G1085" t="e">
        <f>NA()</f>
        <v>#N/A</v>
      </c>
      <c r="H1085" t="e">
        <f>NA()</f>
        <v>#N/A</v>
      </c>
      <c r="I1085" t="e">
        <f>NA()</f>
        <v>#N/A</v>
      </c>
      <c r="J1085" t="e">
        <f>NA()</f>
        <v>#N/A</v>
      </c>
      <c r="K1085" t="e">
        <f>NA()</f>
        <v>#N/A</v>
      </c>
      <c r="L1085" t="e">
        <f>NA()</f>
        <v>#N/A</v>
      </c>
      <c r="M1085" t="e">
        <f>NA()</f>
        <v>#N/A</v>
      </c>
      <c r="N1085" t="e">
        <f>NA()</f>
        <v>#N/A</v>
      </c>
      <c r="O1085">
        <f t="shared" si="38"/>
        <v>0.1</v>
      </c>
    </row>
    <row r="1086" spans="1:15" x14ac:dyDescent="0.25">
      <c r="A1086" s="1">
        <v>44420</v>
      </c>
      <c r="B1086" t="e">
        <f>NA()</f>
        <v>#N/A</v>
      </c>
      <c r="C1086" t="e">
        <f>NA()</f>
        <v>#N/A</v>
      </c>
      <c r="D1086" t="e">
        <f>NA()</f>
        <v>#N/A</v>
      </c>
      <c r="E1086" t="e">
        <f>NA()</f>
        <v>#N/A</v>
      </c>
      <c r="F1086" t="e">
        <f>NA()</f>
        <v>#N/A</v>
      </c>
      <c r="G1086" t="e">
        <f>NA()</f>
        <v>#N/A</v>
      </c>
      <c r="H1086" t="e">
        <f>NA()</f>
        <v>#N/A</v>
      </c>
      <c r="I1086" t="e">
        <f>NA()</f>
        <v>#N/A</v>
      </c>
      <c r="J1086" t="e">
        <f>NA()</f>
        <v>#N/A</v>
      </c>
      <c r="K1086" t="e">
        <f>NA()</f>
        <v>#N/A</v>
      </c>
      <c r="L1086" t="e">
        <f>NA()</f>
        <v>#N/A</v>
      </c>
      <c r="M1086" t="e">
        <f>NA()</f>
        <v>#N/A</v>
      </c>
      <c r="N1086" t="e">
        <f>NA()</f>
        <v>#N/A</v>
      </c>
      <c r="O1086">
        <f t="shared" si="38"/>
        <v>0.1</v>
      </c>
    </row>
    <row r="1087" spans="1:15" x14ac:dyDescent="0.25">
      <c r="A1087" s="1">
        <v>44419</v>
      </c>
      <c r="B1087" t="e">
        <f>NA()</f>
        <v>#N/A</v>
      </c>
      <c r="C1087" t="e">
        <f>NA()</f>
        <v>#N/A</v>
      </c>
      <c r="D1087" t="e">
        <f>NA()</f>
        <v>#N/A</v>
      </c>
      <c r="E1087" t="e">
        <f>NA()</f>
        <v>#N/A</v>
      </c>
      <c r="F1087" t="e">
        <f>NA()</f>
        <v>#N/A</v>
      </c>
      <c r="G1087" t="e">
        <f>NA()</f>
        <v>#N/A</v>
      </c>
      <c r="H1087" t="e">
        <f>NA()</f>
        <v>#N/A</v>
      </c>
      <c r="I1087" t="e">
        <f>NA()</f>
        <v>#N/A</v>
      </c>
      <c r="J1087" t="e">
        <f>NA()</f>
        <v>#N/A</v>
      </c>
      <c r="K1087" t="e">
        <f>NA()</f>
        <v>#N/A</v>
      </c>
      <c r="L1087" t="e">
        <f>NA()</f>
        <v>#N/A</v>
      </c>
      <c r="M1087" t="e">
        <f>NA()</f>
        <v>#N/A</v>
      </c>
      <c r="N1087" t="e">
        <f>NA()</f>
        <v>#N/A</v>
      </c>
      <c r="O1087">
        <f t="shared" si="38"/>
        <v>0.1</v>
      </c>
    </row>
    <row r="1088" spans="1:15" x14ac:dyDescent="0.25">
      <c r="A1088" s="1">
        <v>44418</v>
      </c>
      <c r="B1088" t="e">
        <f>NA()</f>
        <v>#N/A</v>
      </c>
      <c r="C1088" t="e">
        <f>NA()</f>
        <v>#N/A</v>
      </c>
      <c r="D1088" t="e">
        <f>NA()</f>
        <v>#N/A</v>
      </c>
      <c r="E1088" t="e">
        <f>NA()</f>
        <v>#N/A</v>
      </c>
      <c r="F1088" t="e">
        <f>NA()</f>
        <v>#N/A</v>
      </c>
      <c r="G1088" t="e">
        <f>NA()</f>
        <v>#N/A</v>
      </c>
      <c r="H1088" t="e">
        <f>NA()</f>
        <v>#N/A</v>
      </c>
      <c r="I1088" t="e">
        <f>NA()</f>
        <v>#N/A</v>
      </c>
      <c r="J1088" t="e">
        <f>NA()</f>
        <v>#N/A</v>
      </c>
      <c r="K1088" t="e">
        <f>NA()</f>
        <v>#N/A</v>
      </c>
      <c r="L1088" t="e">
        <f>NA()</f>
        <v>#N/A</v>
      </c>
      <c r="M1088" t="e">
        <f>NA()</f>
        <v>#N/A</v>
      </c>
      <c r="N1088" t="e">
        <f>NA()</f>
        <v>#N/A</v>
      </c>
      <c r="O1088">
        <f t="shared" si="38"/>
        <v>0.1</v>
      </c>
    </row>
    <row r="1089" spans="1:15" x14ac:dyDescent="0.25">
      <c r="A1089" s="1">
        <v>44417</v>
      </c>
      <c r="B1089" t="e">
        <f>NA()</f>
        <v>#N/A</v>
      </c>
      <c r="C1089" t="e">
        <f>NA()</f>
        <v>#N/A</v>
      </c>
      <c r="D1089" t="e">
        <f>NA()</f>
        <v>#N/A</v>
      </c>
      <c r="E1089" t="e">
        <f>NA()</f>
        <v>#N/A</v>
      </c>
      <c r="F1089" t="e">
        <f>NA()</f>
        <v>#N/A</v>
      </c>
      <c r="G1089" t="e">
        <f>NA()</f>
        <v>#N/A</v>
      </c>
      <c r="H1089" t="e">
        <f>NA()</f>
        <v>#N/A</v>
      </c>
      <c r="I1089" t="e">
        <f>NA()</f>
        <v>#N/A</v>
      </c>
      <c r="J1089" t="e">
        <f>NA()</f>
        <v>#N/A</v>
      </c>
      <c r="K1089" t="e">
        <f>NA()</f>
        <v>#N/A</v>
      </c>
      <c r="L1089" t="e">
        <f>NA()</f>
        <v>#N/A</v>
      </c>
      <c r="M1089" t="e">
        <f>NA()</f>
        <v>#N/A</v>
      </c>
      <c r="N1089" t="e">
        <f>NA()</f>
        <v>#N/A</v>
      </c>
      <c r="O1089">
        <f t="shared" si="38"/>
        <v>0.1</v>
      </c>
    </row>
    <row r="1090" spans="1:15" x14ac:dyDescent="0.25">
      <c r="A1090" s="1">
        <v>44414</v>
      </c>
      <c r="B1090">
        <f>-0.7</f>
        <v>-0.7</v>
      </c>
      <c r="C1090">
        <f>0</f>
        <v>0</v>
      </c>
      <c r="D1090" t="e">
        <f>NA()</f>
        <v>#N/A</v>
      </c>
      <c r="E1090" t="e">
        <f>NA()</f>
        <v>#N/A</v>
      </c>
      <c r="F1090" t="e">
        <f>NA()</f>
        <v>#N/A</v>
      </c>
      <c r="G1090" t="e">
        <f>NA()</f>
        <v>#N/A</v>
      </c>
      <c r="H1090" t="e">
        <f>NA()</f>
        <v>#N/A</v>
      </c>
      <c r="I1090" t="e">
        <f>NA()</f>
        <v>#N/A</v>
      </c>
      <c r="J1090" t="e">
        <f>NA()</f>
        <v>#N/A</v>
      </c>
      <c r="K1090" t="e">
        <f>NA()</f>
        <v>#N/A</v>
      </c>
      <c r="L1090" t="e">
        <f>NA()</f>
        <v>#N/A</v>
      </c>
      <c r="M1090" t="e">
        <f>NA()</f>
        <v>#N/A</v>
      </c>
      <c r="N1090" t="e">
        <f>NA()</f>
        <v>#N/A</v>
      </c>
      <c r="O1090">
        <f t="shared" si="38"/>
        <v>0.1</v>
      </c>
    </row>
    <row r="1091" spans="1:15" x14ac:dyDescent="0.25">
      <c r="A1091" s="1">
        <v>44413</v>
      </c>
      <c r="B1091" t="e">
        <f>NA()</f>
        <v>#N/A</v>
      </c>
      <c r="C1091" t="e">
        <f>NA()</f>
        <v>#N/A</v>
      </c>
      <c r="D1091" t="e">
        <f>NA()</f>
        <v>#N/A</v>
      </c>
      <c r="E1091" t="e">
        <f>NA()</f>
        <v>#N/A</v>
      </c>
      <c r="F1091" t="e">
        <f>NA()</f>
        <v>#N/A</v>
      </c>
      <c r="G1091" t="e">
        <f>NA()</f>
        <v>#N/A</v>
      </c>
      <c r="H1091" t="e">
        <f>NA()</f>
        <v>#N/A</v>
      </c>
      <c r="I1091" t="e">
        <f>NA()</f>
        <v>#N/A</v>
      </c>
      <c r="J1091" t="e">
        <f>NA()</f>
        <v>#N/A</v>
      </c>
      <c r="K1091" t="e">
        <f>NA()</f>
        <v>#N/A</v>
      </c>
      <c r="L1091" t="e">
        <f>NA()</f>
        <v>#N/A</v>
      </c>
      <c r="M1091" t="e">
        <f>NA()</f>
        <v>#N/A</v>
      </c>
      <c r="N1091" t="e">
        <f>NA()</f>
        <v>#N/A</v>
      </c>
      <c r="O1091">
        <f t="shared" si="38"/>
        <v>0.1</v>
      </c>
    </row>
    <row r="1092" spans="1:15" x14ac:dyDescent="0.25">
      <c r="A1092" s="1">
        <v>44412</v>
      </c>
      <c r="B1092" t="e">
        <f>NA()</f>
        <v>#N/A</v>
      </c>
      <c r="C1092" t="e">
        <f>NA()</f>
        <v>#N/A</v>
      </c>
      <c r="D1092" t="e">
        <f>NA()</f>
        <v>#N/A</v>
      </c>
      <c r="E1092" t="e">
        <f>NA()</f>
        <v>#N/A</v>
      </c>
      <c r="F1092" t="e">
        <f>NA()</f>
        <v>#N/A</v>
      </c>
      <c r="G1092" t="e">
        <f>NA()</f>
        <v>#N/A</v>
      </c>
      <c r="H1092" t="e">
        <f>NA()</f>
        <v>#N/A</v>
      </c>
      <c r="I1092" t="e">
        <f>NA()</f>
        <v>#N/A</v>
      </c>
      <c r="J1092" t="e">
        <f>NA()</f>
        <v>#N/A</v>
      </c>
      <c r="K1092" t="e">
        <f>NA()</f>
        <v>#N/A</v>
      </c>
      <c r="L1092" t="e">
        <f>NA()</f>
        <v>#N/A</v>
      </c>
      <c r="M1092" t="e">
        <f>NA()</f>
        <v>#N/A</v>
      </c>
      <c r="N1092" t="e">
        <f>NA()</f>
        <v>#N/A</v>
      </c>
      <c r="O1092">
        <f t="shared" si="38"/>
        <v>0.1</v>
      </c>
    </row>
    <row r="1093" spans="1:15" x14ac:dyDescent="0.25">
      <c r="A1093" s="1">
        <v>44411</v>
      </c>
      <c r="B1093" t="e">
        <f>NA()</f>
        <v>#N/A</v>
      </c>
      <c r="C1093" t="e">
        <f>NA()</f>
        <v>#N/A</v>
      </c>
      <c r="D1093" t="e">
        <f>NA()</f>
        <v>#N/A</v>
      </c>
      <c r="E1093" t="e">
        <f>NA()</f>
        <v>#N/A</v>
      </c>
      <c r="F1093" t="e">
        <f>NA()</f>
        <v>#N/A</v>
      </c>
      <c r="G1093" t="e">
        <f>NA()</f>
        <v>#N/A</v>
      </c>
      <c r="H1093" t="e">
        <f>NA()</f>
        <v>#N/A</v>
      </c>
      <c r="I1093" t="e">
        <f>NA()</f>
        <v>#N/A</v>
      </c>
      <c r="J1093" t="e">
        <f>NA()</f>
        <v>#N/A</v>
      </c>
      <c r="K1093" t="e">
        <f>NA()</f>
        <v>#N/A</v>
      </c>
      <c r="L1093" t="e">
        <f>NA()</f>
        <v>#N/A</v>
      </c>
      <c r="M1093" t="e">
        <f>NA()</f>
        <v>#N/A</v>
      </c>
      <c r="N1093" t="e">
        <f>NA()</f>
        <v>#N/A</v>
      </c>
      <c r="O1093">
        <f t="shared" si="38"/>
        <v>0.1</v>
      </c>
    </row>
    <row r="1094" spans="1:15" x14ac:dyDescent="0.25">
      <c r="A1094" s="1">
        <v>44410</v>
      </c>
      <c r="B1094" t="e">
        <f>NA()</f>
        <v>#N/A</v>
      </c>
      <c r="C1094" t="e">
        <f>NA()</f>
        <v>#N/A</v>
      </c>
      <c r="D1094" t="e">
        <f>NA()</f>
        <v>#N/A</v>
      </c>
      <c r="E1094" t="e">
        <f>NA()</f>
        <v>#N/A</v>
      </c>
      <c r="F1094" t="e">
        <f>NA()</f>
        <v>#N/A</v>
      </c>
      <c r="G1094" t="e">
        <f>NA()</f>
        <v>#N/A</v>
      </c>
      <c r="H1094" t="e">
        <f>NA()</f>
        <v>#N/A</v>
      </c>
      <c r="I1094" t="e">
        <f>NA()</f>
        <v>#N/A</v>
      </c>
      <c r="J1094" t="e">
        <f>NA()</f>
        <v>#N/A</v>
      </c>
      <c r="K1094" t="e">
        <f>NA()</f>
        <v>#N/A</v>
      </c>
      <c r="L1094" t="e">
        <f>NA()</f>
        <v>#N/A</v>
      </c>
      <c r="M1094" t="e">
        <f>NA()</f>
        <v>#N/A</v>
      </c>
      <c r="N1094" t="e">
        <f>NA()</f>
        <v>#N/A</v>
      </c>
      <c r="O1094">
        <f t="shared" si="38"/>
        <v>0.1</v>
      </c>
    </row>
    <row r="1095" spans="1:15" x14ac:dyDescent="0.25">
      <c r="A1095" s="1">
        <v>44408</v>
      </c>
      <c r="B1095" t="e">
        <f>NA()</f>
        <v>#N/A</v>
      </c>
      <c r="C1095" t="e">
        <f>NA()</f>
        <v>#N/A</v>
      </c>
      <c r="D1095">
        <f>0.4</f>
        <v>0.4</v>
      </c>
      <c r="E1095">
        <f>-1</f>
        <v>-1</v>
      </c>
      <c r="F1095">
        <f>11049</f>
        <v>11049</v>
      </c>
      <c r="G1095">
        <f>61.8</f>
        <v>61.8</v>
      </c>
      <c r="H1095">
        <f>13.5</f>
        <v>13.5</v>
      </c>
      <c r="I1095">
        <f>273</f>
        <v>273</v>
      </c>
      <c r="J1095">
        <f>5.4</f>
        <v>5.4</v>
      </c>
      <c r="K1095">
        <f>60.2</f>
        <v>60.2</v>
      </c>
      <c r="L1095">
        <f>0.4</f>
        <v>0.4</v>
      </c>
      <c r="M1095" t="e">
        <f>NA()</f>
        <v>#N/A</v>
      </c>
      <c r="N1095">
        <f>5.4</f>
        <v>5.4</v>
      </c>
      <c r="O1095" t="e">
        <f>NA()</f>
        <v>#N/A</v>
      </c>
    </row>
    <row r="1096" spans="1:15" x14ac:dyDescent="0.25">
      <c r="A1096" s="1">
        <v>44407</v>
      </c>
      <c r="B1096">
        <f>-0.8</f>
        <v>-0.8</v>
      </c>
      <c r="C1096">
        <f>0</f>
        <v>0</v>
      </c>
      <c r="D1096" t="e">
        <f>NA()</f>
        <v>#N/A</v>
      </c>
      <c r="E1096" t="e">
        <f>NA()</f>
        <v>#N/A</v>
      </c>
      <c r="F1096" t="e">
        <f>NA()</f>
        <v>#N/A</v>
      </c>
      <c r="G1096" t="e">
        <f>NA()</f>
        <v>#N/A</v>
      </c>
      <c r="H1096" t="e">
        <f>NA()</f>
        <v>#N/A</v>
      </c>
      <c r="I1096" t="e">
        <f>NA()</f>
        <v>#N/A</v>
      </c>
      <c r="J1096" t="e">
        <f>NA()</f>
        <v>#N/A</v>
      </c>
      <c r="K1096" t="e">
        <f>NA()</f>
        <v>#N/A</v>
      </c>
      <c r="L1096" t="e">
        <f>NA()</f>
        <v>#N/A</v>
      </c>
      <c r="M1096" t="e">
        <f>NA()</f>
        <v>#N/A</v>
      </c>
      <c r="N1096" t="e">
        <f>NA()</f>
        <v>#N/A</v>
      </c>
      <c r="O1096">
        <f t="shared" ref="O1096:O1138" si="39">0.1</f>
        <v>0.1</v>
      </c>
    </row>
    <row r="1097" spans="1:15" x14ac:dyDescent="0.25">
      <c r="A1097" s="1">
        <v>44406</v>
      </c>
      <c r="B1097" t="e">
        <f>NA()</f>
        <v>#N/A</v>
      </c>
      <c r="C1097" t="e">
        <f>NA()</f>
        <v>#N/A</v>
      </c>
      <c r="D1097" t="e">
        <f>NA()</f>
        <v>#N/A</v>
      </c>
      <c r="E1097" t="e">
        <f>NA()</f>
        <v>#N/A</v>
      </c>
      <c r="F1097" t="e">
        <f>NA()</f>
        <v>#N/A</v>
      </c>
      <c r="G1097" t="e">
        <f>NA()</f>
        <v>#N/A</v>
      </c>
      <c r="H1097" t="e">
        <f>NA()</f>
        <v>#N/A</v>
      </c>
      <c r="I1097" t="e">
        <f>NA()</f>
        <v>#N/A</v>
      </c>
      <c r="J1097" t="e">
        <f>NA()</f>
        <v>#N/A</v>
      </c>
      <c r="K1097" t="e">
        <f>NA()</f>
        <v>#N/A</v>
      </c>
      <c r="L1097" t="e">
        <f>NA()</f>
        <v>#N/A</v>
      </c>
      <c r="M1097" t="e">
        <f>NA()</f>
        <v>#N/A</v>
      </c>
      <c r="N1097" t="e">
        <f>NA()</f>
        <v>#N/A</v>
      </c>
      <c r="O1097">
        <f t="shared" si="39"/>
        <v>0.1</v>
      </c>
    </row>
    <row r="1098" spans="1:15" x14ac:dyDescent="0.25">
      <c r="A1098" s="1">
        <v>44405</v>
      </c>
      <c r="B1098" t="e">
        <f>NA()</f>
        <v>#N/A</v>
      </c>
      <c r="C1098" t="e">
        <f>NA()</f>
        <v>#N/A</v>
      </c>
      <c r="D1098" t="e">
        <f>NA()</f>
        <v>#N/A</v>
      </c>
      <c r="E1098" t="e">
        <f>NA()</f>
        <v>#N/A</v>
      </c>
      <c r="F1098" t="e">
        <f>NA()</f>
        <v>#N/A</v>
      </c>
      <c r="G1098" t="e">
        <f>NA()</f>
        <v>#N/A</v>
      </c>
      <c r="H1098" t="e">
        <f>NA()</f>
        <v>#N/A</v>
      </c>
      <c r="I1098" t="e">
        <f>NA()</f>
        <v>#N/A</v>
      </c>
      <c r="J1098" t="e">
        <f>NA()</f>
        <v>#N/A</v>
      </c>
      <c r="K1098" t="e">
        <f>NA()</f>
        <v>#N/A</v>
      </c>
      <c r="L1098" t="e">
        <f>NA()</f>
        <v>#N/A</v>
      </c>
      <c r="M1098" t="e">
        <f>NA()</f>
        <v>#N/A</v>
      </c>
      <c r="N1098" t="e">
        <f>NA()</f>
        <v>#N/A</v>
      </c>
      <c r="O1098">
        <f t="shared" si="39"/>
        <v>0.1</v>
      </c>
    </row>
    <row r="1099" spans="1:15" x14ac:dyDescent="0.25">
      <c r="A1099" s="1">
        <v>44404</v>
      </c>
      <c r="B1099" t="e">
        <f>NA()</f>
        <v>#N/A</v>
      </c>
      <c r="C1099" t="e">
        <f>NA()</f>
        <v>#N/A</v>
      </c>
      <c r="D1099" t="e">
        <f>NA()</f>
        <v>#N/A</v>
      </c>
      <c r="E1099" t="e">
        <f>NA()</f>
        <v>#N/A</v>
      </c>
      <c r="F1099" t="e">
        <f>NA()</f>
        <v>#N/A</v>
      </c>
      <c r="G1099" t="e">
        <f>NA()</f>
        <v>#N/A</v>
      </c>
      <c r="H1099" t="e">
        <f>NA()</f>
        <v>#N/A</v>
      </c>
      <c r="I1099" t="e">
        <f>NA()</f>
        <v>#N/A</v>
      </c>
      <c r="J1099" t="e">
        <f>NA()</f>
        <v>#N/A</v>
      </c>
      <c r="K1099" t="e">
        <f>NA()</f>
        <v>#N/A</v>
      </c>
      <c r="L1099" t="e">
        <f>NA()</f>
        <v>#N/A</v>
      </c>
      <c r="M1099" t="e">
        <f>NA()</f>
        <v>#N/A</v>
      </c>
      <c r="N1099" t="e">
        <f>NA()</f>
        <v>#N/A</v>
      </c>
      <c r="O1099">
        <f t="shared" si="39"/>
        <v>0.1</v>
      </c>
    </row>
    <row r="1100" spans="1:15" x14ac:dyDescent="0.25">
      <c r="A1100" s="1">
        <v>44403</v>
      </c>
      <c r="B1100" t="e">
        <f>NA()</f>
        <v>#N/A</v>
      </c>
      <c r="C1100" t="e">
        <f>NA()</f>
        <v>#N/A</v>
      </c>
      <c r="D1100" t="e">
        <f>NA()</f>
        <v>#N/A</v>
      </c>
      <c r="E1100" t="e">
        <f>NA()</f>
        <v>#N/A</v>
      </c>
      <c r="F1100" t="e">
        <f>NA()</f>
        <v>#N/A</v>
      </c>
      <c r="G1100" t="e">
        <f>NA()</f>
        <v>#N/A</v>
      </c>
      <c r="H1100" t="e">
        <f>NA()</f>
        <v>#N/A</v>
      </c>
      <c r="I1100" t="e">
        <f>NA()</f>
        <v>#N/A</v>
      </c>
      <c r="J1100" t="e">
        <f>NA()</f>
        <v>#N/A</v>
      </c>
      <c r="K1100" t="e">
        <f>NA()</f>
        <v>#N/A</v>
      </c>
      <c r="L1100" t="e">
        <f>NA()</f>
        <v>#N/A</v>
      </c>
      <c r="M1100" t="e">
        <f>NA()</f>
        <v>#N/A</v>
      </c>
      <c r="N1100" t="e">
        <f>NA()</f>
        <v>#N/A</v>
      </c>
      <c r="O1100">
        <f t="shared" si="39"/>
        <v>0.1</v>
      </c>
    </row>
    <row r="1101" spans="1:15" x14ac:dyDescent="0.25">
      <c r="A1101" s="1">
        <v>44400</v>
      </c>
      <c r="B1101">
        <f>-0.6</f>
        <v>-0.6</v>
      </c>
      <c r="C1101">
        <f>0</f>
        <v>0</v>
      </c>
      <c r="D1101" t="e">
        <f>NA()</f>
        <v>#N/A</v>
      </c>
      <c r="E1101" t="e">
        <f>NA()</f>
        <v>#N/A</v>
      </c>
      <c r="F1101" t="e">
        <f>NA()</f>
        <v>#N/A</v>
      </c>
      <c r="G1101" t="e">
        <f>NA()</f>
        <v>#N/A</v>
      </c>
      <c r="H1101" t="e">
        <f>NA()</f>
        <v>#N/A</v>
      </c>
      <c r="I1101" t="e">
        <f>NA()</f>
        <v>#N/A</v>
      </c>
      <c r="J1101" t="e">
        <f>NA()</f>
        <v>#N/A</v>
      </c>
      <c r="K1101" t="e">
        <f>NA()</f>
        <v>#N/A</v>
      </c>
      <c r="L1101" t="e">
        <f>NA()</f>
        <v>#N/A</v>
      </c>
      <c r="M1101" t="e">
        <f>NA()</f>
        <v>#N/A</v>
      </c>
      <c r="N1101" t="e">
        <f>NA()</f>
        <v>#N/A</v>
      </c>
      <c r="O1101">
        <f t="shared" si="39"/>
        <v>0.1</v>
      </c>
    </row>
    <row r="1102" spans="1:15" x14ac:dyDescent="0.25">
      <c r="A1102" s="1">
        <v>44399</v>
      </c>
      <c r="B1102" t="e">
        <f>NA()</f>
        <v>#N/A</v>
      </c>
      <c r="C1102" t="e">
        <f>NA()</f>
        <v>#N/A</v>
      </c>
      <c r="D1102" t="e">
        <f>NA()</f>
        <v>#N/A</v>
      </c>
      <c r="E1102" t="e">
        <f>NA()</f>
        <v>#N/A</v>
      </c>
      <c r="F1102" t="e">
        <f>NA()</f>
        <v>#N/A</v>
      </c>
      <c r="G1102" t="e">
        <f>NA()</f>
        <v>#N/A</v>
      </c>
      <c r="H1102" t="e">
        <f>NA()</f>
        <v>#N/A</v>
      </c>
      <c r="I1102" t="e">
        <f>NA()</f>
        <v>#N/A</v>
      </c>
      <c r="J1102" t="e">
        <f>NA()</f>
        <v>#N/A</v>
      </c>
      <c r="K1102" t="e">
        <f>NA()</f>
        <v>#N/A</v>
      </c>
      <c r="L1102" t="e">
        <f>NA()</f>
        <v>#N/A</v>
      </c>
      <c r="M1102" t="e">
        <f>NA()</f>
        <v>#N/A</v>
      </c>
      <c r="N1102" t="e">
        <f>NA()</f>
        <v>#N/A</v>
      </c>
      <c r="O1102">
        <f t="shared" si="39"/>
        <v>0.1</v>
      </c>
    </row>
    <row r="1103" spans="1:15" x14ac:dyDescent="0.25">
      <c r="A1103" s="1">
        <v>44398</v>
      </c>
      <c r="B1103" t="e">
        <f>NA()</f>
        <v>#N/A</v>
      </c>
      <c r="C1103" t="e">
        <f>NA()</f>
        <v>#N/A</v>
      </c>
      <c r="D1103" t="e">
        <f>NA()</f>
        <v>#N/A</v>
      </c>
      <c r="E1103" t="e">
        <f>NA()</f>
        <v>#N/A</v>
      </c>
      <c r="F1103" t="e">
        <f>NA()</f>
        <v>#N/A</v>
      </c>
      <c r="G1103" t="e">
        <f>NA()</f>
        <v>#N/A</v>
      </c>
      <c r="H1103" t="e">
        <f>NA()</f>
        <v>#N/A</v>
      </c>
      <c r="I1103" t="e">
        <f>NA()</f>
        <v>#N/A</v>
      </c>
      <c r="J1103" t="e">
        <f>NA()</f>
        <v>#N/A</v>
      </c>
      <c r="K1103" t="e">
        <f>NA()</f>
        <v>#N/A</v>
      </c>
      <c r="L1103" t="e">
        <f>NA()</f>
        <v>#N/A</v>
      </c>
      <c r="M1103" t="e">
        <f>NA()</f>
        <v>#N/A</v>
      </c>
      <c r="N1103" t="e">
        <f>NA()</f>
        <v>#N/A</v>
      </c>
      <c r="O1103">
        <f t="shared" si="39"/>
        <v>0.1</v>
      </c>
    </row>
    <row r="1104" spans="1:15" x14ac:dyDescent="0.25">
      <c r="A1104" s="1">
        <v>44397</v>
      </c>
      <c r="B1104" t="e">
        <f>NA()</f>
        <v>#N/A</v>
      </c>
      <c r="C1104" t="e">
        <f>NA()</f>
        <v>#N/A</v>
      </c>
      <c r="D1104" t="e">
        <f>NA()</f>
        <v>#N/A</v>
      </c>
      <c r="E1104" t="e">
        <f>NA()</f>
        <v>#N/A</v>
      </c>
      <c r="F1104" t="e">
        <f>NA()</f>
        <v>#N/A</v>
      </c>
      <c r="G1104" t="e">
        <f>NA()</f>
        <v>#N/A</v>
      </c>
      <c r="H1104" t="e">
        <f>NA()</f>
        <v>#N/A</v>
      </c>
      <c r="I1104" t="e">
        <f>NA()</f>
        <v>#N/A</v>
      </c>
      <c r="J1104" t="e">
        <f>NA()</f>
        <v>#N/A</v>
      </c>
      <c r="K1104" t="e">
        <f>NA()</f>
        <v>#N/A</v>
      </c>
      <c r="L1104" t="e">
        <f>NA()</f>
        <v>#N/A</v>
      </c>
      <c r="M1104" t="e">
        <f>NA()</f>
        <v>#N/A</v>
      </c>
      <c r="N1104" t="e">
        <f>NA()</f>
        <v>#N/A</v>
      </c>
      <c r="O1104">
        <f t="shared" si="39"/>
        <v>0.1</v>
      </c>
    </row>
    <row r="1105" spans="1:15" x14ac:dyDescent="0.25">
      <c r="A1105" s="1">
        <v>44396</v>
      </c>
      <c r="B1105" t="e">
        <f>NA()</f>
        <v>#N/A</v>
      </c>
      <c r="C1105" t="e">
        <f>NA()</f>
        <v>#N/A</v>
      </c>
      <c r="D1105" t="e">
        <f>NA()</f>
        <v>#N/A</v>
      </c>
      <c r="E1105" t="e">
        <f>NA()</f>
        <v>#N/A</v>
      </c>
      <c r="F1105" t="e">
        <f>NA()</f>
        <v>#N/A</v>
      </c>
      <c r="G1105" t="e">
        <f>NA()</f>
        <v>#N/A</v>
      </c>
      <c r="H1105" t="e">
        <f>NA()</f>
        <v>#N/A</v>
      </c>
      <c r="I1105" t="e">
        <f>NA()</f>
        <v>#N/A</v>
      </c>
      <c r="J1105" t="e">
        <f>NA()</f>
        <v>#N/A</v>
      </c>
      <c r="K1105" t="e">
        <f>NA()</f>
        <v>#N/A</v>
      </c>
      <c r="L1105" t="e">
        <f>NA()</f>
        <v>#N/A</v>
      </c>
      <c r="M1105" t="e">
        <f>NA()</f>
        <v>#N/A</v>
      </c>
      <c r="N1105" t="e">
        <f>NA()</f>
        <v>#N/A</v>
      </c>
      <c r="O1105">
        <f t="shared" si="39"/>
        <v>0.1</v>
      </c>
    </row>
    <row r="1106" spans="1:15" x14ac:dyDescent="0.25">
      <c r="A1106" s="1">
        <v>44393</v>
      </c>
      <c r="B1106">
        <f>-0.8</f>
        <v>-0.8</v>
      </c>
      <c r="C1106">
        <f>0</f>
        <v>0</v>
      </c>
      <c r="D1106" t="e">
        <f>NA()</f>
        <v>#N/A</v>
      </c>
      <c r="E1106" t="e">
        <f>NA()</f>
        <v>#N/A</v>
      </c>
      <c r="F1106" t="e">
        <f>NA()</f>
        <v>#N/A</v>
      </c>
      <c r="G1106" t="e">
        <f>NA()</f>
        <v>#N/A</v>
      </c>
      <c r="H1106" t="e">
        <f>NA()</f>
        <v>#N/A</v>
      </c>
      <c r="I1106" t="e">
        <f>NA()</f>
        <v>#N/A</v>
      </c>
      <c r="J1106" t="e">
        <f>NA()</f>
        <v>#N/A</v>
      </c>
      <c r="K1106" t="e">
        <f>NA()</f>
        <v>#N/A</v>
      </c>
      <c r="L1106" t="e">
        <f>NA()</f>
        <v>#N/A</v>
      </c>
      <c r="M1106" t="e">
        <f>NA()</f>
        <v>#N/A</v>
      </c>
      <c r="N1106" t="e">
        <f>NA()</f>
        <v>#N/A</v>
      </c>
      <c r="O1106">
        <f t="shared" si="39"/>
        <v>0.1</v>
      </c>
    </row>
    <row r="1107" spans="1:15" x14ac:dyDescent="0.25">
      <c r="A1107" s="1">
        <v>44392</v>
      </c>
      <c r="B1107" t="e">
        <f>NA()</f>
        <v>#N/A</v>
      </c>
      <c r="C1107" t="e">
        <f>NA()</f>
        <v>#N/A</v>
      </c>
      <c r="D1107" t="e">
        <f>NA()</f>
        <v>#N/A</v>
      </c>
      <c r="E1107" t="e">
        <f>NA()</f>
        <v>#N/A</v>
      </c>
      <c r="F1107" t="e">
        <f>NA()</f>
        <v>#N/A</v>
      </c>
      <c r="G1107" t="e">
        <f>NA()</f>
        <v>#N/A</v>
      </c>
      <c r="H1107" t="e">
        <f>NA()</f>
        <v>#N/A</v>
      </c>
      <c r="I1107" t="e">
        <f>NA()</f>
        <v>#N/A</v>
      </c>
      <c r="J1107" t="e">
        <f>NA()</f>
        <v>#N/A</v>
      </c>
      <c r="K1107" t="e">
        <f>NA()</f>
        <v>#N/A</v>
      </c>
      <c r="L1107" t="e">
        <f>NA()</f>
        <v>#N/A</v>
      </c>
      <c r="M1107" t="e">
        <f>NA()</f>
        <v>#N/A</v>
      </c>
      <c r="N1107" t="e">
        <f>NA()</f>
        <v>#N/A</v>
      </c>
      <c r="O1107">
        <f t="shared" si="39"/>
        <v>0.1</v>
      </c>
    </row>
    <row r="1108" spans="1:15" x14ac:dyDescent="0.25">
      <c r="A1108" s="1">
        <v>44391</v>
      </c>
      <c r="B1108" t="e">
        <f>NA()</f>
        <v>#N/A</v>
      </c>
      <c r="C1108" t="e">
        <f>NA()</f>
        <v>#N/A</v>
      </c>
      <c r="D1108" t="e">
        <f>NA()</f>
        <v>#N/A</v>
      </c>
      <c r="E1108" t="e">
        <f>NA()</f>
        <v>#N/A</v>
      </c>
      <c r="F1108" t="e">
        <f>NA()</f>
        <v>#N/A</v>
      </c>
      <c r="G1108" t="e">
        <f>NA()</f>
        <v>#N/A</v>
      </c>
      <c r="H1108" t="e">
        <f>NA()</f>
        <v>#N/A</v>
      </c>
      <c r="I1108" t="e">
        <f>NA()</f>
        <v>#N/A</v>
      </c>
      <c r="J1108" t="e">
        <f>NA()</f>
        <v>#N/A</v>
      </c>
      <c r="K1108" t="e">
        <f>NA()</f>
        <v>#N/A</v>
      </c>
      <c r="L1108" t="e">
        <f>NA()</f>
        <v>#N/A</v>
      </c>
      <c r="M1108" t="e">
        <f>NA()</f>
        <v>#N/A</v>
      </c>
      <c r="N1108" t="e">
        <f>NA()</f>
        <v>#N/A</v>
      </c>
      <c r="O1108">
        <f t="shared" si="39"/>
        <v>0.1</v>
      </c>
    </row>
    <row r="1109" spans="1:15" x14ac:dyDescent="0.25">
      <c r="A1109" s="1">
        <v>44390</v>
      </c>
      <c r="B1109" t="e">
        <f>NA()</f>
        <v>#N/A</v>
      </c>
      <c r="C1109" t="e">
        <f>NA()</f>
        <v>#N/A</v>
      </c>
      <c r="D1109" t="e">
        <f>NA()</f>
        <v>#N/A</v>
      </c>
      <c r="E1109" t="e">
        <f>NA()</f>
        <v>#N/A</v>
      </c>
      <c r="F1109" t="e">
        <f>NA()</f>
        <v>#N/A</v>
      </c>
      <c r="G1109" t="e">
        <f>NA()</f>
        <v>#N/A</v>
      </c>
      <c r="H1109" t="e">
        <f>NA()</f>
        <v>#N/A</v>
      </c>
      <c r="I1109" t="e">
        <f>NA()</f>
        <v>#N/A</v>
      </c>
      <c r="J1109" t="e">
        <f>NA()</f>
        <v>#N/A</v>
      </c>
      <c r="K1109" t="e">
        <f>NA()</f>
        <v>#N/A</v>
      </c>
      <c r="L1109" t="e">
        <f>NA()</f>
        <v>#N/A</v>
      </c>
      <c r="M1109" t="e">
        <f>NA()</f>
        <v>#N/A</v>
      </c>
      <c r="N1109" t="e">
        <f>NA()</f>
        <v>#N/A</v>
      </c>
      <c r="O1109">
        <f t="shared" si="39"/>
        <v>0.1</v>
      </c>
    </row>
    <row r="1110" spans="1:15" x14ac:dyDescent="0.25">
      <c r="A1110" s="1">
        <v>44389</v>
      </c>
      <c r="B1110" t="e">
        <f>NA()</f>
        <v>#N/A</v>
      </c>
      <c r="C1110" t="e">
        <f>NA()</f>
        <v>#N/A</v>
      </c>
      <c r="D1110" t="e">
        <f>NA()</f>
        <v>#N/A</v>
      </c>
      <c r="E1110" t="e">
        <f>NA()</f>
        <v>#N/A</v>
      </c>
      <c r="F1110" t="e">
        <f>NA()</f>
        <v>#N/A</v>
      </c>
      <c r="G1110" t="e">
        <f>NA()</f>
        <v>#N/A</v>
      </c>
      <c r="H1110" t="e">
        <f>NA()</f>
        <v>#N/A</v>
      </c>
      <c r="I1110" t="e">
        <f>NA()</f>
        <v>#N/A</v>
      </c>
      <c r="J1110" t="e">
        <f>NA()</f>
        <v>#N/A</v>
      </c>
      <c r="K1110" t="e">
        <f>NA()</f>
        <v>#N/A</v>
      </c>
      <c r="L1110" t="e">
        <f>NA()</f>
        <v>#N/A</v>
      </c>
      <c r="M1110" t="e">
        <f>NA()</f>
        <v>#N/A</v>
      </c>
      <c r="N1110" t="e">
        <f>NA()</f>
        <v>#N/A</v>
      </c>
      <c r="O1110">
        <f t="shared" si="39"/>
        <v>0.1</v>
      </c>
    </row>
    <row r="1111" spans="1:15" x14ac:dyDescent="0.25">
      <c r="A1111" s="1">
        <v>44386</v>
      </c>
      <c r="B1111">
        <f>-0.7</f>
        <v>-0.7</v>
      </c>
      <c r="C1111">
        <f>0</f>
        <v>0</v>
      </c>
      <c r="D1111" t="e">
        <f>NA()</f>
        <v>#N/A</v>
      </c>
      <c r="E1111" t="e">
        <f>NA()</f>
        <v>#N/A</v>
      </c>
      <c r="F1111" t="e">
        <f>NA()</f>
        <v>#N/A</v>
      </c>
      <c r="G1111" t="e">
        <f>NA()</f>
        <v>#N/A</v>
      </c>
      <c r="H1111" t="e">
        <f>NA()</f>
        <v>#N/A</v>
      </c>
      <c r="I1111" t="e">
        <f>NA()</f>
        <v>#N/A</v>
      </c>
      <c r="J1111" t="e">
        <f>NA()</f>
        <v>#N/A</v>
      </c>
      <c r="K1111" t="e">
        <f>NA()</f>
        <v>#N/A</v>
      </c>
      <c r="L1111" t="e">
        <f>NA()</f>
        <v>#N/A</v>
      </c>
      <c r="M1111" t="e">
        <f>NA()</f>
        <v>#N/A</v>
      </c>
      <c r="N1111" t="e">
        <f>NA()</f>
        <v>#N/A</v>
      </c>
      <c r="O1111">
        <f t="shared" si="39"/>
        <v>0.1</v>
      </c>
    </row>
    <row r="1112" spans="1:15" x14ac:dyDescent="0.25">
      <c r="A1112" s="1">
        <v>44385</v>
      </c>
      <c r="B1112" t="e">
        <f>NA()</f>
        <v>#N/A</v>
      </c>
      <c r="C1112" t="e">
        <f>NA()</f>
        <v>#N/A</v>
      </c>
      <c r="D1112" t="e">
        <f>NA()</f>
        <v>#N/A</v>
      </c>
      <c r="E1112" t="e">
        <f>NA()</f>
        <v>#N/A</v>
      </c>
      <c r="F1112" t="e">
        <f>NA()</f>
        <v>#N/A</v>
      </c>
      <c r="G1112" t="e">
        <f>NA()</f>
        <v>#N/A</v>
      </c>
      <c r="H1112" t="e">
        <f>NA()</f>
        <v>#N/A</v>
      </c>
      <c r="I1112" t="e">
        <f>NA()</f>
        <v>#N/A</v>
      </c>
      <c r="J1112" t="e">
        <f>NA()</f>
        <v>#N/A</v>
      </c>
      <c r="K1112" t="e">
        <f>NA()</f>
        <v>#N/A</v>
      </c>
      <c r="L1112" t="e">
        <f>NA()</f>
        <v>#N/A</v>
      </c>
      <c r="M1112" t="e">
        <f>NA()</f>
        <v>#N/A</v>
      </c>
      <c r="N1112" t="e">
        <f>NA()</f>
        <v>#N/A</v>
      </c>
      <c r="O1112">
        <f t="shared" si="39"/>
        <v>0.1</v>
      </c>
    </row>
    <row r="1113" spans="1:15" x14ac:dyDescent="0.25">
      <c r="A1113" s="1">
        <v>44384</v>
      </c>
      <c r="B1113" t="e">
        <f>NA()</f>
        <v>#N/A</v>
      </c>
      <c r="C1113" t="e">
        <f>NA()</f>
        <v>#N/A</v>
      </c>
      <c r="D1113" t="e">
        <f>NA()</f>
        <v>#N/A</v>
      </c>
      <c r="E1113" t="e">
        <f>NA()</f>
        <v>#N/A</v>
      </c>
      <c r="F1113" t="e">
        <f>NA()</f>
        <v>#N/A</v>
      </c>
      <c r="G1113" t="e">
        <f>NA()</f>
        <v>#N/A</v>
      </c>
      <c r="H1113" t="e">
        <f>NA()</f>
        <v>#N/A</v>
      </c>
      <c r="I1113" t="e">
        <f>NA()</f>
        <v>#N/A</v>
      </c>
      <c r="J1113" t="e">
        <f>NA()</f>
        <v>#N/A</v>
      </c>
      <c r="K1113" t="e">
        <f>NA()</f>
        <v>#N/A</v>
      </c>
      <c r="L1113" t="e">
        <f>NA()</f>
        <v>#N/A</v>
      </c>
      <c r="M1113" t="e">
        <f>NA()</f>
        <v>#N/A</v>
      </c>
      <c r="N1113" t="e">
        <f>NA()</f>
        <v>#N/A</v>
      </c>
      <c r="O1113">
        <f t="shared" si="39"/>
        <v>0.1</v>
      </c>
    </row>
    <row r="1114" spans="1:15" x14ac:dyDescent="0.25">
      <c r="A1114" s="1">
        <v>44383</v>
      </c>
      <c r="B1114" t="e">
        <f>NA()</f>
        <v>#N/A</v>
      </c>
      <c r="C1114" t="e">
        <f>NA()</f>
        <v>#N/A</v>
      </c>
      <c r="D1114" t="e">
        <f>NA()</f>
        <v>#N/A</v>
      </c>
      <c r="E1114" t="e">
        <f>NA()</f>
        <v>#N/A</v>
      </c>
      <c r="F1114" t="e">
        <f>NA()</f>
        <v>#N/A</v>
      </c>
      <c r="G1114" t="e">
        <f>NA()</f>
        <v>#N/A</v>
      </c>
      <c r="H1114" t="e">
        <f>NA()</f>
        <v>#N/A</v>
      </c>
      <c r="I1114" t="e">
        <f>NA()</f>
        <v>#N/A</v>
      </c>
      <c r="J1114" t="e">
        <f>NA()</f>
        <v>#N/A</v>
      </c>
      <c r="K1114" t="e">
        <f>NA()</f>
        <v>#N/A</v>
      </c>
      <c r="L1114" t="e">
        <f>NA()</f>
        <v>#N/A</v>
      </c>
      <c r="M1114" t="e">
        <f>NA()</f>
        <v>#N/A</v>
      </c>
      <c r="N1114" t="e">
        <f>NA()</f>
        <v>#N/A</v>
      </c>
      <c r="O1114">
        <f t="shared" si="39"/>
        <v>0.1</v>
      </c>
    </row>
    <row r="1115" spans="1:15" x14ac:dyDescent="0.25">
      <c r="A1115" s="1">
        <v>44379</v>
      </c>
      <c r="B1115">
        <f>-0.8</f>
        <v>-0.8</v>
      </c>
      <c r="C1115">
        <f>0</f>
        <v>0</v>
      </c>
      <c r="D1115" t="e">
        <f>NA()</f>
        <v>#N/A</v>
      </c>
      <c r="E1115" t="e">
        <f>NA()</f>
        <v>#N/A</v>
      </c>
      <c r="F1115" t="e">
        <f>NA()</f>
        <v>#N/A</v>
      </c>
      <c r="G1115" t="e">
        <f>NA()</f>
        <v>#N/A</v>
      </c>
      <c r="H1115" t="e">
        <f>NA()</f>
        <v>#N/A</v>
      </c>
      <c r="I1115" t="e">
        <f>NA()</f>
        <v>#N/A</v>
      </c>
      <c r="J1115" t="e">
        <f>NA()</f>
        <v>#N/A</v>
      </c>
      <c r="K1115" t="e">
        <f>NA()</f>
        <v>#N/A</v>
      </c>
      <c r="L1115" t="e">
        <f>NA()</f>
        <v>#N/A</v>
      </c>
      <c r="M1115" t="e">
        <f>NA()</f>
        <v>#N/A</v>
      </c>
      <c r="N1115" t="e">
        <f>NA()</f>
        <v>#N/A</v>
      </c>
      <c r="O1115">
        <f t="shared" si="39"/>
        <v>0.1</v>
      </c>
    </row>
    <row r="1116" spans="1:15" x14ac:dyDescent="0.25">
      <c r="A1116" s="1">
        <v>44378</v>
      </c>
      <c r="B1116" t="e">
        <f>NA()</f>
        <v>#N/A</v>
      </c>
      <c r="C1116" t="e">
        <f>NA()</f>
        <v>#N/A</v>
      </c>
      <c r="D1116" t="e">
        <f>NA()</f>
        <v>#N/A</v>
      </c>
      <c r="E1116" t="e">
        <f>NA()</f>
        <v>#N/A</v>
      </c>
      <c r="F1116" t="e">
        <f>NA()</f>
        <v>#N/A</v>
      </c>
      <c r="G1116" t="e">
        <f>NA()</f>
        <v>#N/A</v>
      </c>
      <c r="H1116" t="e">
        <f>NA()</f>
        <v>#N/A</v>
      </c>
      <c r="I1116" t="e">
        <f>NA()</f>
        <v>#N/A</v>
      </c>
      <c r="J1116" t="e">
        <f>NA()</f>
        <v>#N/A</v>
      </c>
      <c r="K1116" t="e">
        <f>NA()</f>
        <v>#N/A</v>
      </c>
      <c r="L1116" t="e">
        <f>NA()</f>
        <v>#N/A</v>
      </c>
      <c r="M1116" t="e">
        <f>NA()</f>
        <v>#N/A</v>
      </c>
      <c r="N1116" t="e">
        <f>NA()</f>
        <v>#N/A</v>
      </c>
      <c r="O1116">
        <f t="shared" si="39"/>
        <v>0.1</v>
      </c>
    </row>
    <row r="1117" spans="1:15" x14ac:dyDescent="0.25">
      <c r="A1117" s="1">
        <v>44377</v>
      </c>
      <c r="B1117" t="e">
        <f>NA()</f>
        <v>#N/A</v>
      </c>
      <c r="C1117" t="e">
        <f>NA()</f>
        <v>#N/A</v>
      </c>
      <c r="D1117">
        <f>0.5</f>
        <v>0.5</v>
      </c>
      <c r="E1117">
        <f>-1.2</f>
        <v>-1.2</v>
      </c>
      <c r="F1117">
        <f>10298</f>
        <v>10298</v>
      </c>
      <c r="G1117">
        <f>61.7</f>
        <v>61.7</v>
      </c>
      <c r="H1117">
        <f>15.2</f>
        <v>15.2</v>
      </c>
      <c r="I1117">
        <f>271.7</f>
        <v>271.7</v>
      </c>
      <c r="J1117">
        <f>5.4</f>
        <v>5.4</v>
      </c>
      <c r="K1117">
        <f>61.3</f>
        <v>61.3</v>
      </c>
      <c r="L1117">
        <f>0.5</f>
        <v>0.5</v>
      </c>
      <c r="M1117">
        <f>7</f>
        <v>7</v>
      </c>
      <c r="N1117">
        <f>5.9</f>
        <v>5.9</v>
      </c>
      <c r="O1117">
        <f t="shared" si="39"/>
        <v>0.1</v>
      </c>
    </row>
    <row r="1118" spans="1:15" x14ac:dyDescent="0.25">
      <c r="A1118" s="1">
        <v>44376</v>
      </c>
      <c r="B1118" t="e">
        <f>NA()</f>
        <v>#N/A</v>
      </c>
      <c r="C1118" t="e">
        <f>NA()</f>
        <v>#N/A</v>
      </c>
      <c r="D1118" t="e">
        <f>NA()</f>
        <v>#N/A</v>
      </c>
      <c r="E1118" t="e">
        <f>NA()</f>
        <v>#N/A</v>
      </c>
      <c r="F1118" t="e">
        <f>NA()</f>
        <v>#N/A</v>
      </c>
      <c r="G1118" t="e">
        <f>NA()</f>
        <v>#N/A</v>
      </c>
      <c r="H1118" t="e">
        <f>NA()</f>
        <v>#N/A</v>
      </c>
      <c r="I1118" t="e">
        <f>NA()</f>
        <v>#N/A</v>
      </c>
      <c r="J1118" t="e">
        <f>NA()</f>
        <v>#N/A</v>
      </c>
      <c r="K1118" t="e">
        <f>NA()</f>
        <v>#N/A</v>
      </c>
      <c r="L1118" t="e">
        <f>NA()</f>
        <v>#N/A</v>
      </c>
      <c r="M1118" t="e">
        <f>NA()</f>
        <v>#N/A</v>
      </c>
      <c r="N1118" t="e">
        <f>NA()</f>
        <v>#N/A</v>
      </c>
      <c r="O1118">
        <f t="shared" si="39"/>
        <v>0.1</v>
      </c>
    </row>
    <row r="1119" spans="1:15" x14ac:dyDescent="0.25">
      <c r="A1119" s="1">
        <v>44375</v>
      </c>
      <c r="B1119" t="e">
        <f>NA()</f>
        <v>#N/A</v>
      </c>
      <c r="C1119" t="e">
        <f>NA()</f>
        <v>#N/A</v>
      </c>
      <c r="D1119" t="e">
        <f>NA()</f>
        <v>#N/A</v>
      </c>
      <c r="E1119" t="e">
        <f>NA()</f>
        <v>#N/A</v>
      </c>
      <c r="F1119" t="e">
        <f>NA()</f>
        <v>#N/A</v>
      </c>
      <c r="G1119" t="e">
        <f>NA()</f>
        <v>#N/A</v>
      </c>
      <c r="H1119" t="e">
        <f>NA()</f>
        <v>#N/A</v>
      </c>
      <c r="I1119" t="e">
        <f>NA()</f>
        <v>#N/A</v>
      </c>
      <c r="J1119" t="e">
        <f>NA()</f>
        <v>#N/A</v>
      </c>
      <c r="K1119" t="e">
        <f>NA()</f>
        <v>#N/A</v>
      </c>
      <c r="L1119" t="e">
        <f>NA()</f>
        <v>#N/A</v>
      </c>
      <c r="M1119" t="e">
        <f>NA()</f>
        <v>#N/A</v>
      </c>
      <c r="N1119" t="e">
        <f>NA()</f>
        <v>#N/A</v>
      </c>
      <c r="O1119">
        <f t="shared" si="39"/>
        <v>0.1</v>
      </c>
    </row>
    <row r="1120" spans="1:15" x14ac:dyDescent="0.25">
      <c r="A1120" s="1">
        <v>44372</v>
      </c>
      <c r="B1120">
        <f>-0.8</f>
        <v>-0.8</v>
      </c>
      <c r="C1120">
        <f>0</f>
        <v>0</v>
      </c>
      <c r="D1120" t="e">
        <f>NA()</f>
        <v>#N/A</v>
      </c>
      <c r="E1120" t="e">
        <f>NA()</f>
        <v>#N/A</v>
      </c>
      <c r="F1120" t="e">
        <f>NA()</f>
        <v>#N/A</v>
      </c>
      <c r="G1120" t="e">
        <f>NA()</f>
        <v>#N/A</v>
      </c>
      <c r="H1120" t="e">
        <f>NA()</f>
        <v>#N/A</v>
      </c>
      <c r="I1120" t="e">
        <f>NA()</f>
        <v>#N/A</v>
      </c>
      <c r="J1120" t="e">
        <f>NA()</f>
        <v>#N/A</v>
      </c>
      <c r="K1120" t="e">
        <f>NA()</f>
        <v>#N/A</v>
      </c>
      <c r="L1120" t="e">
        <f>NA()</f>
        <v>#N/A</v>
      </c>
      <c r="M1120" t="e">
        <f>NA()</f>
        <v>#N/A</v>
      </c>
      <c r="N1120" t="e">
        <f>NA()</f>
        <v>#N/A</v>
      </c>
      <c r="O1120">
        <f t="shared" si="39"/>
        <v>0.1</v>
      </c>
    </row>
    <row r="1121" spans="1:15" x14ac:dyDescent="0.25">
      <c r="A1121" s="1">
        <v>44371</v>
      </c>
      <c r="B1121" t="e">
        <f>NA()</f>
        <v>#N/A</v>
      </c>
      <c r="C1121" t="e">
        <f>NA()</f>
        <v>#N/A</v>
      </c>
      <c r="D1121" t="e">
        <f>NA()</f>
        <v>#N/A</v>
      </c>
      <c r="E1121" t="e">
        <f>NA()</f>
        <v>#N/A</v>
      </c>
      <c r="F1121" t="e">
        <f>NA()</f>
        <v>#N/A</v>
      </c>
      <c r="G1121" t="e">
        <f>NA()</f>
        <v>#N/A</v>
      </c>
      <c r="H1121" t="e">
        <f>NA()</f>
        <v>#N/A</v>
      </c>
      <c r="I1121" t="e">
        <f>NA()</f>
        <v>#N/A</v>
      </c>
      <c r="J1121" t="e">
        <f>NA()</f>
        <v>#N/A</v>
      </c>
      <c r="K1121" t="e">
        <f>NA()</f>
        <v>#N/A</v>
      </c>
      <c r="L1121" t="e">
        <f>NA()</f>
        <v>#N/A</v>
      </c>
      <c r="M1121" t="e">
        <f>NA()</f>
        <v>#N/A</v>
      </c>
      <c r="N1121" t="e">
        <f>NA()</f>
        <v>#N/A</v>
      </c>
      <c r="O1121">
        <f t="shared" si="39"/>
        <v>0.1</v>
      </c>
    </row>
    <row r="1122" spans="1:15" x14ac:dyDescent="0.25">
      <c r="A1122" s="1">
        <v>44370</v>
      </c>
      <c r="B1122" t="e">
        <f>NA()</f>
        <v>#N/A</v>
      </c>
      <c r="C1122" t="e">
        <f>NA()</f>
        <v>#N/A</v>
      </c>
      <c r="D1122" t="e">
        <f>NA()</f>
        <v>#N/A</v>
      </c>
      <c r="E1122" t="e">
        <f>NA()</f>
        <v>#N/A</v>
      </c>
      <c r="F1122" t="e">
        <f>NA()</f>
        <v>#N/A</v>
      </c>
      <c r="G1122" t="e">
        <f>NA()</f>
        <v>#N/A</v>
      </c>
      <c r="H1122" t="e">
        <f>NA()</f>
        <v>#N/A</v>
      </c>
      <c r="I1122" t="e">
        <f>NA()</f>
        <v>#N/A</v>
      </c>
      <c r="J1122" t="e">
        <f>NA()</f>
        <v>#N/A</v>
      </c>
      <c r="K1122" t="e">
        <f>NA()</f>
        <v>#N/A</v>
      </c>
      <c r="L1122" t="e">
        <f>NA()</f>
        <v>#N/A</v>
      </c>
      <c r="M1122" t="e">
        <f>NA()</f>
        <v>#N/A</v>
      </c>
      <c r="N1122" t="e">
        <f>NA()</f>
        <v>#N/A</v>
      </c>
      <c r="O1122">
        <f t="shared" si="39"/>
        <v>0.1</v>
      </c>
    </row>
    <row r="1123" spans="1:15" x14ac:dyDescent="0.25">
      <c r="A1123" s="1">
        <v>44369</v>
      </c>
      <c r="B1123" t="e">
        <f>NA()</f>
        <v>#N/A</v>
      </c>
      <c r="C1123" t="e">
        <f>NA()</f>
        <v>#N/A</v>
      </c>
      <c r="D1123" t="e">
        <f>NA()</f>
        <v>#N/A</v>
      </c>
      <c r="E1123" t="e">
        <f>NA()</f>
        <v>#N/A</v>
      </c>
      <c r="F1123" t="e">
        <f>NA()</f>
        <v>#N/A</v>
      </c>
      <c r="G1123" t="e">
        <f>NA()</f>
        <v>#N/A</v>
      </c>
      <c r="H1123" t="e">
        <f>NA()</f>
        <v>#N/A</v>
      </c>
      <c r="I1123" t="e">
        <f>NA()</f>
        <v>#N/A</v>
      </c>
      <c r="J1123" t="e">
        <f>NA()</f>
        <v>#N/A</v>
      </c>
      <c r="K1123" t="e">
        <f>NA()</f>
        <v>#N/A</v>
      </c>
      <c r="L1123" t="e">
        <f>NA()</f>
        <v>#N/A</v>
      </c>
      <c r="M1123" t="e">
        <f>NA()</f>
        <v>#N/A</v>
      </c>
      <c r="N1123" t="e">
        <f>NA()</f>
        <v>#N/A</v>
      </c>
      <c r="O1123">
        <f t="shared" si="39"/>
        <v>0.1</v>
      </c>
    </row>
    <row r="1124" spans="1:15" x14ac:dyDescent="0.25">
      <c r="A1124" s="1">
        <v>44368</v>
      </c>
      <c r="B1124" t="e">
        <f>NA()</f>
        <v>#N/A</v>
      </c>
      <c r="C1124" t="e">
        <f>NA()</f>
        <v>#N/A</v>
      </c>
      <c r="D1124" t="e">
        <f>NA()</f>
        <v>#N/A</v>
      </c>
      <c r="E1124" t="e">
        <f>NA()</f>
        <v>#N/A</v>
      </c>
      <c r="F1124" t="e">
        <f>NA()</f>
        <v>#N/A</v>
      </c>
      <c r="G1124" t="e">
        <f>NA()</f>
        <v>#N/A</v>
      </c>
      <c r="H1124" t="e">
        <f>NA()</f>
        <v>#N/A</v>
      </c>
      <c r="I1124" t="e">
        <f>NA()</f>
        <v>#N/A</v>
      </c>
      <c r="J1124" t="e">
        <f>NA()</f>
        <v>#N/A</v>
      </c>
      <c r="K1124" t="e">
        <f>NA()</f>
        <v>#N/A</v>
      </c>
      <c r="L1124" t="e">
        <f>NA()</f>
        <v>#N/A</v>
      </c>
      <c r="M1124" t="e">
        <f>NA()</f>
        <v>#N/A</v>
      </c>
      <c r="N1124" t="e">
        <f>NA()</f>
        <v>#N/A</v>
      </c>
      <c r="O1124">
        <f t="shared" si="39"/>
        <v>0.1</v>
      </c>
    </row>
    <row r="1125" spans="1:15" x14ac:dyDescent="0.25">
      <c r="A1125" s="1">
        <v>44365</v>
      </c>
      <c r="B1125">
        <f>-0.8</f>
        <v>-0.8</v>
      </c>
      <c r="C1125">
        <f>0</f>
        <v>0</v>
      </c>
      <c r="D1125" t="e">
        <f>NA()</f>
        <v>#N/A</v>
      </c>
      <c r="E1125" t="e">
        <f>NA()</f>
        <v>#N/A</v>
      </c>
      <c r="F1125" t="e">
        <f>NA()</f>
        <v>#N/A</v>
      </c>
      <c r="G1125" t="e">
        <f>NA()</f>
        <v>#N/A</v>
      </c>
      <c r="H1125" t="e">
        <f>NA()</f>
        <v>#N/A</v>
      </c>
      <c r="I1125" t="e">
        <f>NA()</f>
        <v>#N/A</v>
      </c>
      <c r="J1125" t="e">
        <f>NA()</f>
        <v>#N/A</v>
      </c>
      <c r="K1125" t="e">
        <f>NA()</f>
        <v>#N/A</v>
      </c>
      <c r="L1125" t="e">
        <f>NA()</f>
        <v>#N/A</v>
      </c>
      <c r="M1125" t="e">
        <f>NA()</f>
        <v>#N/A</v>
      </c>
      <c r="N1125" t="e">
        <f>NA()</f>
        <v>#N/A</v>
      </c>
      <c r="O1125">
        <f t="shared" si="39"/>
        <v>0.1</v>
      </c>
    </row>
    <row r="1126" spans="1:15" x14ac:dyDescent="0.25">
      <c r="A1126" s="1">
        <v>44364</v>
      </c>
      <c r="B1126" t="e">
        <f>NA()</f>
        <v>#N/A</v>
      </c>
      <c r="C1126" t="e">
        <f>NA()</f>
        <v>#N/A</v>
      </c>
      <c r="D1126" t="e">
        <f>NA()</f>
        <v>#N/A</v>
      </c>
      <c r="E1126" t="e">
        <f>NA()</f>
        <v>#N/A</v>
      </c>
      <c r="F1126" t="e">
        <f>NA()</f>
        <v>#N/A</v>
      </c>
      <c r="G1126" t="e">
        <f>NA()</f>
        <v>#N/A</v>
      </c>
      <c r="H1126" t="e">
        <f>NA()</f>
        <v>#N/A</v>
      </c>
      <c r="I1126" t="e">
        <f>NA()</f>
        <v>#N/A</v>
      </c>
      <c r="J1126" t="e">
        <f>NA()</f>
        <v>#N/A</v>
      </c>
      <c r="K1126" t="e">
        <f>NA()</f>
        <v>#N/A</v>
      </c>
      <c r="L1126" t="e">
        <f>NA()</f>
        <v>#N/A</v>
      </c>
      <c r="M1126" t="e">
        <f>NA()</f>
        <v>#N/A</v>
      </c>
      <c r="N1126" t="e">
        <f>NA()</f>
        <v>#N/A</v>
      </c>
      <c r="O1126">
        <f t="shared" si="39"/>
        <v>0.1</v>
      </c>
    </row>
    <row r="1127" spans="1:15" x14ac:dyDescent="0.25">
      <c r="A1127" s="1">
        <v>44363</v>
      </c>
      <c r="B1127" t="e">
        <f>NA()</f>
        <v>#N/A</v>
      </c>
      <c r="C1127" t="e">
        <f>NA()</f>
        <v>#N/A</v>
      </c>
      <c r="D1127" t="e">
        <f>NA()</f>
        <v>#N/A</v>
      </c>
      <c r="E1127" t="e">
        <f>NA()</f>
        <v>#N/A</v>
      </c>
      <c r="F1127" t="e">
        <f>NA()</f>
        <v>#N/A</v>
      </c>
      <c r="G1127" t="e">
        <f>NA()</f>
        <v>#N/A</v>
      </c>
      <c r="H1127" t="e">
        <f>NA()</f>
        <v>#N/A</v>
      </c>
      <c r="I1127" t="e">
        <f>NA()</f>
        <v>#N/A</v>
      </c>
      <c r="J1127" t="e">
        <f>NA()</f>
        <v>#N/A</v>
      </c>
      <c r="K1127" t="e">
        <f>NA()</f>
        <v>#N/A</v>
      </c>
      <c r="L1127" t="e">
        <f>NA()</f>
        <v>#N/A</v>
      </c>
      <c r="M1127" t="e">
        <f>NA()</f>
        <v>#N/A</v>
      </c>
      <c r="N1127" t="e">
        <f>NA()</f>
        <v>#N/A</v>
      </c>
      <c r="O1127">
        <f t="shared" si="39"/>
        <v>0.1</v>
      </c>
    </row>
    <row r="1128" spans="1:15" x14ac:dyDescent="0.25">
      <c r="A1128" s="1">
        <v>44362</v>
      </c>
      <c r="B1128" t="e">
        <f>NA()</f>
        <v>#N/A</v>
      </c>
      <c r="C1128" t="e">
        <f>NA()</f>
        <v>#N/A</v>
      </c>
      <c r="D1128" t="e">
        <f>NA()</f>
        <v>#N/A</v>
      </c>
      <c r="E1128" t="e">
        <f>NA()</f>
        <v>#N/A</v>
      </c>
      <c r="F1128" t="e">
        <f>NA()</f>
        <v>#N/A</v>
      </c>
      <c r="G1128" t="e">
        <f>NA()</f>
        <v>#N/A</v>
      </c>
      <c r="H1128" t="e">
        <f>NA()</f>
        <v>#N/A</v>
      </c>
      <c r="I1128" t="e">
        <f>NA()</f>
        <v>#N/A</v>
      </c>
      <c r="J1128" t="e">
        <f>NA()</f>
        <v>#N/A</v>
      </c>
      <c r="K1128" t="e">
        <f>NA()</f>
        <v>#N/A</v>
      </c>
      <c r="L1128" t="e">
        <f>NA()</f>
        <v>#N/A</v>
      </c>
      <c r="M1128" t="e">
        <f>NA()</f>
        <v>#N/A</v>
      </c>
      <c r="N1128" t="e">
        <f>NA()</f>
        <v>#N/A</v>
      </c>
      <c r="O1128">
        <f t="shared" si="39"/>
        <v>0.1</v>
      </c>
    </row>
    <row r="1129" spans="1:15" x14ac:dyDescent="0.25">
      <c r="A1129" s="1">
        <v>44361</v>
      </c>
      <c r="B1129" t="e">
        <f>NA()</f>
        <v>#N/A</v>
      </c>
      <c r="C1129" t="e">
        <f>NA()</f>
        <v>#N/A</v>
      </c>
      <c r="D1129" t="e">
        <f>NA()</f>
        <v>#N/A</v>
      </c>
      <c r="E1129" t="e">
        <f>NA()</f>
        <v>#N/A</v>
      </c>
      <c r="F1129" t="e">
        <f>NA()</f>
        <v>#N/A</v>
      </c>
      <c r="G1129" t="e">
        <f>NA()</f>
        <v>#N/A</v>
      </c>
      <c r="H1129" t="e">
        <f>NA()</f>
        <v>#N/A</v>
      </c>
      <c r="I1129" t="e">
        <f>NA()</f>
        <v>#N/A</v>
      </c>
      <c r="J1129" t="e">
        <f>NA()</f>
        <v>#N/A</v>
      </c>
      <c r="K1129" t="e">
        <f>NA()</f>
        <v>#N/A</v>
      </c>
      <c r="L1129" t="e">
        <f>NA()</f>
        <v>#N/A</v>
      </c>
      <c r="M1129" t="e">
        <f>NA()</f>
        <v>#N/A</v>
      </c>
      <c r="N1129" t="e">
        <f>NA()</f>
        <v>#N/A</v>
      </c>
      <c r="O1129">
        <f t="shared" si="39"/>
        <v>0.1</v>
      </c>
    </row>
    <row r="1130" spans="1:15" x14ac:dyDescent="0.25">
      <c r="A1130" s="1">
        <v>44358</v>
      </c>
      <c r="B1130">
        <f>-0.8</f>
        <v>-0.8</v>
      </c>
      <c r="C1130">
        <f>0</f>
        <v>0</v>
      </c>
      <c r="D1130" t="e">
        <f>NA()</f>
        <v>#N/A</v>
      </c>
      <c r="E1130" t="e">
        <f>NA()</f>
        <v>#N/A</v>
      </c>
      <c r="F1130" t="e">
        <f>NA()</f>
        <v>#N/A</v>
      </c>
      <c r="G1130" t="e">
        <f>NA()</f>
        <v>#N/A</v>
      </c>
      <c r="H1130" t="e">
        <f>NA()</f>
        <v>#N/A</v>
      </c>
      <c r="I1130" t="e">
        <f>NA()</f>
        <v>#N/A</v>
      </c>
      <c r="J1130" t="e">
        <f>NA()</f>
        <v>#N/A</v>
      </c>
      <c r="K1130" t="e">
        <f>NA()</f>
        <v>#N/A</v>
      </c>
      <c r="L1130" t="e">
        <f>NA()</f>
        <v>#N/A</v>
      </c>
      <c r="M1130" t="e">
        <f>NA()</f>
        <v>#N/A</v>
      </c>
      <c r="N1130" t="e">
        <f>NA()</f>
        <v>#N/A</v>
      </c>
      <c r="O1130">
        <f t="shared" si="39"/>
        <v>0.1</v>
      </c>
    </row>
    <row r="1131" spans="1:15" x14ac:dyDescent="0.25">
      <c r="A1131" s="1">
        <v>44357</v>
      </c>
      <c r="B1131" t="e">
        <f>NA()</f>
        <v>#N/A</v>
      </c>
      <c r="C1131" t="e">
        <f>NA()</f>
        <v>#N/A</v>
      </c>
      <c r="D1131" t="e">
        <f>NA()</f>
        <v>#N/A</v>
      </c>
      <c r="E1131" t="e">
        <f>NA()</f>
        <v>#N/A</v>
      </c>
      <c r="F1131" t="e">
        <f>NA()</f>
        <v>#N/A</v>
      </c>
      <c r="G1131" t="e">
        <f>NA()</f>
        <v>#N/A</v>
      </c>
      <c r="H1131" t="e">
        <f>NA()</f>
        <v>#N/A</v>
      </c>
      <c r="I1131" t="e">
        <f>NA()</f>
        <v>#N/A</v>
      </c>
      <c r="J1131" t="e">
        <f>NA()</f>
        <v>#N/A</v>
      </c>
      <c r="K1131" t="e">
        <f>NA()</f>
        <v>#N/A</v>
      </c>
      <c r="L1131" t="e">
        <f>NA()</f>
        <v>#N/A</v>
      </c>
      <c r="M1131" t="e">
        <f>NA()</f>
        <v>#N/A</v>
      </c>
      <c r="N1131" t="e">
        <f>NA()</f>
        <v>#N/A</v>
      </c>
      <c r="O1131">
        <f t="shared" si="39"/>
        <v>0.1</v>
      </c>
    </row>
    <row r="1132" spans="1:15" x14ac:dyDescent="0.25">
      <c r="A1132" s="1">
        <v>44356</v>
      </c>
      <c r="B1132" t="e">
        <f>NA()</f>
        <v>#N/A</v>
      </c>
      <c r="C1132" t="e">
        <f>NA()</f>
        <v>#N/A</v>
      </c>
      <c r="D1132" t="e">
        <f>NA()</f>
        <v>#N/A</v>
      </c>
      <c r="E1132" t="e">
        <f>NA()</f>
        <v>#N/A</v>
      </c>
      <c r="F1132" t="e">
        <f>NA()</f>
        <v>#N/A</v>
      </c>
      <c r="G1132" t="e">
        <f>NA()</f>
        <v>#N/A</v>
      </c>
      <c r="H1132" t="e">
        <f>NA()</f>
        <v>#N/A</v>
      </c>
      <c r="I1132" t="e">
        <f>NA()</f>
        <v>#N/A</v>
      </c>
      <c r="J1132" t="e">
        <f>NA()</f>
        <v>#N/A</v>
      </c>
      <c r="K1132" t="e">
        <f>NA()</f>
        <v>#N/A</v>
      </c>
      <c r="L1132" t="e">
        <f>NA()</f>
        <v>#N/A</v>
      </c>
      <c r="M1132" t="e">
        <f>NA()</f>
        <v>#N/A</v>
      </c>
      <c r="N1132" t="e">
        <f>NA()</f>
        <v>#N/A</v>
      </c>
      <c r="O1132">
        <f t="shared" si="39"/>
        <v>0.1</v>
      </c>
    </row>
    <row r="1133" spans="1:15" x14ac:dyDescent="0.25">
      <c r="A1133" s="1">
        <v>44355</v>
      </c>
      <c r="B1133" t="e">
        <f>NA()</f>
        <v>#N/A</v>
      </c>
      <c r="C1133" t="e">
        <f>NA()</f>
        <v>#N/A</v>
      </c>
      <c r="D1133" t="e">
        <f>NA()</f>
        <v>#N/A</v>
      </c>
      <c r="E1133" t="e">
        <f>NA()</f>
        <v>#N/A</v>
      </c>
      <c r="F1133" t="e">
        <f>NA()</f>
        <v>#N/A</v>
      </c>
      <c r="G1133" t="e">
        <f>NA()</f>
        <v>#N/A</v>
      </c>
      <c r="H1133" t="e">
        <f>NA()</f>
        <v>#N/A</v>
      </c>
      <c r="I1133" t="e">
        <f>NA()</f>
        <v>#N/A</v>
      </c>
      <c r="J1133" t="e">
        <f>NA()</f>
        <v>#N/A</v>
      </c>
      <c r="K1133" t="e">
        <f>NA()</f>
        <v>#N/A</v>
      </c>
      <c r="L1133" t="e">
        <f>NA()</f>
        <v>#N/A</v>
      </c>
      <c r="M1133" t="e">
        <f>NA()</f>
        <v>#N/A</v>
      </c>
      <c r="N1133" t="e">
        <f>NA()</f>
        <v>#N/A</v>
      </c>
      <c r="O1133">
        <f t="shared" si="39"/>
        <v>0.1</v>
      </c>
    </row>
    <row r="1134" spans="1:15" x14ac:dyDescent="0.25">
      <c r="A1134" s="1">
        <v>44354</v>
      </c>
      <c r="B1134" t="e">
        <f>NA()</f>
        <v>#N/A</v>
      </c>
      <c r="C1134" t="e">
        <f>NA()</f>
        <v>#N/A</v>
      </c>
      <c r="D1134" t="e">
        <f>NA()</f>
        <v>#N/A</v>
      </c>
      <c r="E1134" t="e">
        <f>NA()</f>
        <v>#N/A</v>
      </c>
      <c r="F1134" t="e">
        <f>NA()</f>
        <v>#N/A</v>
      </c>
      <c r="G1134" t="e">
        <f>NA()</f>
        <v>#N/A</v>
      </c>
      <c r="H1134" t="e">
        <f>NA()</f>
        <v>#N/A</v>
      </c>
      <c r="I1134" t="e">
        <f>NA()</f>
        <v>#N/A</v>
      </c>
      <c r="J1134" t="e">
        <f>NA()</f>
        <v>#N/A</v>
      </c>
      <c r="K1134" t="e">
        <f>NA()</f>
        <v>#N/A</v>
      </c>
      <c r="L1134" t="e">
        <f>NA()</f>
        <v>#N/A</v>
      </c>
      <c r="M1134" t="e">
        <f>NA()</f>
        <v>#N/A</v>
      </c>
      <c r="N1134" t="e">
        <f>NA()</f>
        <v>#N/A</v>
      </c>
      <c r="O1134">
        <f t="shared" si="39"/>
        <v>0.1</v>
      </c>
    </row>
    <row r="1135" spans="1:15" x14ac:dyDescent="0.25">
      <c r="A1135" s="1">
        <v>44351</v>
      </c>
      <c r="B1135">
        <f>-0.8</f>
        <v>-0.8</v>
      </c>
      <c r="C1135">
        <f>0</f>
        <v>0</v>
      </c>
      <c r="D1135" t="e">
        <f>NA()</f>
        <v>#N/A</v>
      </c>
      <c r="E1135" t="e">
        <f>NA()</f>
        <v>#N/A</v>
      </c>
      <c r="F1135" t="e">
        <f>NA()</f>
        <v>#N/A</v>
      </c>
      <c r="G1135" t="e">
        <f>NA()</f>
        <v>#N/A</v>
      </c>
      <c r="H1135" t="e">
        <f>NA()</f>
        <v>#N/A</v>
      </c>
      <c r="I1135" t="e">
        <f>NA()</f>
        <v>#N/A</v>
      </c>
      <c r="J1135" t="e">
        <f>NA()</f>
        <v>#N/A</v>
      </c>
      <c r="K1135" t="e">
        <f>NA()</f>
        <v>#N/A</v>
      </c>
      <c r="L1135" t="e">
        <f>NA()</f>
        <v>#N/A</v>
      </c>
      <c r="M1135" t="e">
        <f>NA()</f>
        <v>#N/A</v>
      </c>
      <c r="N1135" t="e">
        <f>NA()</f>
        <v>#N/A</v>
      </c>
      <c r="O1135">
        <f t="shared" si="39"/>
        <v>0.1</v>
      </c>
    </row>
    <row r="1136" spans="1:15" x14ac:dyDescent="0.25">
      <c r="A1136" s="1">
        <v>44350</v>
      </c>
      <c r="B1136" t="e">
        <f>NA()</f>
        <v>#N/A</v>
      </c>
      <c r="C1136" t="e">
        <f>NA()</f>
        <v>#N/A</v>
      </c>
      <c r="D1136" t="e">
        <f>NA()</f>
        <v>#N/A</v>
      </c>
      <c r="E1136" t="e">
        <f>NA()</f>
        <v>#N/A</v>
      </c>
      <c r="F1136" t="e">
        <f>NA()</f>
        <v>#N/A</v>
      </c>
      <c r="G1136" t="e">
        <f>NA()</f>
        <v>#N/A</v>
      </c>
      <c r="H1136" t="e">
        <f>NA()</f>
        <v>#N/A</v>
      </c>
      <c r="I1136" t="e">
        <f>NA()</f>
        <v>#N/A</v>
      </c>
      <c r="J1136" t="e">
        <f>NA()</f>
        <v>#N/A</v>
      </c>
      <c r="K1136" t="e">
        <f>NA()</f>
        <v>#N/A</v>
      </c>
      <c r="L1136" t="e">
        <f>NA()</f>
        <v>#N/A</v>
      </c>
      <c r="M1136" t="e">
        <f>NA()</f>
        <v>#N/A</v>
      </c>
      <c r="N1136" t="e">
        <f>NA()</f>
        <v>#N/A</v>
      </c>
      <c r="O1136">
        <f t="shared" si="39"/>
        <v>0.1</v>
      </c>
    </row>
    <row r="1137" spans="1:15" x14ac:dyDescent="0.25">
      <c r="A1137" s="1">
        <v>44349</v>
      </c>
      <c r="B1137" t="e">
        <f>NA()</f>
        <v>#N/A</v>
      </c>
      <c r="C1137" t="e">
        <f>NA()</f>
        <v>#N/A</v>
      </c>
      <c r="D1137" t="e">
        <f>NA()</f>
        <v>#N/A</v>
      </c>
      <c r="E1137" t="e">
        <f>NA()</f>
        <v>#N/A</v>
      </c>
      <c r="F1137" t="e">
        <f>NA()</f>
        <v>#N/A</v>
      </c>
      <c r="G1137" t="e">
        <f>NA()</f>
        <v>#N/A</v>
      </c>
      <c r="H1137" t="e">
        <f>NA()</f>
        <v>#N/A</v>
      </c>
      <c r="I1137" t="e">
        <f>NA()</f>
        <v>#N/A</v>
      </c>
      <c r="J1137" t="e">
        <f>NA()</f>
        <v>#N/A</v>
      </c>
      <c r="K1137" t="e">
        <f>NA()</f>
        <v>#N/A</v>
      </c>
      <c r="L1137" t="e">
        <f>NA()</f>
        <v>#N/A</v>
      </c>
      <c r="M1137" t="e">
        <f>NA()</f>
        <v>#N/A</v>
      </c>
      <c r="N1137" t="e">
        <f>NA()</f>
        <v>#N/A</v>
      </c>
      <c r="O1137">
        <f t="shared" si="39"/>
        <v>0.1</v>
      </c>
    </row>
    <row r="1138" spans="1:15" x14ac:dyDescent="0.25">
      <c r="A1138" s="1">
        <v>44348</v>
      </c>
      <c r="B1138" t="e">
        <f>NA()</f>
        <v>#N/A</v>
      </c>
      <c r="C1138" t="e">
        <f>NA()</f>
        <v>#N/A</v>
      </c>
      <c r="D1138" t="e">
        <f>NA()</f>
        <v>#N/A</v>
      </c>
      <c r="E1138" t="e">
        <f>NA()</f>
        <v>#N/A</v>
      </c>
      <c r="F1138" t="e">
        <f>NA()</f>
        <v>#N/A</v>
      </c>
      <c r="G1138" t="e">
        <f>NA()</f>
        <v>#N/A</v>
      </c>
      <c r="H1138" t="e">
        <f>NA()</f>
        <v>#N/A</v>
      </c>
      <c r="I1138" t="e">
        <f>NA()</f>
        <v>#N/A</v>
      </c>
      <c r="J1138" t="e">
        <f>NA()</f>
        <v>#N/A</v>
      </c>
      <c r="K1138" t="e">
        <f>NA()</f>
        <v>#N/A</v>
      </c>
      <c r="L1138" t="e">
        <f>NA()</f>
        <v>#N/A</v>
      </c>
      <c r="M1138" t="e">
        <f>NA()</f>
        <v>#N/A</v>
      </c>
      <c r="N1138" t="e">
        <f>NA()</f>
        <v>#N/A</v>
      </c>
      <c r="O1138">
        <f t="shared" si="39"/>
        <v>0.1</v>
      </c>
    </row>
    <row r="1139" spans="1:15" x14ac:dyDescent="0.25">
      <c r="A1139" s="1">
        <v>44347</v>
      </c>
      <c r="B1139" t="e">
        <f>NA()</f>
        <v>#N/A</v>
      </c>
      <c r="C1139" t="e">
        <f>NA()</f>
        <v>#N/A</v>
      </c>
      <c r="D1139">
        <f>0.6</f>
        <v>0.6</v>
      </c>
      <c r="E1139">
        <f>-2.5</f>
        <v>-2.5</v>
      </c>
      <c r="F1139">
        <f>9905</f>
        <v>9905</v>
      </c>
      <c r="G1139">
        <f>61.6</f>
        <v>61.6</v>
      </c>
      <c r="H1139">
        <f>20.3</f>
        <v>20.3</v>
      </c>
      <c r="I1139">
        <f>269.2</f>
        <v>269.2</v>
      </c>
      <c r="J1139">
        <f>5</f>
        <v>5</v>
      </c>
      <c r="K1139">
        <f>61.6</f>
        <v>61.6</v>
      </c>
      <c r="L1139">
        <f>0.9</f>
        <v>0.9</v>
      </c>
      <c r="M1139" t="e">
        <f>NA()</f>
        <v>#N/A</v>
      </c>
      <c r="N1139">
        <f>5.8</f>
        <v>5.8</v>
      </c>
      <c r="O1139" t="e">
        <f>NA()</f>
        <v>#N/A</v>
      </c>
    </row>
    <row r="1140" spans="1:15" x14ac:dyDescent="0.25">
      <c r="A1140" s="1">
        <v>44344</v>
      </c>
      <c r="B1140">
        <f>-0.8</f>
        <v>-0.8</v>
      </c>
      <c r="C1140">
        <f>0</f>
        <v>0</v>
      </c>
      <c r="D1140" t="e">
        <f>NA()</f>
        <v>#N/A</v>
      </c>
      <c r="E1140" t="e">
        <f>NA()</f>
        <v>#N/A</v>
      </c>
      <c r="F1140" t="e">
        <f>NA()</f>
        <v>#N/A</v>
      </c>
      <c r="G1140" t="e">
        <f>NA()</f>
        <v>#N/A</v>
      </c>
      <c r="H1140" t="e">
        <f>NA()</f>
        <v>#N/A</v>
      </c>
      <c r="I1140" t="e">
        <f>NA()</f>
        <v>#N/A</v>
      </c>
      <c r="J1140" t="e">
        <f>NA()</f>
        <v>#N/A</v>
      </c>
      <c r="K1140" t="e">
        <f>NA()</f>
        <v>#N/A</v>
      </c>
      <c r="L1140" t="e">
        <f>NA()</f>
        <v>#N/A</v>
      </c>
      <c r="M1140" t="e">
        <f>NA()</f>
        <v>#N/A</v>
      </c>
      <c r="N1140" t="e">
        <f>NA()</f>
        <v>#N/A</v>
      </c>
      <c r="O1140">
        <f t="shared" ref="O1140:O1171" si="40">0.1</f>
        <v>0.1</v>
      </c>
    </row>
    <row r="1141" spans="1:15" x14ac:dyDescent="0.25">
      <c r="A1141" s="1">
        <v>44343</v>
      </c>
      <c r="B1141" t="e">
        <f>NA()</f>
        <v>#N/A</v>
      </c>
      <c r="C1141" t="e">
        <f>NA()</f>
        <v>#N/A</v>
      </c>
      <c r="D1141" t="e">
        <f>NA()</f>
        <v>#N/A</v>
      </c>
      <c r="E1141" t="e">
        <f>NA()</f>
        <v>#N/A</v>
      </c>
      <c r="F1141" t="e">
        <f>NA()</f>
        <v>#N/A</v>
      </c>
      <c r="G1141" t="e">
        <f>NA()</f>
        <v>#N/A</v>
      </c>
      <c r="H1141" t="e">
        <f>NA()</f>
        <v>#N/A</v>
      </c>
      <c r="I1141" t="e">
        <f>NA()</f>
        <v>#N/A</v>
      </c>
      <c r="J1141" t="e">
        <f>NA()</f>
        <v>#N/A</v>
      </c>
      <c r="K1141" t="e">
        <f>NA()</f>
        <v>#N/A</v>
      </c>
      <c r="L1141" t="e">
        <f>NA()</f>
        <v>#N/A</v>
      </c>
      <c r="M1141" t="e">
        <f>NA()</f>
        <v>#N/A</v>
      </c>
      <c r="N1141" t="e">
        <f>NA()</f>
        <v>#N/A</v>
      </c>
      <c r="O1141">
        <f t="shared" si="40"/>
        <v>0.1</v>
      </c>
    </row>
    <row r="1142" spans="1:15" x14ac:dyDescent="0.25">
      <c r="A1142" s="1">
        <v>44342</v>
      </c>
      <c r="B1142" t="e">
        <f>NA()</f>
        <v>#N/A</v>
      </c>
      <c r="C1142" t="e">
        <f>NA()</f>
        <v>#N/A</v>
      </c>
      <c r="D1142" t="e">
        <f>NA()</f>
        <v>#N/A</v>
      </c>
      <c r="E1142" t="e">
        <f>NA()</f>
        <v>#N/A</v>
      </c>
      <c r="F1142" t="e">
        <f>NA()</f>
        <v>#N/A</v>
      </c>
      <c r="G1142" t="e">
        <f>NA()</f>
        <v>#N/A</v>
      </c>
      <c r="H1142" t="e">
        <f>NA()</f>
        <v>#N/A</v>
      </c>
      <c r="I1142" t="e">
        <f>NA()</f>
        <v>#N/A</v>
      </c>
      <c r="J1142" t="e">
        <f>NA()</f>
        <v>#N/A</v>
      </c>
      <c r="K1142" t="e">
        <f>NA()</f>
        <v>#N/A</v>
      </c>
      <c r="L1142" t="e">
        <f>NA()</f>
        <v>#N/A</v>
      </c>
      <c r="M1142" t="e">
        <f>NA()</f>
        <v>#N/A</v>
      </c>
      <c r="N1142" t="e">
        <f>NA()</f>
        <v>#N/A</v>
      </c>
      <c r="O1142">
        <f t="shared" si="40"/>
        <v>0.1</v>
      </c>
    </row>
    <row r="1143" spans="1:15" x14ac:dyDescent="0.25">
      <c r="A1143" s="1">
        <v>44341</v>
      </c>
      <c r="B1143" t="e">
        <f>NA()</f>
        <v>#N/A</v>
      </c>
      <c r="C1143" t="e">
        <f>NA()</f>
        <v>#N/A</v>
      </c>
      <c r="D1143" t="e">
        <f>NA()</f>
        <v>#N/A</v>
      </c>
      <c r="E1143" t="e">
        <f>NA()</f>
        <v>#N/A</v>
      </c>
      <c r="F1143" t="e">
        <f>NA()</f>
        <v>#N/A</v>
      </c>
      <c r="G1143" t="e">
        <f>NA()</f>
        <v>#N/A</v>
      </c>
      <c r="H1143" t="e">
        <f>NA()</f>
        <v>#N/A</v>
      </c>
      <c r="I1143" t="e">
        <f>NA()</f>
        <v>#N/A</v>
      </c>
      <c r="J1143" t="e">
        <f>NA()</f>
        <v>#N/A</v>
      </c>
      <c r="K1143" t="e">
        <f>NA()</f>
        <v>#N/A</v>
      </c>
      <c r="L1143" t="e">
        <f>NA()</f>
        <v>#N/A</v>
      </c>
      <c r="M1143" t="e">
        <f>NA()</f>
        <v>#N/A</v>
      </c>
      <c r="N1143" t="e">
        <f>NA()</f>
        <v>#N/A</v>
      </c>
      <c r="O1143">
        <f t="shared" si="40"/>
        <v>0.1</v>
      </c>
    </row>
    <row r="1144" spans="1:15" x14ac:dyDescent="0.25">
      <c r="A1144" s="1">
        <v>44340</v>
      </c>
      <c r="B1144" t="e">
        <f>NA()</f>
        <v>#N/A</v>
      </c>
      <c r="C1144" t="e">
        <f>NA()</f>
        <v>#N/A</v>
      </c>
      <c r="D1144" t="e">
        <f>NA()</f>
        <v>#N/A</v>
      </c>
      <c r="E1144" t="e">
        <f>NA()</f>
        <v>#N/A</v>
      </c>
      <c r="F1144" t="e">
        <f>NA()</f>
        <v>#N/A</v>
      </c>
      <c r="G1144" t="e">
        <f>NA()</f>
        <v>#N/A</v>
      </c>
      <c r="H1144" t="e">
        <f>NA()</f>
        <v>#N/A</v>
      </c>
      <c r="I1144" t="e">
        <f>NA()</f>
        <v>#N/A</v>
      </c>
      <c r="J1144" t="e">
        <f>NA()</f>
        <v>#N/A</v>
      </c>
      <c r="K1144" t="e">
        <f>NA()</f>
        <v>#N/A</v>
      </c>
      <c r="L1144" t="e">
        <f>NA()</f>
        <v>#N/A</v>
      </c>
      <c r="M1144" t="e">
        <f>NA()</f>
        <v>#N/A</v>
      </c>
      <c r="N1144" t="e">
        <f>NA()</f>
        <v>#N/A</v>
      </c>
      <c r="O1144">
        <f t="shared" si="40"/>
        <v>0.1</v>
      </c>
    </row>
    <row r="1145" spans="1:15" x14ac:dyDescent="0.25">
      <c r="A1145" s="1">
        <v>44337</v>
      </c>
      <c r="B1145">
        <f>-0.7</f>
        <v>-0.7</v>
      </c>
      <c r="C1145">
        <f>0</f>
        <v>0</v>
      </c>
      <c r="D1145" t="e">
        <f>NA()</f>
        <v>#N/A</v>
      </c>
      <c r="E1145" t="e">
        <f>NA()</f>
        <v>#N/A</v>
      </c>
      <c r="F1145" t="e">
        <f>NA()</f>
        <v>#N/A</v>
      </c>
      <c r="G1145" t="e">
        <f>NA()</f>
        <v>#N/A</v>
      </c>
      <c r="H1145" t="e">
        <f>NA()</f>
        <v>#N/A</v>
      </c>
      <c r="I1145" t="e">
        <f>NA()</f>
        <v>#N/A</v>
      </c>
      <c r="J1145" t="e">
        <f>NA()</f>
        <v>#N/A</v>
      </c>
      <c r="K1145" t="e">
        <f>NA()</f>
        <v>#N/A</v>
      </c>
      <c r="L1145" t="e">
        <f>NA()</f>
        <v>#N/A</v>
      </c>
      <c r="M1145" t="e">
        <f>NA()</f>
        <v>#N/A</v>
      </c>
      <c r="N1145" t="e">
        <f>NA()</f>
        <v>#N/A</v>
      </c>
      <c r="O1145">
        <f t="shared" si="40"/>
        <v>0.1</v>
      </c>
    </row>
    <row r="1146" spans="1:15" x14ac:dyDescent="0.25">
      <c r="A1146" s="1">
        <v>44336</v>
      </c>
      <c r="B1146" t="e">
        <f>NA()</f>
        <v>#N/A</v>
      </c>
      <c r="C1146" t="e">
        <f>NA()</f>
        <v>#N/A</v>
      </c>
      <c r="D1146" t="e">
        <f>NA()</f>
        <v>#N/A</v>
      </c>
      <c r="E1146" t="e">
        <f>NA()</f>
        <v>#N/A</v>
      </c>
      <c r="F1146" t="e">
        <f>NA()</f>
        <v>#N/A</v>
      </c>
      <c r="G1146" t="e">
        <f>NA()</f>
        <v>#N/A</v>
      </c>
      <c r="H1146" t="e">
        <f>NA()</f>
        <v>#N/A</v>
      </c>
      <c r="I1146" t="e">
        <f>NA()</f>
        <v>#N/A</v>
      </c>
      <c r="J1146" t="e">
        <f>NA()</f>
        <v>#N/A</v>
      </c>
      <c r="K1146" t="e">
        <f>NA()</f>
        <v>#N/A</v>
      </c>
      <c r="L1146" t="e">
        <f>NA()</f>
        <v>#N/A</v>
      </c>
      <c r="M1146" t="e">
        <f>NA()</f>
        <v>#N/A</v>
      </c>
      <c r="N1146" t="e">
        <f>NA()</f>
        <v>#N/A</v>
      </c>
      <c r="O1146">
        <f t="shared" si="40"/>
        <v>0.1</v>
      </c>
    </row>
    <row r="1147" spans="1:15" x14ac:dyDescent="0.25">
      <c r="A1147" s="1">
        <v>44335</v>
      </c>
      <c r="B1147" t="e">
        <f>NA()</f>
        <v>#N/A</v>
      </c>
      <c r="C1147" t="e">
        <f>NA()</f>
        <v>#N/A</v>
      </c>
      <c r="D1147" t="e">
        <f>NA()</f>
        <v>#N/A</v>
      </c>
      <c r="E1147" t="e">
        <f>NA()</f>
        <v>#N/A</v>
      </c>
      <c r="F1147" t="e">
        <f>NA()</f>
        <v>#N/A</v>
      </c>
      <c r="G1147" t="e">
        <f>NA()</f>
        <v>#N/A</v>
      </c>
      <c r="H1147" t="e">
        <f>NA()</f>
        <v>#N/A</v>
      </c>
      <c r="I1147" t="e">
        <f>NA()</f>
        <v>#N/A</v>
      </c>
      <c r="J1147" t="e">
        <f>NA()</f>
        <v>#N/A</v>
      </c>
      <c r="K1147" t="e">
        <f>NA()</f>
        <v>#N/A</v>
      </c>
      <c r="L1147" t="e">
        <f>NA()</f>
        <v>#N/A</v>
      </c>
      <c r="M1147" t="e">
        <f>NA()</f>
        <v>#N/A</v>
      </c>
      <c r="N1147" t="e">
        <f>NA()</f>
        <v>#N/A</v>
      </c>
      <c r="O1147">
        <f t="shared" si="40"/>
        <v>0.1</v>
      </c>
    </row>
    <row r="1148" spans="1:15" x14ac:dyDescent="0.25">
      <c r="A1148" s="1">
        <v>44334</v>
      </c>
      <c r="B1148" t="e">
        <f>NA()</f>
        <v>#N/A</v>
      </c>
      <c r="C1148" t="e">
        <f>NA()</f>
        <v>#N/A</v>
      </c>
      <c r="D1148" t="e">
        <f>NA()</f>
        <v>#N/A</v>
      </c>
      <c r="E1148" t="e">
        <f>NA()</f>
        <v>#N/A</v>
      </c>
      <c r="F1148" t="e">
        <f>NA()</f>
        <v>#N/A</v>
      </c>
      <c r="G1148" t="e">
        <f>NA()</f>
        <v>#N/A</v>
      </c>
      <c r="H1148" t="e">
        <f>NA()</f>
        <v>#N/A</v>
      </c>
      <c r="I1148" t="e">
        <f>NA()</f>
        <v>#N/A</v>
      </c>
      <c r="J1148" t="e">
        <f>NA()</f>
        <v>#N/A</v>
      </c>
      <c r="K1148" t="e">
        <f>NA()</f>
        <v>#N/A</v>
      </c>
      <c r="L1148" t="e">
        <f>NA()</f>
        <v>#N/A</v>
      </c>
      <c r="M1148" t="e">
        <f>NA()</f>
        <v>#N/A</v>
      </c>
      <c r="N1148" t="e">
        <f>NA()</f>
        <v>#N/A</v>
      </c>
      <c r="O1148">
        <f t="shared" si="40"/>
        <v>0.1</v>
      </c>
    </row>
    <row r="1149" spans="1:15" x14ac:dyDescent="0.25">
      <c r="A1149" s="1">
        <v>44333</v>
      </c>
      <c r="B1149" t="e">
        <f>NA()</f>
        <v>#N/A</v>
      </c>
      <c r="C1149" t="e">
        <f>NA()</f>
        <v>#N/A</v>
      </c>
      <c r="D1149" t="e">
        <f>NA()</f>
        <v>#N/A</v>
      </c>
      <c r="E1149" t="e">
        <f>NA()</f>
        <v>#N/A</v>
      </c>
      <c r="F1149" t="e">
        <f>NA()</f>
        <v>#N/A</v>
      </c>
      <c r="G1149" t="e">
        <f>NA()</f>
        <v>#N/A</v>
      </c>
      <c r="H1149" t="e">
        <f>NA()</f>
        <v>#N/A</v>
      </c>
      <c r="I1149" t="e">
        <f>NA()</f>
        <v>#N/A</v>
      </c>
      <c r="J1149" t="e">
        <f>NA()</f>
        <v>#N/A</v>
      </c>
      <c r="K1149" t="e">
        <f>NA()</f>
        <v>#N/A</v>
      </c>
      <c r="L1149" t="e">
        <f>NA()</f>
        <v>#N/A</v>
      </c>
      <c r="M1149" t="e">
        <f>NA()</f>
        <v>#N/A</v>
      </c>
      <c r="N1149" t="e">
        <f>NA()</f>
        <v>#N/A</v>
      </c>
      <c r="O1149">
        <f t="shared" si="40"/>
        <v>0.1</v>
      </c>
    </row>
    <row r="1150" spans="1:15" x14ac:dyDescent="0.25">
      <c r="A1150" s="1">
        <v>44330</v>
      </c>
      <c r="B1150">
        <f>-0.7</f>
        <v>-0.7</v>
      </c>
      <c r="C1150">
        <f>0</f>
        <v>0</v>
      </c>
      <c r="D1150" t="e">
        <f>NA()</f>
        <v>#N/A</v>
      </c>
      <c r="E1150" t="e">
        <f>NA()</f>
        <v>#N/A</v>
      </c>
      <c r="F1150" t="e">
        <f>NA()</f>
        <v>#N/A</v>
      </c>
      <c r="G1150" t="e">
        <f>NA()</f>
        <v>#N/A</v>
      </c>
      <c r="H1150" t="e">
        <f>NA()</f>
        <v>#N/A</v>
      </c>
      <c r="I1150" t="e">
        <f>NA()</f>
        <v>#N/A</v>
      </c>
      <c r="J1150" t="e">
        <f>NA()</f>
        <v>#N/A</v>
      </c>
      <c r="K1150" t="e">
        <f>NA()</f>
        <v>#N/A</v>
      </c>
      <c r="L1150" t="e">
        <f>NA()</f>
        <v>#N/A</v>
      </c>
      <c r="M1150" t="e">
        <f>NA()</f>
        <v>#N/A</v>
      </c>
      <c r="N1150" t="e">
        <f>NA()</f>
        <v>#N/A</v>
      </c>
      <c r="O1150">
        <f t="shared" si="40"/>
        <v>0.1</v>
      </c>
    </row>
    <row r="1151" spans="1:15" x14ac:dyDescent="0.25">
      <c r="A1151" s="1">
        <v>44329</v>
      </c>
      <c r="B1151" t="e">
        <f>NA()</f>
        <v>#N/A</v>
      </c>
      <c r="C1151" t="e">
        <f>NA()</f>
        <v>#N/A</v>
      </c>
      <c r="D1151" t="e">
        <f>NA()</f>
        <v>#N/A</v>
      </c>
      <c r="E1151" t="e">
        <f>NA()</f>
        <v>#N/A</v>
      </c>
      <c r="F1151" t="e">
        <f>NA()</f>
        <v>#N/A</v>
      </c>
      <c r="G1151" t="e">
        <f>NA()</f>
        <v>#N/A</v>
      </c>
      <c r="H1151" t="e">
        <f>NA()</f>
        <v>#N/A</v>
      </c>
      <c r="I1151" t="e">
        <f>NA()</f>
        <v>#N/A</v>
      </c>
      <c r="J1151" t="e">
        <f>NA()</f>
        <v>#N/A</v>
      </c>
      <c r="K1151" t="e">
        <f>NA()</f>
        <v>#N/A</v>
      </c>
      <c r="L1151" t="e">
        <f>NA()</f>
        <v>#N/A</v>
      </c>
      <c r="M1151" t="e">
        <f>NA()</f>
        <v>#N/A</v>
      </c>
      <c r="N1151" t="e">
        <f>NA()</f>
        <v>#N/A</v>
      </c>
      <c r="O1151">
        <f t="shared" si="40"/>
        <v>0.1</v>
      </c>
    </row>
    <row r="1152" spans="1:15" x14ac:dyDescent="0.25">
      <c r="A1152" s="1">
        <v>44328</v>
      </c>
      <c r="B1152" t="e">
        <f>NA()</f>
        <v>#N/A</v>
      </c>
      <c r="C1152" t="e">
        <f>NA()</f>
        <v>#N/A</v>
      </c>
      <c r="D1152" t="e">
        <f>NA()</f>
        <v>#N/A</v>
      </c>
      <c r="E1152" t="e">
        <f>NA()</f>
        <v>#N/A</v>
      </c>
      <c r="F1152" t="e">
        <f>NA()</f>
        <v>#N/A</v>
      </c>
      <c r="G1152" t="e">
        <f>NA()</f>
        <v>#N/A</v>
      </c>
      <c r="H1152" t="e">
        <f>NA()</f>
        <v>#N/A</v>
      </c>
      <c r="I1152" t="e">
        <f>NA()</f>
        <v>#N/A</v>
      </c>
      <c r="J1152" t="e">
        <f>NA()</f>
        <v>#N/A</v>
      </c>
      <c r="K1152" t="e">
        <f>NA()</f>
        <v>#N/A</v>
      </c>
      <c r="L1152" t="e">
        <f>NA()</f>
        <v>#N/A</v>
      </c>
      <c r="M1152" t="e">
        <f>NA()</f>
        <v>#N/A</v>
      </c>
      <c r="N1152" t="e">
        <f>NA()</f>
        <v>#N/A</v>
      </c>
      <c r="O1152">
        <f t="shared" si="40"/>
        <v>0.1</v>
      </c>
    </row>
    <row r="1153" spans="1:15" x14ac:dyDescent="0.25">
      <c r="A1153" s="1">
        <v>44327</v>
      </c>
      <c r="B1153" t="e">
        <f>NA()</f>
        <v>#N/A</v>
      </c>
      <c r="C1153" t="e">
        <f>NA()</f>
        <v>#N/A</v>
      </c>
      <c r="D1153" t="e">
        <f>NA()</f>
        <v>#N/A</v>
      </c>
      <c r="E1153" t="e">
        <f>NA()</f>
        <v>#N/A</v>
      </c>
      <c r="F1153" t="e">
        <f>NA()</f>
        <v>#N/A</v>
      </c>
      <c r="G1153" t="e">
        <f>NA()</f>
        <v>#N/A</v>
      </c>
      <c r="H1153" t="e">
        <f>NA()</f>
        <v>#N/A</v>
      </c>
      <c r="I1153" t="e">
        <f>NA()</f>
        <v>#N/A</v>
      </c>
      <c r="J1153" t="e">
        <f>NA()</f>
        <v>#N/A</v>
      </c>
      <c r="K1153" t="e">
        <f>NA()</f>
        <v>#N/A</v>
      </c>
      <c r="L1153" t="e">
        <f>NA()</f>
        <v>#N/A</v>
      </c>
      <c r="M1153" t="e">
        <f>NA()</f>
        <v>#N/A</v>
      </c>
      <c r="N1153" t="e">
        <f>NA()</f>
        <v>#N/A</v>
      </c>
      <c r="O1153">
        <f t="shared" si="40"/>
        <v>0.1</v>
      </c>
    </row>
    <row r="1154" spans="1:15" x14ac:dyDescent="0.25">
      <c r="A1154" s="1">
        <v>44326</v>
      </c>
      <c r="B1154" t="e">
        <f>NA()</f>
        <v>#N/A</v>
      </c>
      <c r="C1154" t="e">
        <f>NA()</f>
        <v>#N/A</v>
      </c>
      <c r="D1154" t="e">
        <f>NA()</f>
        <v>#N/A</v>
      </c>
      <c r="E1154" t="e">
        <f>NA()</f>
        <v>#N/A</v>
      </c>
      <c r="F1154" t="e">
        <f>NA()</f>
        <v>#N/A</v>
      </c>
      <c r="G1154" t="e">
        <f>NA()</f>
        <v>#N/A</v>
      </c>
      <c r="H1154" t="e">
        <f>NA()</f>
        <v>#N/A</v>
      </c>
      <c r="I1154" t="e">
        <f>NA()</f>
        <v>#N/A</v>
      </c>
      <c r="J1154" t="e">
        <f>NA()</f>
        <v>#N/A</v>
      </c>
      <c r="K1154" t="e">
        <f>NA()</f>
        <v>#N/A</v>
      </c>
      <c r="L1154" t="e">
        <f>NA()</f>
        <v>#N/A</v>
      </c>
      <c r="M1154" t="e">
        <f>NA()</f>
        <v>#N/A</v>
      </c>
      <c r="N1154" t="e">
        <f>NA()</f>
        <v>#N/A</v>
      </c>
      <c r="O1154">
        <f t="shared" si="40"/>
        <v>0.1</v>
      </c>
    </row>
    <row r="1155" spans="1:15" x14ac:dyDescent="0.25">
      <c r="A1155" s="1">
        <v>44323</v>
      </c>
      <c r="B1155">
        <f>-0.8</f>
        <v>-0.8</v>
      </c>
      <c r="C1155">
        <f>0</f>
        <v>0</v>
      </c>
      <c r="D1155" t="e">
        <f>NA()</f>
        <v>#N/A</v>
      </c>
      <c r="E1155" t="e">
        <f>NA()</f>
        <v>#N/A</v>
      </c>
      <c r="F1155" t="e">
        <f>NA()</f>
        <v>#N/A</v>
      </c>
      <c r="G1155" t="e">
        <f>NA()</f>
        <v>#N/A</v>
      </c>
      <c r="H1155" t="e">
        <f>NA()</f>
        <v>#N/A</v>
      </c>
      <c r="I1155" t="e">
        <f>NA()</f>
        <v>#N/A</v>
      </c>
      <c r="J1155" t="e">
        <f>NA()</f>
        <v>#N/A</v>
      </c>
      <c r="K1155" t="e">
        <f>NA()</f>
        <v>#N/A</v>
      </c>
      <c r="L1155" t="e">
        <f>NA()</f>
        <v>#N/A</v>
      </c>
      <c r="M1155" t="e">
        <f>NA()</f>
        <v>#N/A</v>
      </c>
      <c r="N1155" t="e">
        <f>NA()</f>
        <v>#N/A</v>
      </c>
      <c r="O1155">
        <f t="shared" si="40"/>
        <v>0.1</v>
      </c>
    </row>
    <row r="1156" spans="1:15" x14ac:dyDescent="0.25">
      <c r="A1156" s="1">
        <v>44322</v>
      </c>
      <c r="B1156" t="e">
        <f>NA()</f>
        <v>#N/A</v>
      </c>
      <c r="C1156" t="e">
        <f>NA()</f>
        <v>#N/A</v>
      </c>
      <c r="D1156" t="e">
        <f>NA()</f>
        <v>#N/A</v>
      </c>
      <c r="E1156" t="e">
        <f>NA()</f>
        <v>#N/A</v>
      </c>
      <c r="F1156" t="e">
        <f>NA()</f>
        <v>#N/A</v>
      </c>
      <c r="G1156" t="e">
        <f>NA()</f>
        <v>#N/A</v>
      </c>
      <c r="H1156" t="e">
        <f>NA()</f>
        <v>#N/A</v>
      </c>
      <c r="I1156" t="e">
        <f>NA()</f>
        <v>#N/A</v>
      </c>
      <c r="J1156" t="e">
        <f>NA()</f>
        <v>#N/A</v>
      </c>
      <c r="K1156" t="e">
        <f>NA()</f>
        <v>#N/A</v>
      </c>
      <c r="L1156" t="e">
        <f>NA()</f>
        <v>#N/A</v>
      </c>
      <c r="M1156" t="e">
        <f>NA()</f>
        <v>#N/A</v>
      </c>
      <c r="N1156" t="e">
        <f>NA()</f>
        <v>#N/A</v>
      </c>
      <c r="O1156">
        <f t="shared" si="40"/>
        <v>0.1</v>
      </c>
    </row>
    <row r="1157" spans="1:15" x14ac:dyDescent="0.25">
      <c r="A1157" s="1">
        <v>44321</v>
      </c>
      <c r="B1157" t="e">
        <f>NA()</f>
        <v>#N/A</v>
      </c>
      <c r="C1157" t="e">
        <f>NA()</f>
        <v>#N/A</v>
      </c>
      <c r="D1157" t="e">
        <f>NA()</f>
        <v>#N/A</v>
      </c>
      <c r="E1157" t="e">
        <f>NA()</f>
        <v>#N/A</v>
      </c>
      <c r="F1157" t="e">
        <f>NA()</f>
        <v>#N/A</v>
      </c>
      <c r="G1157" t="e">
        <f>NA()</f>
        <v>#N/A</v>
      </c>
      <c r="H1157" t="e">
        <f>NA()</f>
        <v>#N/A</v>
      </c>
      <c r="I1157" t="e">
        <f>NA()</f>
        <v>#N/A</v>
      </c>
      <c r="J1157" t="e">
        <f>NA()</f>
        <v>#N/A</v>
      </c>
      <c r="K1157" t="e">
        <f>NA()</f>
        <v>#N/A</v>
      </c>
      <c r="L1157" t="e">
        <f>NA()</f>
        <v>#N/A</v>
      </c>
      <c r="M1157" t="e">
        <f>NA()</f>
        <v>#N/A</v>
      </c>
      <c r="N1157" t="e">
        <f>NA()</f>
        <v>#N/A</v>
      </c>
      <c r="O1157">
        <f t="shared" si="40"/>
        <v>0.1</v>
      </c>
    </row>
    <row r="1158" spans="1:15" x14ac:dyDescent="0.25">
      <c r="A1158" s="1">
        <v>44320</v>
      </c>
      <c r="B1158" t="e">
        <f>NA()</f>
        <v>#N/A</v>
      </c>
      <c r="C1158" t="e">
        <f>NA()</f>
        <v>#N/A</v>
      </c>
      <c r="D1158" t="e">
        <f>NA()</f>
        <v>#N/A</v>
      </c>
      <c r="E1158" t="e">
        <f>NA()</f>
        <v>#N/A</v>
      </c>
      <c r="F1158" t="e">
        <f>NA()</f>
        <v>#N/A</v>
      </c>
      <c r="G1158" t="e">
        <f>NA()</f>
        <v>#N/A</v>
      </c>
      <c r="H1158" t="e">
        <f>NA()</f>
        <v>#N/A</v>
      </c>
      <c r="I1158" t="e">
        <f>NA()</f>
        <v>#N/A</v>
      </c>
      <c r="J1158" t="e">
        <f>NA()</f>
        <v>#N/A</v>
      </c>
      <c r="K1158" t="e">
        <f>NA()</f>
        <v>#N/A</v>
      </c>
      <c r="L1158" t="e">
        <f>NA()</f>
        <v>#N/A</v>
      </c>
      <c r="M1158" t="e">
        <f>NA()</f>
        <v>#N/A</v>
      </c>
      <c r="N1158" t="e">
        <f>NA()</f>
        <v>#N/A</v>
      </c>
      <c r="O1158">
        <f t="shared" si="40"/>
        <v>0.1</v>
      </c>
    </row>
    <row r="1159" spans="1:15" x14ac:dyDescent="0.25">
      <c r="A1159" s="1">
        <v>44319</v>
      </c>
      <c r="B1159" t="e">
        <f>NA()</f>
        <v>#N/A</v>
      </c>
      <c r="C1159" t="e">
        <f>NA()</f>
        <v>#N/A</v>
      </c>
      <c r="D1159" t="e">
        <f>NA()</f>
        <v>#N/A</v>
      </c>
      <c r="E1159" t="e">
        <f>NA()</f>
        <v>#N/A</v>
      </c>
      <c r="F1159" t="e">
        <f>NA()</f>
        <v>#N/A</v>
      </c>
      <c r="G1159" t="e">
        <f>NA()</f>
        <v>#N/A</v>
      </c>
      <c r="H1159" t="e">
        <f>NA()</f>
        <v>#N/A</v>
      </c>
      <c r="I1159" t="e">
        <f>NA()</f>
        <v>#N/A</v>
      </c>
      <c r="J1159" t="e">
        <f>NA()</f>
        <v>#N/A</v>
      </c>
      <c r="K1159" t="e">
        <f>NA()</f>
        <v>#N/A</v>
      </c>
      <c r="L1159" t="e">
        <f>NA()</f>
        <v>#N/A</v>
      </c>
      <c r="M1159" t="e">
        <f>NA()</f>
        <v>#N/A</v>
      </c>
      <c r="N1159" t="e">
        <f>NA()</f>
        <v>#N/A</v>
      </c>
      <c r="O1159">
        <f t="shared" si="40"/>
        <v>0.1</v>
      </c>
    </row>
    <row r="1160" spans="1:15" x14ac:dyDescent="0.25">
      <c r="A1160" s="1">
        <v>44316</v>
      </c>
      <c r="B1160">
        <f>-0.8</f>
        <v>-0.8</v>
      </c>
      <c r="C1160">
        <f>0</f>
        <v>0</v>
      </c>
      <c r="D1160">
        <f>0.6</f>
        <v>0.6</v>
      </c>
      <c r="E1160">
        <f>-3.3</f>
        <v>-3.3</v>
      </c>
      <c r="F1160">
        <f>9356</f>
        <v>9356</v>
      </c>
      <c r="G1160">
        <f>61.6</f>
        <v>61.6</v>
      </c>
      <c r="H1160">
        <f>29.9</f>
        <v>29.9</v>
      </c>
      <c r="I1160">
        <f>267.1</f>
        <v>267.10000000000002</v>
      </c>
      <c r="J1160">
        <f>4.2</f>
        <v>4.2</v>
      </c>
      <c r="K1160">
        <f>60.8</f>
        <v>60.8</v>
      </c>
      <c r="L1160">
        <f>0.1</f>
        <v>0.1</v>
      </c>
      <c r="M1160" t="e">
        <f>NA()</f>
        <v>#N/A</v>
      </c>
      <c r="N1160">
        <f>6.1</f>
        <v>6.1</v>
      </c>
      <c r="O1160">
        <f t="shared" si="40"/>
        <v>0.1</v>
      </c>
    </row>
    <row r="1161" spans="1:15" x14ac:dyDescent="0.25">
      <c r="A1161" s="1">
        <v>44315</v>
      </c>
      <c r="B1161" t="e">
        <f>NA()</f>
        <v>#N/A</v>
      </c>
      <c r="C1161" t="e">
        <f>NA()</f>
        <v>#N/A</v>
      </c>
      <c r="D1161" t="e">
        <f>NA()</f>
        <v>#N/A</v>
      </c>
      <c r="E1161" t="e">
        <f>NA()</f>
        <v>#N/A</v>
      </c>
      <c r="F1161" t="e">
        <f>NA()</f>
        <v>#N/A</v>
      </c>
      <c r="G1161" t="e">
        <f>NA()</f>
        <v>#N/A</v>
      </c>
      <c r="H1161" t="e">
        <f>NA()</f>
        <v>#N/A</v>
      </c>
      <c r="I1161" t="e">
        <f>NA()</f>
        <v>#N/A</v>
      </c>
      <c r="J1161" t="e">
        <f>NA()</f>
        <v>#N/A</v>
      </c>
      <c r="K1161" t="e">
        <f>NA()</f>
        <v>#N/A</v>
      </c>
      <c r="L1161" t="e">
        <f>NA()</f>
        <v>#N/A</v>
      </c>
      <c r="M1161" t="e">
        <f>NA()</f>
        <v>#N/A</v>
      </c>
      <c r="N1161" t="e">
        <f>NA()</f>
        <v>#N/A</v>
      </c>
      <c r="O1161">
        <f t="shared" si="40"/>
        <v>0.1</v>
      </c>
    </row>
    <row r="1162" spans="1:15" x14ac:dyDescent="0.25">
      <c r="A1162" s="1">
        <v>44314</v>
      </c>
      <c r="B1162" t="e">
        <f>NA()</f>
        <v>#N/A</v>
      </c>
      <c r="C1162" t="e">
        <f>NA()</f>
        <v>#N/A</v>
      </c>
      <c r="D1162" t="e">
        <f>NA()</f>
        <v>#N/A</v>
      </c>
      <c r="E1162" t="e">
        <f>NA()</f>
        <v>#N/A</v>
      </c>
      <c r="F1162" t="e">
        <f>NA()</f>
        <v>#N/A</v>
      </c>
      <c r="G1162" t="e">
        <f>NA()</f>
        <v>#N/A</v>
      </c>
      <c r="H1162" t="e">
        <f>NA()</f>
        <v>#N/A</v>
      </c>
      <c r="I1162" t="e">
        <f>NA()</f>
        <v>#N/A</v>
      </c>
      <c r="J1162" t="e">
        <f>NA()</f>
        <v>#N/A</v>
      </c>
      <c r="K1162" t="e">
        <f>NA()</f>
        <v>#N/A</v>
      </c>
      <c r="L1162" t="e">
        <f>NA()</f>
        <v>#N/A</v>
      </c>
      <c r="M1162" t="e">
        <f>NA()</f>
        <v>#N/A</v>
      </c>
      <c r="N1162" t="e">
        <f>NA()</f>
        <v>#N/A</v>
      </c>
      <c r="O1162">
        <f t="shared" si="40"/>
        <v>0.1</v>
      </c>
    </row>
    <row r="1163" spans="1:15" x14ac:dyDescent="0.25">
      <c r="A1163" s="1">
        <v>44313</v>
      </c>
      <c r="B1163" t="e">
        <f>NA()</f>
        <v>#N/A</v>
      </c>
      <c r="C1163" t="e">
        <f>NA()</f>
        <v>#N/A</v>
      </c>
      <c r="D1163" t="e">
        <f>NA()</f>
        <v>#N/A</v>
      </c>
      <c r="E1163" t="e">
        <f>NA()</f>
        <v>#N/A</v>
      </c>
      <c r="F1163" t="e">
        <f>NA()</f>
        <v>#N/A</v>
      </c>
      <c r="G1163" t="e">
        <f>NA()</f>
        <v>#N/A</v>
      </c>
      <c r="H1163" t="e">
        <f>NA()</f>
        <v>#N/A</v>
      </c>
      <c r="I1163" t="e">
        <f>NA()</f>
        <v>#N/A</v>
      </c>
      <c r="J1163" t="e">
        <f>NA()</f>
        <v>#N/A</v>
      </c>
      <c r="K1163" t="e">
        <f>NA()</f>
        <v>#N/A</v>
      </c>
      <c r="L1163" t="e">
        <f>NA()</f>
        <v>#N/A</v>
      </c>
      <c r="M1163" t="e">
        <f>NA()</f>
        <v>#N/A</v>
      </c>
      <c r="N1163" t="e">
        <f>NA()</f>
        <v>#N/A</v>
      </c>
      <c r="O1163">
        <f t="shared" si="40"/>
        <v>0.1</v>
      </c>
    </row>
    <row r="1164" spans="1:15" x14ac:dyDescent="0.25">
      <c r="A1164" s="1">
        <v>44312</v>
      </c>
      <c r="B1164" t="e">
        <f>NA()</f>
        <v>#N/A</v>
      </c>
      <c r="C1164" t="e">
        <f>NA()</f>
        <v>#N/A</v>
      </c>
      <c r="D1164" t="e">
        <f>NA()</f>
        <v>#N/A</v>
      </c>
      <c r="E1164" t="e">
        <f>NA()</f>
        <v>#N/A</v>
      </c>
      <c r="F1164" t="e">
        <f>NA()</f>
        <v>#N/A</v>
      </c>
      <c r="G1164" t="e">
        <f>NA()</f>
        <v>#N/A</v>
      </c>
      <c r="H1164" t="e">
        <f>NA()</f>
        <v>#N/A</v>
      </c>
      <c r="I1164" t="e">
        <f>NA()</f>
        <v>#N/A</v>
      </c>
      <c r="J1164" t="e">
        <f>NA()</f>
        <v>#N/A</v>
      </c>
      <c r="K1164" t="e">
        <f>NA()</f>
        <v>#N/A</v>
      </c>
      <c r="L1164" t="e">
        <f>NA()</f>
        <v>#N/A</v>
      </c>
      <c r="M1164" t="e">
        <f>NA()</f>
        <v>#N/A</v>
      </c>
      <c r="N1164" t="e">
        <f>NA()</f>
        <v>#N/A</v>
      </c>
      <c r="O1164">
        <f t="shared" si="40"/>
        <v>0.1</v>
      </c>
    </row>
    <row r="1165" spans="1:15" x14ac:dyDescent="0.25">
      <c r="A1165" s="1">
        <v>44309</v>
      </c>
      <c r="B1165">
        <f>-0.7</f>
        <v>-0.7</v>
      </c>
      <c r="C1165">
        <f>0</f>
        <v>0</v>
      </c>
      <c r="D1165" t="e">
        <f>NA()</f>
        <v>#N/A</v>
      </c>
      <c r="E1165" t="e">
        <f>NA()</f>
        <v>#N/A</v>
      </c>
      <c r="F1165" t="e">
        <f>NA()</f>
        <v>#N/A</v>
      </c>
      <c r="G1165" t="e">
        <f>NA()</f>
        <v>#N/A</v>
      </c>
      <c r="H1165" t="e">
        <f>NA()</f>
        <v>#N/A</v>
      </c>
      <c r="I1165" t="e">
        <f>NA()</f>
        <v>#N/A</v>
      </c>
      <c r="J1165" t="e">
        <f>NA()</f>
        <v>#N/A</v>
      </c>
      <c r="K1165" t="e">
        <f>NA()</f>
        <v>#N/A</v>
      </c>
      <c r="L1165" t="e">
        <f>NA()</f>
        <v>#N/A</v>
      </c>
      <c r="M1165" t="e">
        <f>NA()</f>
        <v>#N/A</v>
      </c>
      <c r="N1165" t="e">
        <f>NA()</f>
        <v>#N/A</v>
      </c>
      <c r="O1165">
        <f t="shared" si="40"/>
        <v>0.1</v>
      </c>
    </row>
    <row r="1166" spans="1:15" x14ac:dyDescent="0.25">
      <c r="A1166" s="1">
        <v>44308</v>
      </c>
      <c r="B1166" t="e">
        <f>NA()</f>
        <v>#N/A</v>
      </c>
      <c r="C1166" t="e">
        <f>NA()</f>
        <v>#N/A</v>
      </c>
      <c r="D1166" t="e">
        <f>NA()</f>
        <v>#N/A</v>
      </c>
      <c r="E1166" t="e">
        <f>NA()</f>
        <v>#N/A</v>
      </c>
      <c r="F1166" t="e">
        <f>NA()</f>
        <v>#N/A</v>
      </c>
      <c r="G1166" t="e">
        <f>NA()</f>
        <v>#N/A</v>
      </c>
      <c r="H1166" t="e">
        <f>NA()</f>
        <v>#N/A</v>
      </c>
      <c r="I1166" t="e">
        <f>NA()</f>
        <v>#N/A</v>
      </c>
      <c r="J1166" t="e">
        <f>NA()</f>
        <v>#N/A</v>
      </c>
      <c r="K1166" t="e">
        <f>NA()</f>
        <v>#N/A</v>
      </c>
      <c r="L1166" t="e">
        <f>NA()</f>
        <v>#N/A</v>
      </c>
      <c r="M1166" t="e">
        <f>NA()</f>
        <v>#N/A</v>
      </c>
      <c r="N1166" t="e">
        <f>NA()</f>
        <v>#N/A</v>
      </c>
      <c r="O1166">
        <f t="shared" si="40"/>
        <v>0.1</v>
      </c>
    </row>
    <row r="1167" spans="1:15" x14ac:dyDescent="0.25">
      <c r="A1167" s="1">
        <v>44307</v>
      </c>
      <c r="B1167" t="e">
        <f>NA()</f>
        <v>#N/A</v>
      </c>
      <c r="C1167" t="e">
        <f>NA()</f>
        <v>#N/A</v>
      </c>
      <c r="D1167" t="e">
        <f>NA()</f>
        <v>#N/A</v>
      </c>
      <c r="E1167" t="e">
        <f>NA()</f>
        <v>#N/A</v>
      </c>
      <c r="F1167" t="e">
        <f>NA()</f>
        <v>#N/A</v>
      </c>
      <c r="G1167" t="e">
        <f>NA()</f>
        <v>#N/A</v>
      </c>
      <c r="H1167" t="e">
        <f>NA()</f>
        <v>#N/A</v>
      </c>
      <c r="I1167" t="e">
        <f>NA()</f>
        <v>#N/A</v>
      </c>
      <c r="J1167" t="e">
        <f>NA()</f>
        <v>#N/A</v>
      </c>
      <c r="K1167" t="e">
        <f>NA()</f>
        <v>#N/A</v>
      </c>
      <c r="L1167" t="e">
        <f>NA()</f>
        <v>#N/A</v>
      </c>
      <c r="M1167" t="e">
        <f>NA()</f>
        <v>#N/A</v>
      </c>
      <c r="N1167" t="e">
        <f>NA()</f>
        <v>#N/A</v>
      </c>
      <c r="O1167">
        <f t="shared" si="40"/>
        <v>0.1</v>
      </c>
    </row>
    <row r="1168" spans="1:15" x14ac:dyDescent="0.25">
      <c r="A1168" s="1">
        <v>44306</v>
      </c>
      <c r="B1168" t="e">
        <f>NA()</f>
        <v>#N/A</v>
      </c>
      <c r="C1168" t="e">
        <f>NA()</f>
        <v>#N/A</v>
      </c>
      <c r="D1168" t="e">
        <f>NA()</f>
        <v>#N/A</v>
      </c>
      <c r="E1168" t="e">
        <f>NA()</f>
        <v>#N/A</v>
      </c>
      <c r="F1168" t="e">
        <f>NA()</f>
        <v>#N/A</v>
      </c>
      <c r="G1168" t="e">
        <f>NA()</f>
        <v>#N/A</v>
      </c>
      <c r="H1168" t="e">
        <f>NA()</f>
        <v>#N/A</v>
      </c>
      <c r="I1168" t="e">
        <f>NA()</f>
        <v>#N/A</v>
      </c>
      <c r="J1168" t="e">
        <f>NA()</f>
        <v>#N/A</v>
      </c>
      <c r="K1168" t="e">
        <f>NA()</f>
        <v>#N/A</v>
      </c>
      <c r="L1168" t="e">
        <f>NA()</f>
        <v>#N/A</v>
      </c>
      <c r="M1168" t="e">
        <f>NA()</f>
        <v>#N/A</v>
      </c>
      <c r="N1168" t="e">
        <f>NA()</f>
        <v>#N/A</v>
      </c>
      <c r="O1168">
        <f t="shared" si="40"/>
        <v>0.1</v>
      </c>
    </row>
    <row r="1169" spans="1:15" x14ac:dyDescent="0.25">
      <c r="A1169" s="1">
        <v>44305</v>
      </c>
      <c r="B1169" t="e">
        <f>NA()</f>
        <v>#N/A</v>
      </c>
      <c r="C1169" t="e">
        <f>NA()</f>
        <v>#N/A</v>
      </c>
      <c r="D1169" t="e">
        <f>NA()</f>
        <v>#N/A</v>
      </c>
      <c r="E1169" t="e">
        <f>NA()</f>
        <v>#N/A</v>
      </c>
      <c r="F1169" t="e">
        <f>NA()</f>
        <v>#N/A</v>
      </c>
      <c r="G1169" t="e">
        <f>NA()</f>
        <v>#N/A</v>
      </c>
      <c r="H1169" t="e">
        <f>NA()</f>
        <v>#N/A</v>
      </c>
      <c r="I1169" t="e">
        <f>NA()</f>
        <v>#N/A</v>
      </c>
      <c r="J1169" t="e">
        <f>NA()</f>
        <v>#N/A</v>
      </c>
      <c r="K1169" t="e">
        <f>NA()</f>
        <v>#N/A</v>
      </c>
      <c r="L1169" t="e">
        <f>NA()</f>
        <v>#N/A</v>
      </c>
      <c r="M1169" t="e">
        <f>NA()</f>
        <v>#N/A</v>
      </c>
      <c r="N1169" t="e">
        <f>NA()</f>
        <v>#N/A</v>
      </c>
      <c r="O1169">
        <f t="shared" si="40"/>
        <v>0.1</v>
      </c>
    </row>
    <row r="1170" spans="1:15" x14ac:dyDescent="0.25">
      <c r="A1170" s="1">
        <v>44302</v>
      </c>
      <c r="B1170">
        <f>-0.8</f>
        <v>-0.8</v>
      </c>
      <c r="C1170">
        <f>0</f>
        <v>0</v>
      </c>
      <c r="D1170" t="e">
        <f>NA()</f>
        <v>#N/A</v>
      </c>
      <c r="E1170" t="e">
        <f>NA()</f>
        <v>#N/A</v>
      </c>
      <c r="F1170" t="e">
        <f>NA()</f>
        <v>#N/A</v>
      </c>
      <c r="G1170" t="e">
        <f>NA()</f>
        <v>#N/A</v>
      </c>
      <c r="H1170" t="e">
        <f>NA()</f>
        <v>#N/A</v>
      </c>
      <c r="I1170" t="e">
        <f>NA()</f>
        <v>#N/A</v>
      </c>
      <c r="J1170" t="e">
        <f>NA()</f>
        <v>#N/A</v>
      </c>
      <c r="K1170" t="e">
        <f>NA()</f>
        <v>#N/A</v>
      </c>
      <c r="L1170" t="e">
        <f>NA()</f>
        <v>#N/A</v>
      </c>
      <c r="M1170" t="e">
        <f>NA()</f>
        <v>#N/A</v>
      </c>
      <c r="N1170" t="e">
        <f>NA()</f>
        <v>#N/A</v>
      </c>
      <c r="O1170">
        <f t="shared" si="40"/>
        <v>0.1</v>
      </c>
    </row>
    <row r="1171" spans="1:15" x14ac:dyDescent="0.25">
      <c r="A1171" s="1">
        <v>44301</v>
      </c>
      <c r="B1171" t="e">
        <f>NA()</f>
        <v>#N/A</v>
      </c>
      <c r="C1171" t="e">
        <f>NA()</f>
        <v>#N/A</v>
      </c>
      <c r="D1171" t="e">
        <f>NA()</f>
        <v>#N/A</v>
      </c>
      <c r="E1171" t="e">
        <f>NA()</f>
        <v>#N/A</v>
      </c>
      <c r="F1171" t="e">
        <f>NA()</f>
        <v>#N/A</v>
      </c>
      <c r="G1171" t="e">
        <f>NA()</f>
        <v>#N/A</v>
      </c>
      <c r="H1171" t="e">
        <f>NA()</f>
        <v>#N/A</v>
      </c>
      <c r="I1171" t="e">
        <f>NA()</f>
        <v>#N/A</v>
      </c>
      <c r="J1171" t="e">
        <f>NA()</f>
        <v>#N/A</v>
      </c>
      <c r="K1171" t="e">
        <f>NA()</f>
        <v>#N/A</v>
      </c>
      <c r="L1171" t="e">
        <f>NA()</f>
        <v>#N/A</v>
      </c>
      <c r="M1171" t="e">
        <f>NA()</f>
        <v>#N/A</v>
      </c>
      <c r="N1171" t="e">
        <f>NA()</f>
        <v>#N/A</v>
      </c>
      <c r="O1171">
        <f t="shared" si="40"/>
        <v>0.1</v>
      </c>
    </row>
    <row r="1172" spans="1:15" x14ac:dyDescent="0.25">
      <c r="A1172" s="1">
        <v>44300</v>
      </c>
      <c r="B1172" t="e">
        <f>NA()</f>
        <v>#N/A</v>
      </c>
      <c r="C1172" t="e">
        <f>NA()</f>
        <v>#N/A</v>
      </c>
      <c r="D1172" t="e">
        <f>NA()</f>
        <v>#N/A</v>
      </c>
      <c r="E1172" t="e">
        <f>NA()</f>
        <v>#N/A</v>
      </c>
      <c r="F1172" t="e">
        <f>NA()</f>
        <v>#N/A</v>
      </c>
      <c r="G1172" t="e">
        <f>NA()</f>
        <v>#N/A</v>
      </c>
      <c r="H1172" t="e">
        <f>NA()</f>
        <v>#N/A</v>
      </c>
      <c r="I1172" t="e">
        <f>NA()</f>
        <v>#N/A</v>
      </c>
      <c r="J1172" t="e">
        <f>NA()</f>
        <v>#N/A</v>
      </c>
      <c r="K1172" t="e">
        <f>NA()</f>
        <v>#N/A</v>
      </c>
      <c r="L1172" t="e">
        <f>NA()</f>
        <v>#N/A</v>
      </c>
      <c r="M1172" t="e">
        <f>NA()</f>
        <v>#N/A</v>
      </c>
      <c r="N1172" t="e">
        <f>NA()</f>
        <v>#N/A</v>
      </c>
      <c r="O1172">
        <f t="shared" ref="O1172:O1204" si="41">0.1</f>
        <v>0.1</v>
      </c>
    </row>
    <row r="1173" spans="1:15" x14ac:dyDescent="0.25">
      <c r="A1173" s="1">
        <v>44299</v>
      </c>
      <c r="B1173" t="e">
        <f>NA()</f>
        <v>#N/A</v>
      </c>
      <c r="C1173" t="e">
        <f>NA()</f>
        <v>#N/A</v>
      </c>
      <c r="D1173" t="e">
        <f>NA()</f>
        <v>#N/A</v>
      </c>
      <c r="E1173" t="e">
        <f>NA()</f>
        <v>#N/A</v>
      </c>
      <c r="F1173" t="e">
        <f>NA()</f>
        <v>#N/A</v>
      </c>
      <c r="G1173" t="e">
        <f>NA()</f>
        <v>#N/A</v>
      </c>
      <c r="H1173" t="e">
        <f>NA()</f>
        <v>#N/A</v>
      </c>
      <c r="I1173" t="e">
        <f>NA()</f>
        <v>#N/A</v>
      </c>
      <c r="J1173" t="e">
        <f>NA()</f>
        <v>#N/A</v>
      </c>
      <c r="K1173" t="e">
        <f>NA()</f>
        <v>#N/A</v>
      </c>
      <c r="L1173" t="e">
        <f>NA()</f>
        <v>#N/A</v>
      </c>
      <c r="M1173" t="e">
        <f>NA()</f>
        <v>#N/A</v>
      </c>
      <c r="N1173" t="e">
        <f>NA()</f>
        <v>#N/A</v>
      </c>
      <c r="O1173">
        <f t="shared" si="41"/>
        <v>0.1</v>
      </c>
    </row>
    <row r="1174" spans="1:15" x14ac:dyDescent="0.25">
      <c r="A1174" s="1">
        <v>44298</v>
      </c>
      <c r="B1174" t="e">
        <f>NA()</f>
        <v>#N/A</v>
      </c>
      <c r="C1174" t="e">
        <f>NA()</f>
        <v>#N/A</v>
      </c>
      <c r="D1174" t="e">
        <f>NA()</f>
        <v>#N/A</v>
      </c>
      <c r="E1174" t="e">
        <f>NA()</f>
        <v>#N/A</v>
      </c>
      <c r="F1174" t="e">
        <f>NA()</f>
        <v>#N/A</v>
      </c>
      <c r="G1174" t="e">
        <f>NA()</f>
        <v>#N/A</v>
      </c>
      <c r="H1174" t="e">
        <f>NA()</f>
        <v>#N/A</v>
      </c>
      <c r="I1174" t="e">
        <f>NA()</f>
        <v>#N/A</v>
      </c>
      <c r="J1174" t="e">
        <f>NA()</f>
        <v>#N/A</v>
      </c>
      <c r="K1174" t="e">
        <f>NA()</f>
        <v>#N/A</v>
      </c>
      <c r="L1174" t="e">
        <f>NA()</f>
        <v>#N/A</v>
      </c>
      <c r="M1174" t="e">
        <f>NA()</f>
        <v>#N/A</v>
      </c>
      <c r="N1174" t="e">
        <f>NA()</f>
        <v>#N/A</v>
      </c>
      <c r="O1174">
        <f t="shared" si="41"/>
        <v>0.1</v>
      </c>
    </row>
    <row r="1175" spans="1:15" x14ac:dyDescent="0.25">
      <c r="A1175" s="1">
        <v>44295</v>
      </c>
      <c r="B1175">
        <f>-0.8</f>
        <v>-0.8</v>
      </c>
      <c r="C1175">
        <f>0</f>
        <v>0</v>
      </c>
      <c r="D1175" t="e">
        <f>NA()</f>
        <v>#N/A</v>
      </c>
      <c r="E1175" t="e">
        <f>NA()</f>
        <v>#N/A</v>
      </c>
      <c r="F1175" t="e">
        <f>NA()</f>
        <v>#N/A</v>
      </c>
      <c r="G1175" t="e">
        <f>NA()</f>
        <v>#N/A</v>
      </c>
      <c r="H1175" t="e">
        <f>NA()</f>
        <v>#N/A</v>
      </c>
      <c r="I1175" t="e">
        <f>NA()</f>
        <v>#N/A</v>
      </c>
      <c r="J1175" t="e">
        <f>NA()</f>
        <v>#N/A</v>
      </c>
      <c r="K1175" t="e">
        <f>NA()</f>
        <v>#N/A</v>
      </c>
      <c r="L1175" t="e">
        <f>NA()</f>
        <v>#N/A</v>
      </c>
      <c r="M1175" t="e">
        <f>NA()</f>
        <v>#N/A</v>
      </c>
      <c r="N1175" t="e">
        <f>NA()</f>
        <v>#N/A</v>
      </c>
      <c r="O1175">
        <f t="shared" si="41"/>
        <v>0.1</v>
      </c>
    </row>
    <row r="1176" spans="1:15" x14ac:dyDescent="0.25">
      <c r="A1176" s="1">
        <v>44294</v>
      </c>
      <c r="B1176" t="e">
        <f>NA()</f>
        <v>#N/A</v>
      </c>
      <c r="C1176" t="e">
        <f>NA()</f>
        <v>#N/A</v>
      </c>
      <c r="D1176" t="e">
        <f>NA()</f>
        <v>#N/A</v>
      </c>
      <c r="E1176" t="e">
        <f>NA()</f>
        <v>#N/A</v>
      </c>
      <c r="F1176" t="e">
        <f>NA()</f>
        <v>#N/A</v>
      </c>
      <c r="G1176" t="e">
        <f>NA()</f>
        <v>#N/A</v>
      </c>
      <c r="H1176" t="e">
        <f>NA()</f>
        <v>#N/A</v>
      </c>
      <c r="I1176" t="e">
        <f>NA()</f>
        <v>#N/A</v>
      </c>
      <c r="J1176" t="e">
        <f>NA()</f>
        <v>#N/A</v>
      </c>
      <c r="K1176" t="e">
        <f>NA()</f>
        <v>#N/A</v>
      </c>
      <c r="L1176" t="e">
        <f>NA()</f>
        <v>#N/A</v>
      </c>
      <c r="M1176" t="e">
        <f>NA()</f>
        <v>#N/A</v>
      </c>
      <c r="N1176" t="e">
        <f>NA()</f>
        <v>#N/A</v>
      </c>
      <c r="O1176">
        <f t="shared" si="41"/>
        <v>0.1</v>
      </c>
    </row>
    <row r="1177" spans="1:15" x14ac:dyDescent="0.25">
      <c r="A1177" s="1">
        <v>44293</v>
      </c>
      <c r="B1177" t="e">
        <f>NA()</f>
        <v>#N/A</v>
      </c>
      <c r="C1177" t="e">
        <f>NA()</f>
        <v>#N/A</v>
      </c>
      <c r="D1177" t="e">
        <f>NA()</f>
        <v>#N/A</v>
      </c>
      <c r="E1177" t="e">
        <f>NA()</f>
        <v>#N/A</v>
      </c>
      <c r="F1177" t="e">
        <f>NA()</f>
        <v>#N/A</v>
      </c>
      <c r="G1177" t="e">
        <f>NA()</f>
        <v>#N/A</v>
      </c>
      <c r="H1177" t="e">
        <f>NA()</f>
        <v>#N/A</v>
      </c>
      <c r="I1177" t="e">
        <f>NA()</f>
        <v>#N/A</v>
      </c>
      <c r="J1177" t="e">
        <f>NA()</f>
        <v>#N/A</v>
      </c>
      <c r="K1177" t="e">
        <f>NA()</f>
        <v>#N/A</v>
      </c>
      <c r="L1177" t="e">
        <f>NA()</f>
        <v>#N/A</v>
      </c>
      <c r="M1177" t="e">
        <f>NA()</f>
        <v>#N/A</v>
      </c>
      <c r="N1177" t="e">
        <f>NA()</f>
        <v>#N/A</v>
      </c>
      <c r="O1177">
        <f t="shared" si="41"/>
        <v>0.1</v>
      </c>
    </row>
    <row r="1178" spans="1:15" x14ac:dyDescent="0.25">
      <c r="A1178" s="1">
        <v>44292</v>
      </c>
      <c r="B1178" t="e">
        <f>NA()</f>
        <v>#N/A</v>
      </c>
      <c r="C1178" t="e">
        <f>NA()</f>
        <v>#N/A</v>
      </c>
      <c r="D1178" t="e">
        <f>NA()</f>
        <v>#N/A</v>
      </c>
      <c r="E1178" t="e">
        <f>NA()</f>
        <v>#N/A</v>
      </c>
      <c r="F1178" t="e">
        <f>NA()</f>
        <v>#N/A</v>
      </c>
      <c r="G1178" t="e">
        <f>NA()</f>
        <v>#N/A</v>
      </c>
      <c r="H1178" t="e">
        <f>NA()</f>
        <v>#N/A</v>
      </c>
      <c r="I1178" t="e">
        <f>NA()</f>
        <v>#N/A</v>
      </c>
      <c r="J1178" t="e">
        <f>NA()</f>
        <v>#N/A</v>
      </c>
      <c r="K1178" t="e">
        <f>NA()</f>
        <v>#N/A</v>
      </c>
      <c r="L1178" t="e">
        <f>NA()</f>
        <v>#N/A</v>
      </c>
      <c r="M1178" t="e">
        <f>NA()</f>
        <v>#N/A</v>
      </c>
      <c r="N1178" t="e">
        <f>NA()</f>
        <v>#N/A</v>
      </c>
      <c r="O1178">
        <f t="shared" si="41"/>
        <v>0.1</v>
      </c>
    </row>
    <row r="1179" spans="1:15" x14ac:dyDescent="0.25">
      <c r="A1179" s="1">
        <v>44291</v>
      </c>
      <c r="B1179" t="e">
        <f>NA()</f>
        <v>#N/A</v>
      </c>
      <c r="C1179" t="e">
        <f>NA()</f>
        <v>#N/A</v>
      </c>
      <c r="D1179" t="e">
        <f>NA()</f>
        <v>#N/A</v>
      </c>
      <c r="E1179" t="e">
        <f>NA()</f>
        <v>#N/A</v>
      </c>
      <c r="F1179" t="e">
        <f>NA()</f>
        <v>#N/A</v>
      </c>
      <c r="G1179" t="e">
        <f>NA()</f>
        <v>#N/A</v>
      </c>
      <c r="H1179" t="e">
        <f>NA()</f>
        <v>#N/A</v>
      </c>
      <c r="I1179" t="e">
        <f>NA()</f>
        <v>#N/A</v>
      </c>
      <c r="J1179" t="e">
        <f>NA()</f>
        <v>#N/A</v>
      </c>
      <c r="K1179" t="e">
        <f>NA()</f>
        <v>#N/A</v>
      </c>
      <c r="L1179" t="e">
        <f>NA()</f>
        <v>#N/A</v>
      </c>
      <c r="M1179" t="e">
        <f>NA()</f>
        <v>#N/A</v>
      </c>
      <c r="N1179" t="e">
        <f>NA()</f>
        <v>#N/A</v>
      </c>
      <c r="O1179">
        <f t="shared" si="41"/>
        <v>0.1</v>
      </c>
    </row>
    <row r="1180" spans="1:15" x14ac:dyDescent="0.25">
      <c r="A1180" s="1">
        <v>44288</v>
      </c>
      <c r="B1180">
        <f>-0.7</f>
        <v>-0.7</v>
      </c>
      <c r="C1180">
        <f>0</f>
        <v>0</v>
      </c>
      <c r="D1180" t="e">
        <f>NA()</f>
        <v>#N/A</v>
      </c>
      <c r="E1180" t="e">
        <f>NA()</f>
        <v>#N/A</v>
      </c>
      <c r="F1180" t="e">
        <f>NA()</f>
        <v>#N/A</v>
      </c>
      <c r="G1180" t="e">
        <f>NA()</f>
        <v>#N/A</v>
      </c>
      <c r="H1180" t="e">
        <f>NA()</f>
        <v>#N/A</v>
      </c>
      <c r="I1180" t="e">
        <f>NA()</f>
        <v>#N/A</v>
      </c>
      <c r="J1180" t="e">
        <f>NA()</f>
        <v>#N/A</v>
      </c>
      <c r="K1180" t="e">
        <f>NA()</f>
        <v>#N/A</v>
      </c>
      <c r="L1180" t="e">
        <f>NA()</f>
        <v>#N/A</v>
      </c>
      <c r="M1180" t="e">
        <f>NA()</f>
        <v>#N/A</v>
      </c>
      <c r="N1180" t="e">
        <f>NA()</f>
        <v>#N/A</v>
      </c>
      <c r="O1180">
        <f t="shared" si="41"/>
        <v>0.1</v>
      </c>
    </row>
    <row r="1181" spans="1:15" x14ac:dyDescent="0.25">
      <c r="A1181" s="1">
        <v>44287</v>
      </c>
      <c r="B1181" t="e">
        <f>NA()</f>
        <v>#N/A</v>
      </c>
      <c r="C1181" t="e">
        <f>NA()</f>
        <v>#N/A</v>
      </c>
      <c r="D1181" t="e">
        <f>NA()</f>
        <v>#N/A</v>
      </c>
      <c r="E1181" t="e">
        <f>NA()</f>
        <v>#N/A</v>
      </c>
      <c r="F1181" t="e">
        <f>NA()</f>
        <v>#N/A</v>
      </c>
      <c r="G1181" t="e">
        <f>NA()</f>
        <v>#N/A</v>
      </c>
      <c r="H1181" t="e">
        <f>NA()</f>
        <v>#N/A</v>
      </c>
      <c r="I1181" t="e">
        <f>NA()</f>
        <v>#N/A</v>
      </c>
      <c r="J1181" t="e">
        <f>NA()</f>
        <v>#N/A</v>
      </c>
      <c r="K1181" t="e">
        <f>NA()</f>
        <v>#N/A</v>
      </c>
      <c r="L1181" t="e">
        <f>NA()</f>
        <v>#N/A</v>
      </c>
      <c r="M1181" t="e">
        <f>NA()</f>
        <v>#N/A</v>
      </c>
      <c r="N1181" t="e">
        <f>NA()</f>
        <v>#N/A</v>
      </c>
      <c r="O1181">
        <f t="shared" si="41"/>
        <v>0.1</v>
      </c>
    </row>
    <row r="1182" spans="1:15" x14ac:dyDescent="0.25">
      <c r="A1182" s="1">
        <v>44286</v>
      </c>
      <c r="B1182" t="e">
        <f>NA()</f>
        <v>#N/A</v>
      </c>
      <c r="C1182" t="e">
        <f>NA()</f>
        <v>#N/A</v>
      </c>
      <c r="D1182">
        <f>-0.1</f>
        <v>-0.1</v>
      </c>
      <c r="E1182">
        <f>1.8</f>
        <v>1.8</v>
      </c>
      <c r="F1182">
        <f>8470</f>
        <v>8470</v>
      </c>
      <c r="G1182">
        <f>61.5</f>
        <v>61.5</v>
      </c>
      <c r="H1182">
        <f>13.7</f>
        <v>13.7</v>
      </c>
      <c r="I1182">
        <f>264.9</f>
        <v>264.89999999999998</v>
      </c>
      <c r="J1182">
        <f>2.6</f>
        <v>2.6</v>
      </c>
      <c r="K1182">
        <f>63.8</f>
        <v>63.8</v>
      </c>
      <c r="L1182">
        <f>2.8</f>
        <v>2.8</v>
      </c>
      <c r="M1182">
        <f>5.7</f>
        <v>5.7</v>
      </c>
      <c r="N1182">
        <f>6.1</f>
        <v>6.1</v>
      </c>
      <c r="O1182">
        <f t="shared" si="41"/>
        <v>0.1</v>
      </c>
    </row>
    <row r="1183" spans="1:15" x14ac:dyDescent="0.25">
      <c r="A1183" s="1">
        <v>44285</v>
      </c>
      <c r="B1183" t="e">
        <f>NA()</f>
        <v>#N/A</v>
      </c>
      <c r="C1183" t="e">
        <f>NA()</f>
        <v>#N/A</v>
      </c>
      <c r="D1183" t="e">
        <f>NA()</f>
        <v>#N/A</v>
      </c>
      <c r="E1183" t="e">
        <f>NA()</f>
        <v>#N/A</v>
      </c>
      <c r="F1183" t="e">
        <f>NA()</f>
        <v>#N/A</v>
      </c>
      <c r="G1183" t="e">
        <f>NA()</f>
        <v>#N/A</v>
      </c>
      <c r="H1183" t="e">
        <f>NA()</f>
        <v>#N/A</v>
      </c>
      <c r="I1183" t="e">
        <f>NA()</f>
        <v>#N/A</v>
      </c>
      <c r="J1183" t="e">
        <f>NA()</f>
        <v>#N/A</v>
      </c>
      <c r="K1183" t="e">
        <f>NA()</f>
        <v>#N/A</v>
      </c>
      <c r="L1183" t="e">
        <f>NA()</f>
        <v>#N/A</v>
      </c>
      <c r="M1183" t="e">
        <f>NA()</f>
        <v>#N/A</v>
      </c>
      <c r="N1183" t="e">
        <f>NA()</f>
        <v>#N/A</v>
      </c>
      <c r="O1183">
        <f t="shared" si="41"/>
        <v>0.1</v>
      </c>
    </row>
    <row r="1184" spans="1:15" x14ac:dyDescent="0.25">
      <c r="A1184" s="1">
        <v>44284</v>
      </c>
      <c r="B1184" t="e">
        <f>NA()</f>
        <v>#N/A</v>
      </c>
      <c r="C1184" t="e">
        <f>NA()</f>
        <v>#N/A</v>
      </c>
      <c r="D1184" t="e">
        <f>NA()</f>
        <v>#N/A</v>
      </c>
      <c r="E1184" t="e">
        <f>NA()</f>
        <v>#N/A</v>
      </c>
      <c r="F1184" t="e">
        <f>NA()</f>
        <v>#N/A</v>
      </c>
      <c r="G1184" t="e">
        <f>NA()</f>
        <v>#N/A</v>
      </c>
      <c r="H1184" t="e">
        <f>NA()</f>
        <v>#N/A</v>
      </c>
      <c r="I1184" t="e">
        <f>NA()</f>
        <v>#N/A</v>
      </c>
      <c r="J1184" t="e">
        <f>NA()</f>
        <v>#N/A</v>
      </c>
      <c r="K1184" t="e">
        <f>NA()</f>
        <v>#N/A</v>
      </c>
      <c r="L1184" t="e">
        <f>NA()</f>
        <v>#N/A</v>
      </c>
      <c r="M1184" t="e">
        <f>NA()</f>
        <v>#N/A</v>
      </c>
      <c r="N1184" t="e">
        <f>NA()</f>
        <v>#N/A</v>
      </c>
      <c r="O1184">
        <f t="shared" si="41"/>
        <v>0.1</v>
      </c>
    </row>
    <row r="1185" spans="1:15" x14ac:dyDescent="0.25">
      <c r="A1185" s="1">
        <v>44281</v>
      </c>
      <c r="B1185">
        <f>-0.6</f>
        <v>-0.6</v>
      </c>
      <c r="C1185">
        <f>0</f>
        <v>0</v>
      </c>
      <c r="D1185" t="e">
        <f>NA()</f>
        <v>#N/A</v>
      </c>
      <c r="E1185" t="e">
        <f>NA()</f>
        <v>#N/A</v>
      </c>
      <c r="F1185" t="e">
        <f>NA()</f>
        <v>#N/A</v>
      </c>
      <c r="G1185" t="e">
        <f>NA()</f>
        <v>#N/A</v>
      </c>
      <c r="H1185" t="e">
        <f>NA()</f>
        <v>#N/A</v>
      </c>
      <c r="I1185" t="e">
        <f>NA()</f>
        <v>#N/A</v>
      </c>
      <c r="J1185" t="e">
        <f>NA()</f>
        <v>#N/A</v>
      </c>
      <c r="K1185" t="e">
        <f>NA()</f>
        <v>#N/A</v>
      </c>
      <c r="L1185" t="e">
        <f>NA()</f>
        <v>#N/A</v>
      </c>
      <c r="M1185" t="e">
        <f>NA()</f>
        <v>#N/A</v>
      </c>
      <c r="N1185" t="e">
        <f>NA()</f>
        <v>#N/A</v>
      </c>
      <c r="O1185">
        <f t="shared" si="41"/>
        <v>0.1</v>
      </c>
    </row>
    <row r="1186" spans="1:15" x14ac:dyDescent="0.25">
      <c r="A1186" s="1">
        <v>44280</v>
      </c>
      <c r="B1186" t="e">
        <f>NA()</f>
        <v>#N/A</v>
      </c>
      <c r="C1186" t="e">
        <f>NA()</f>
        <v>#N/A</v>
      </c>
      <c r="D1186" t="e">
        <f>NA()</f>
        <v>#N/A</v>
      </c>
      <c r="E1186" t="e">
        <f>NA()</f>
        <v>#N/A</v>
      </c>
      <c r="F1186" t="e">
        <f>NA()</f>
        <v>#N/A</v>
      </c>
      <c r="G1186" t="e">
        <f>NA()</f>
        <v>#N/A</v>
      </c>
      <c r="H1186" t="e">
        <f>NA()</f>
        <v>#N/A</v>
      </c>
      <c r="I1186" t="e">
        <f>NA()</f>
        <v>#N/A</v>
      </c>
      <c r="J1186" t="e">
        <f>NA()</f>
        <v>#N/A</v>
      </c>
      <c r="K1186" t="e">
        <f>NA()</f>
        <v>#N/A</v>
      </c>
      <c r="L1186" t="e">
        <f>NA()</f>
        <v>#N/A</v>
      </c>
      <c r="M1186" t="e">
        <f>NA()</f>
        <v>#N/A</v>
      </c>
      <c r="N1186" t="e">
        <f>NA()</f>
        <v>#N/A</v>
      </c>
      <c r="O1186">
        <f t="shared" si="41"/>
        <v>0.1</v>
      </c>
    </row>
    <row r="1187" spans="1:15" x14ac:dyDescent="0.25">
      <c r="A1187" s="1">
        <v>44279</v>
      </c>
      <c r="B1187" t="e">
        <f>NA()</f>
        <v>#N/A</v>
      </c>
      <c r="C1187" t="e">
        <f>NA()</f>
        <v>#N/A</v>
      </c>
      <c r="D1187" t="e">
        <f>NA()</f>
        <v>#N/A</v>
      </c>
      <c r="E1187" t="e">
        <f>NA()</f>
        <v>#N/A</v>
      </c>
      <c r="F1187" t="e">
        <f>NA()</f>
        <v>#N/A</v>
      </c>
      <c r="G1187" t="e">
        <f>NA()</f>
        <v>#N/A</v>
      </c>
      <c r="H1187" t="e">
        <f>NA()</f>
        <v>#N/A</v>
      </c>
      <c r="I1187" t="e">
        <f>NA()</f>
        <v>#N/A</v>
      </c>
      <c r="J1187" t="e">
        <f>NA()</f>
        <v>#N/A</v>
      </c>
      <c r="K1187" t="e">
        <f>NA()</f>
        <v>#N/A</v>
      </c>
      <c r="L1187" t="e">
        <f>NA()</f>
        <v>#N/A</v>
      </c>
      <c r="M1187" t="e">
        <f>NA()</f>
        <v>#N/A</v>
      </c>
      <c r="N1187" t="e">
        <f>NA()</f>
        <v>#N/A</v>
      </c>
      <c r="O1187">
        <f t="shared" si="41"/>
        <v>0.1</v>
      </c>
    </row>
    <row r="1188" spans="1:15" x14ac:dyDescent="0.25">
      <c r="A1188" s="1">
        <v>44278</v>
      </c>
      <c r="B1188" t="e">
        <f>NA()</f>
        <v>#N/A</v>
      </c>
      <c r="C1188" t="e">
        <f>NA()</f>
        <v>#N/A</v>
      </c>
      <c r="D1188" t="e">
        <f>NA()</f>
        <v>#N/A</v>
      </c>
      <c r="E1188" t="e">
        <f>NA()</f>
        <v>#N/A</v>
      </c>
      <c r="F1188" t="e">
        <f>NA()</f>
        <v>#N/A</v>
      </c>
      <c r="G1188" t="e">
        <f>NA()</f>
        <v>#N/A</v>
      </c>
      <c r="H1188" t="e">
        <f>NA()</f>
        <v>#N/A</v>
      </c>
      <c r="I1188" t="e">
        <f>NA()</f>
        <v>#N/A</v>
      </c>
      <c r="J1188" t="e">
        <f>NA()</f>
        <v>#N/A</v>
      </c>
      <c r="K1188" t="e">
        <f>NA()</f>
        <v>#N/A</v>
      </c>
      <c r="L1188" t="e">
        <f>NA()</f>
        <v>#N/A</v>
      </c>
      <c r="M1188" t="e">
        <f>NA()</f>
        <v>#N/A</v>
      </c>
      <c r="N1188" t="e">
        <f>NA()</f>
        <v>#N/A</v>
      </c>
      <c r="O1188">
        <f t="shared" si="41"/>
        <v>0.1</v>
      </c>
    </row>
    <row r="1189" spans="1:15" x14ac:dyDescent="0.25">
      <c r="A1189" s="1">
        <v>44277</v>
      </c>
      <c r="B1189" t="e">
        <f>NA()</f>
        <v>#N/A</v>
      </c>
      <c r="C1189" t="e">
        <f>NA()</f>
        <v>#N/A</v>
      </c>
      <c r="D1189" t="e">
        <f>NA()</f>
        <v>#N/A</v>
      </c>
      <c r="E1189" t="e">
        <f>NA()</f>
        <v>#N/A</v>
      </c>
      <c r="F1189" t="e">
        <f>NA()</f>
        <v>#N/A</v>
      </c>
      <c r="G1189" t="e">
        <f>NA()</f>
        <v>#N/A</v>
      </c>
      <c r="H1189" t="e">
        <f>NA()</f>
        <v>#N/A</v>
      </c>
      <c r="I1189" t="e">
        <f>NA()</f>
        <v>#N/A</v>
      </c>
      <c r="J1189" t="e">
        <f>NA()</f>
        <v>#N/A</v>
      </c>
      <c r="K1189" t="e">
        <f>NA()</f>
        <v>#N/A</v>
      </c>
      <c r="L1189" t="e">
        <f>NA()</f>
        <v>#N/A</v>
      </c>
      <c r="M1189" t="e">
        <f>NA()</f>
        <v>#N/A</v>
      </c>
      <c r="N1189" t="e">
        <f>NA()</f>
        <v>#N/A</v>
      </c>
      <c r="O1189">
        <f t="shared" si="41"/>
        <v>0.1</v>
      </c>
    </row>
    <row r="1190" spans="1:15" x14ac:dyDescent="0.25">
      <c r="A1190" s="1">
        <v>44274</v>
      </c>
      <c r="B1190">
        <f>-0.5</f>
        <v>-0.5</v>
      </c>
      <c r="C1190">
        <f>0</f>
        <v>0</v>
      </c>
      <c r="D1190" t="e">
        <f>NA()</f>
        <v>#N/A</v>
      </c>
      <c r="E1190" t="e">
        <f>NA()</f>
        <v>#N/A</v>
      </c>
      <c r="F1190" t="e">
        <f>NA()</f>
        <v>#N/A</v>
      </c>
      <c r="G1190" t="e">
        <f>NA()</f>
        <v>#N/A</v>
      </c>
      <c r="H1190" t="e">
        <f>NA()</f>
        <v>#N/A</v>
      </c>
      <c r="I1190" t="e">
        <f>NA()</f>
        <v>#N/A</v>
      </c>
      <c r="J1190" t="e">
        <f>NA()</f>
        <v>#N/A</v>
      </c>
      <c r="K1190" t="e">
        <f>NA()</f>
        <v>#N/A</v>
      </c>
      <c r="L1190" t="e">
        <f>NA()</f>
        <v>#N/A</v>
      </c>
      <c r="M1190" t="e">
        <f>NA()</f>
        <v>#N/A</v>
      </c>
      <c r="N1190" t="e">
        <f>NA()</f>
        <v>#N/A</v>
      </c>
      <c r="O1190">
        <f t="shared" si="41"/>
        <v>0.1</v>
      </c>
    </row>
    <row r="1191" spans="1:15" x14ac:dyDescent="0.25">
      <c r="A1191" s="1">
        <v>44273</v>
      </c>
      <c r="B1191" t="e">
        <f>NA()</f>
        <v>#N/A</v>
      </c>
      <c r="C1191" t="e">
        <f>NA()</f>
        <v>#N/A</v>
      </c>
      <c r="D1191" t="e">
        <f>NA()</f>
        <v>#N/A</v>
      </c>
      <c r="E1191" t="e">
        <f>NA()</f>
        <v>#N/A</v>
      </c>
      <c r="F1191" t="e">
        <f>NA()</f>
        <v>#N/A</v>
      </c>
      <c r="G1191" t="e">
        <f>NA()</f>
        <v>#N/A</v>
      </c>
      <c r="H1191" t="e">
        <f>NA()</f>
        <v>#N/A</v>
      </c>
      <c r="I1191" t="e">
        <f>NA()</f>
        <v>#N/A</v>
      </c>
      <c r="J1191" t="e">
        <f>NA()</f>
        <v>#N/A</v>
      </c>
      <c r="K1191" t="e">
        <f>NA()</f>
        <v>#N/A</v>
      </c>
      <c r="L1191" t="e">
        <f>NA()</f>
        <v>#N/A</v>
      </c>
      <c r="M1191" t="e">
        <f>NA()</f>
        <v>#N/A</v>
      </c>
      <c r="N1191" t="e">
        <f>NA()</f>
        <v>#N/A</v>
      </c>
      <c r="O1191">
        <f t="shared" si="41"/>
        <v>0.1</v>
      </c>
    </row>
    <row r="1192" spans="1:15" x14ac:dyDescent="0.25">
      <c r="A1192" s="1">
        <v>44272</v>
      </c>
      <c r="B1192" t="e">
        <f>NA()</f>
        <v>#N/A</v>
      </c>
      <c r="C1192" t="e">
        <f>NA()</f>
        <v>#N/A</v>
      </c>
      <c r="D1192" t="e">
        <f>NA()</f>
        <v>#N/A</v>
      </c>
      <c r="E1192" t="e">
        <f>NA()</f>
        <v>#N/A</v>
      </c>
      <c r="F1192" t="e">
        <f>NA()</f>
        <v>#N/A</v>
      </c>
      <c r="G1192" t="e">
        <f>NA()</f>
        <v>#N/A</v>
      </c>
      <c r="H1192" t="e">
        <f>NA()</f>
        <v>#N/A</v>
      </c>
      <c r="I1192" t="e">
        <f>NA()</f>
        <v>#N/A</v>
      </c>
      <c r="J1192" t="e">
        <f>NA()</f>
        <v>#N/A</v>
      </c>
      <c r="K1192" t="e">
        <f>NA()</f>
        <v>#N/A</v>
      </c>
      <c r="L1192" t="e">
        <f>NA()</f>
        <v>#N/A</v>
      </c>
      <c r="M1192" t="e">
        <f>NA()</f>
        <v>#N/A</v>
      </c>
      <c r="N1192" t="e">
        <f>NA()</f>
        <v>#N/A</v>
      </c>
      <c r="O1192">
        <f t="shared" si="41"/>
        <v>0.1</v>
      </c>
    </row>
    <row r="1193" spans="1:15" x14ac:dyDescent="0.25">
      <c r="A1193" s="1">
        <v>44271</v>
      </c>
      <c r="B1193" t="e">
        <f>NA()</f>
        <v>#N/A</v>
      </c>
      <c r="C1193" t="e">
        <f>NA()</f>
        <v>#N/A</v>
      </c>
      <c r="D1193" t="e">
        <f>NA()</f>
        <v>#N/A</v>
      </c>
      <c r="E1193" t="e">
        <f>NA()</f>
        <v>#N/A</v>
      </c>
      <c r="F1193" t="e">
        <f>NA()</f>
        <v>#N/A</v>
      </c>
      <c r="G1193" t="e">
        <f>NA()</f>
        <v>#N/A</v>
      </c>
      <c r="H1193" t="e">
        <f>NA()</f>
        <v>#N/A</v>
      </c>
      <c r="I1193" t="e">
        <f>NA()</f>
        <v>#N/A</v>
      </c>
      <c r="J1193" t="e">
        <f>NA()</f>
        <v>#N/A</v>
      </c>
      <c r="K1193" t="e">
        <f>NA()</f>
        <v>#N/A</v>
      </c>
      <c r="L1193" t="e">
        <f>NA()</f>
        <v>#N/A</v>
      </c>
      <c r="M1193" t="e">
        <f>NA()</f>
        <v>#N/A</v>
      </c>
      <c r="N1193" t="e">
        <f>NA()</f>
        <v>#N/A</v>
      </c>
      <c r="O1193">
        <f t="shared" si="41"/>
        <v>0.1</v>
      </c>
    </row>
    <row r="1194" spans="1:15" x14ac:dyDescent="0.25">
      <c r="A1194" s="1">
        <v>44270</v>
      </c>
      <c r="B1194" t="e">
        <f>NA()</f>
        <v>#N/A</v>
      </c>
      <c r="C1194" t="e">
        <f>NA()</f>
        <v>#N/A</v>
      </c>
      <c r="D1194" t="e">
        <f>NA()</f>
        <v>#N/A</v>
      </c>
      <c r="E1194" t="e">
        <f>NA()</f>
        <v>#N/A</v>
      </c>
      <c r="F1194" t="e">
        <f>NA()</f>
        <v>#N/A</v>
      </c>
      <c r="G1194" t="e">
        <f>NA()</f>
        <v>#N/A</v>
      </c>
      <c r="H1194" t="e">
        <f>NA()</f>
        <v>#N/A</v>
      </c>
      <c r="I1194" t="e">
        <f>NA()</f>
        <v>#N/A</v>
      </c>
      <c r="J1194" t="e">
        <f>NA()</f>
        <v>#N/A</v>
      </c>
      <c r="K1194" t="e">
        <f>NA()</f>
        <v>#N/A</v>
      </c>
      <c r="L1194" t="e">
        <f>NA()</f>
        <v>#N/A</v>
      </c>
      <c r="M1194" t="e">
        <f>NA()</f>
        <v>#N/A</v>
      </c>
      <c r="N1194" t="e">
        <f>NA()</f>
        <v>#N/A</v>
      </c>
      <c r="O1194">
        <f t="shared" si="41"/>
        <v>0.1</v>
      </c>
    </row>
    <row r="1195" spans="1:15" x14ac:dyDescent="0.25">
      <c r="A1195" s="1">
        <v>44267</v>
      </c>
      <c r="B1195">
        <f>-0.5</f>
        <v>-0.5</v>
      </c>
      <c r="C1195">
        <f>0</f>
        <v>0</v>
      </c>
      <c r="D1195" t="e">
        <f>NA()</f>
        <v>#N/A</v>
      </c>
      <c r="E1195" t="e">
        <f>NA()</f>
        <v>#N/A</v>
      </c>
      <c r="F1195" t="e">
        <f>NA()</f>
        <v>#N/A</v>
      </c>
      <c r="G1195" t="e">
        <f>NA()</f>
        <v>#N/A</v>
      </c>
      <c r="H1195" t="e">
        <f>NA()</f>
        <v>#N/A</v>
      </c>
      <c r="I1195" t="e">
        <f>NA()</f>
        <v>#N/A</v>
      </c>
      <c r="J1195" t="e">
        <f>NA()</f>
        <v>#N/A</v>
      </c>
      <c r="K1195" t="e">
        <f>NA()</f>
        <v>#N/A</v>
      </c>
      <c r="L1195" t="e">
        <f>NA()</f>
        <v>#N/A</v>
      </c>
      <c r="M1195" t="e">
        <f>NA()</f>
        <v>#N/A</v>
      </c>
      <c r="N1195" t="e">
        <f>NA()</f>
        <v>#N/A</v>
      </c>
      <c r="O1195">
        <f t="shared" si="41"/>
        <v>0.1</v>
      </c>
    </row>
    <row r="1196" spans="1:15" x14ac:dyDescent="0.25">
      <c r="A1196" s="1">
        <v>44266</v>
      </c>
      <c r="B1196" t="e">
        <f>NA()</f>
        <v>#N/A</v>
      </c>
      <c r="C1196" t="e">
        <f>NA()</f>
        <v>#N/A</v>
      </c>
      <c r="D1196" t="e">
        <f>NA()</f>
        <v>#N/A</v>
      </c>
      <c r="E1196" t="e">
        <f>NA()</f>
        <v>#N/A</v>
      </c>
      <c r="F1196" t="e">
        <f>NA()</f>
        <v>#N/A</v>
      </c>
      <c r="G1196" t="e">
        <f>NA()</f>
        <v>#N/A</v>
      </c>
      <c r="H1196" t="e">
        <f>NA()</f>
        <v>#N/A</v>
      </c>
      <c r="I1196" t="e">
        <f>NA()</f>
        <v>#N/A</v>
      </c>
      <c r="J1196" t="e">
        <f>NA()</f>
        <v>#N/A</v>
      </c>
      <c r="K1196" t="e">
        <f>NA()</f>
        <v>#N/A</v>
      </c>
      <c r="L1196" t="e">
        <f>NA()</f>
        <v>#N/A</v>
      </c>
      <c r="M1196" t="e">
        <f>NA()</f>
        <v>#N/A</v>
      </c>
      <c r="N1196" t="e">
        <f>NA()</f>
        <v>#N/A</v>
      </c>
      <c r="O1196">
        <f t="shared" si="41"/>
        <v>0.1</v>
      </c>
    </row>
    <row r="1197" spans="1:15" x14ac:dyDescent="0.25">
      <c r="A1197" s="1">
        <v>44265</v>
      </c>
      <c r="B1197" t="e">
        <f>NA()</f>
        <v>#N/A</v>
      </c>
      <c r="C1197" t="e">
        <f>NA()</f>
        <v>#N/A</v>
      </c>
      <c r="D1197" t="e">
        <f>NA()</f>
        <v>#N/A</v>
      </c>
      <c r="E1197" t="e">
        <f>NA()</f>
        <v>#N/A</v>
      </c>
      <c r="F1197" t="e">
        <f>NA()</f>
        <v>#N/A</v>
      </c>
      <c r="G1197" t="e">
        <f>NA()</f>
        <v>#N/A</v>
      </c>
      <c r="H1197" t="e">
        <f>NA()</f>
        <v>#N/A</v>
      </c>
      <c r="I1197" t="e">
        <f>NA()</f>
        <v>#N/A</v>
      </c>
      <c r="J1197" t="e">
        <f>NA()</f>
        <v>#N/A</v>
      </c>
      <c r="K1197" t="e">
        <f>NA()</f>
        <v>#N/A</v>
      </c>
      <c r="L1197" t="e">
        <f>NA()</f>
        <v>#N/A</v>
      </c>
      <c r="M1197" t="e">
        <f>NA()</f>
        <v>#N/A</v>
      </c>
      <c r="N1197" t="e">
        <f>NA()</f>
        <v>#N/A</v>
      </c>
      <c r="O1197">
        <f t="shared" si="41"/>
        <v>0.1</v>
      </c>
    </row>
    <row r="1198" spans="1:15" x14ac:dyDescent="0.25">
      <c r="A1198" s="1">
        <v>44264</v>
      </c>
      <c r="B1198" t="e">
        <f>NA()</f>
        <v>#N/A</v>
      </c>
      <c r="C1198" t="e">
        <f>NA()</f>
        <v>#N/A</v>
      </c>
      <c r="D1198" t="e">
        <f>NA()</f>
        <v>#N/A</v>
      </c>
      <c r="E1198" t="e">
        <f>NA()</f>
        <v>#N/A</v>
      </c>
      <c r="F1198" t="e">
        <f>NA()</f>
        <v>#N/A</v>
      </c>
      <c r="G1198" t="e">
        <f>NA()</f>
        <v>#N/A</v>
      </c>
      <c r="H1198" t="e">
        <f>NA()</f>
        <v>#N/A</v>
      </c>
      <c r="I1198" t="e">
        <f>NA()</f>
        <v>#N/A</v>
      </c>
      <c r="J1198" t="e">
        <f>NA()</f>
        <v>#N/A</v>
      </c>
      <c r="K1198" t="e">
        <f>NA()</f>
        <v>#N/A</v>
      </c>
      <c r="L1198" t="e">
        <f>NA()</f>
        <v>#N/A</v>
      </c>
      <c r="M1198" t="e">
        <f>NA()</f>
        <v>#N/A</v>
      </c>
      <c r="N1198" t="e">
        <f>NA()</f>
        <v>#N/A</v>
      </c>
      <c r="O1198">
        <f t="shared" si="41"/>
        <v>0.1</v>
      </c>
    </row>
    <row r="1199" spans="1:15" x14ac:dyDescent="0.25">
      <c r="A1199" s="1">
        <v>44263</v>
      </c>
      <c r="B1199" t="e">
        <f>NA()</f>
        <v>#N/A</v>
      </c>
      <c r="C1199" t="e">
        <f>NA()</f>
        <v>#N/A</v>
      </c>
      <c r="D1199" t="e">
        <f>NA()</f>
        <v>#N/A</v>
      </c>
      <c r="E1199" t="e">
        <f>NA()</f>
        <v>#N/A</v>
      </c>
      <c r="F1199" t="e">
        <f>NA()</f>
        <v>#N/A</v>
      </c>
      <c r="G1199" t="e">
        <f>NA()</f>
        <v>#N/A</v>
      </c>
      <c r="H1199" t="e">
        <f>NA()</f>
        <v>#N/A</v>
      </c>
      <c r="I1199" t="e">
        <f>NA()</f>
        <v>#N/A</v>
      </c>
      <c r="J1199" t="e">
        <f>NA()</f>
        <v>#N/A</v>
      </c>
      <c r="K1199" t="e">
        <f>NA()</f>
        <v>#N/A</v>
      </c>
      <c r="L1199" t="e">
        <f>NA()</f>
        <v>#N/A</v>
      </c>
      <c r="M1199" t="e">
        <f>NA()</f>
        <v>#N/A</v>
      </c>
      <c r="N1199" t="e">
        <f>NA()</f>
        <v>#N/A</v>
      </c>
      <c r="O1199">
        <f t="shared" si="41"/>
        <v>0.1</v>
      </c>
    </row>
    <row r="1200" spans="1:15" x14ac:dyDescent="0.25">
      <c r="A1200" s="1">
        <v>44260</v>
      </c>
      <c r="B1200">
        <f>-0.4</f>
        <v>-0.4</v>
      </c>
      <c r="C1200">
        <f>0</f>
        <v>0</v>
      </c>
      <c r="D1200" t="e">
        <f>NA()</f>
        <v>#N/A</v>
      </c>
      <c r="E1200" t="e">
        <f>NA()</f>
        <v>#N/A</v>
      </c>
      <c r="F1200" t="e">
        <f>NA()</f>
        <v>#N/A</v>
      </c>
      <c r="G1200" t="e">
        <f>NA()</f>
        <v>#N/A</v>
      </c>
      <c r="H1200" t="e">
        <f>NA()</f>
        <v>#N/A</v>
      </c>
      <c r="I1200" t="e">
        <f>NA()</f>
        <v>#N/A</v>
      </c>
      <c r="J1200" t="e">
        <f>NA()</f>
        <v>#N/A</v>
      </c>
      <c r="K1200" t="e">
        <f>NA()</f>
        <v>#N/A</v>
      </c>
      <c r="L1200" t="e">
        <f>NA()</f>
        <v>#N/A</v>
      </c>
      <c r="M1200" t="e">
        <f>NA()</f>
        <v>#N/A</v>
      </c>
      <c r="N1200" t="e">
        <f>NA()</f>
        <v>#N/A</v>
      </c>
      <c r="O1200">
        <f t="shared" si="41"/>
        <v>0.1</v>
      </c>
    </row>
    <row r="1201" spans="1:15" x14ac:dyDescent="0.25">
      <c r="A1201" s="1">
        <v>44259</v>
      </c>
      <c r="B1201" t="e">
        <f>NA()</f>
        <v>#N/A</v>
      </c>
      <c r="C1201" t="e">
        <f>NA()</f>
        <v>#N/A</v>
      </c>
      <c r="D1201" t="e">
        <f>NA()</f>
        <v>#N/A</v>
      </c>
      <c r="E1201" t="e">
        <f>NA()</f>
        <v>#N/A</v>
      </c>
      <c r="F1201" t="e">
        <f>NA()</f>
        <v>#N/A</v>
      </c>
      <c r="G1201" t="e">
        <f>NA()</f>
        <v>#N/A</v>
      </c>
      <c r="H1201" t="e">
        <f>NA()</f>
        <v>#N/A</v>
      </c>
      <c r="I1201" t="e">
        <f>NA()</f>
        <v>#N/A</v>
      </c>
      <c r="J1201" t="e">
        <f>NA()</f>
        <v>#N/A</v>
      </c>
      <c r="K1201" t="e">
        <f>NA()</f>
        <v>#N/A</v>
      </c>
      <c r="L1201" t="e">
        <f>NA()</f>
        <v>#N/A</v>
      </c>
      <c r="M1201" t="e">
        <f>NA()</f>
        <v>#N/A</v>
      </c>
      <c r="N1201" t="e">
        <f>NA()</f>
        <v>#N/A</v>
      </c>
      <c r="O1201">
        <f t="shared" si="41"/>
        <v>0.1</v>
      </c>
    </row>
    <row r="1202" spans="1:15" x14ac:dyDescent="0.25">
      <c r="A1202" s="1">
        <v>44258</v>
      </c>
      <c r="B1202" t="e">
        <f>NA()</f>
        <v>#N/A</v>
      </c>
      <c r="C1202" t="e">
        <f>NA()</f>
        <v>#N/A</v>
      </c>
      <c r="D1202" t="e">
        <f>NA()</f>
        <v>#N/A</v>
      </c>
      <c r="E1202" t="e">
        <f>NA()</f>
        <v>#N/A</v>
      </c>
      <c r="F1202" t="e">
        <f>NA()</f>
        <v>#N/A</v>
      </c>
      <c r="G1202" t="e">
        <f>NA()</f>
        <v>#N/A</v>
      </c>
      <c r="H1202" t="e">
        <f>NA()</f>
        <v>#N/A</v>
      </c>
      <c r="I1202" t="e">
        <f>NA()</f>
        <v>#N/A</v>
      </c>
      <c r="J1202" t="e">
        <f>NA()</f>
        <v>#N/A</v>
      </c>
      <c r="K1202" t="e">
        <f>NA()</f>
        <v>#N/A</v>
      </c>
      <c r="L1202" t="e">
        <f>NA()</f>
        <v>#N/A</v>
      </c>
      <c r="M1202" t="e">
        <f>NA()</f>
        <v>#N/A</v>
      </c>
      <c r="N1202" t="e">
        <f>NA()</f>
        <v>#N/A</v>
      </c>
      <c r="O1202">
        <f t="shared" si="41"/>
        <v>0.1</v>
      </c>
    </row>
    <row r="1203" spans="1:15" x14ac:dyDescent="0.25">
      <c r="A1203" s="1">
        <v>44257</v>
      </c>
      <c r="B1203" t="e">
        <f>NA()</f>
        <v>#N/A</v>
      </c>
      <c r="C1203" t="e">
        <f>NA()</f>
        <v>#N/A</v>
      </c>
      <c r="D1203" t="e">
        <f>NA()</f>
        <v>#N/A</v>
      </c>
      <c r="E1203" t="e">
        <f>NA()</f>
        <v>#N/A</v>
      </c>
      <c r="F1203" t="e">
        <f>NA()</f>
        <v>#N/A</v>
      </c>
      <c r="G1203" t="e">
        <f>NA()</f>
        <v>#N/A</v>
      </c>
      <c r="H1203" t="e">
        <f>NA()</f>
        <v>#N/A</v>
      </c>
      <c r="I1203" t="e">
        <f>NA()</f>
        <v>#N/A</v>
      </c>
      <c r="J1203" t="e">
        <f>NA()</f>
        <v>#N/A</v>
      </c>
      <c r="K1203" t="e">
        <f>NA()</f>
        <v>#N/A</v>
      </c>
      <c r="L1203" t="e">
        <f>NA()</f>
        <v>#N/A</v>
      </c>
      <c r="M1203" t="e">
        <f>NA()</f>
        <v>#N/A</v>
      </c>
      <c r="N1203" t="e">
        <f>NA()</f>
        <v>#N/A</v>
      </c>
      <c r="O1203">
        <f t="shared" si="41"/>
        <v>0.1</v>
      </c>
    </row>
    <row r="1204" spans="1:15" x14ac:dyDescent="0.25">
      <c r="A1204" s="1">
        <v>44256</v>
      </c>
      <c r="B1204" t="e">
        <f>NA()</f>
        <v>#N/A</v>
      </c>
      <c r="C1204" t="e">
        <f>NA()</f>
        <v>#N/A</v>
      </c>
      <c r="D1204" t="e">
        <f>NA()</f>
        <v>#N/A</v>
      </c>
      <c r="E1204" t="e">
        <f>NA()</f>
        <v>#N/A</v>
      </c>
      <c r="F1204" t="e">
        <f>NA()</f>
        <v>#N/A</v>
      </c>
      <c r="G1204" t="e">
        <f>NA()</f>
        <v>#N/A</v>
      </c>
      <c r="H1204" t="e">
        <f>NA()</f>
        <v>#N/A</v>
      </c>
      <c r="I1204" t="e">
        <f>NA()</f>
        <v>#N/A</v>
      </c>
      <c r="J1204" t="e">
        <f>NA()</f>
        <v>#N/A</v>
      </c>
      <c r="K1204" t="e">
        <f>NA()</f>
        <v>#N/A</v>
      </c>
      <c r="L1204" t="e">
        <f>NA()</f>
        <v>#N/A</v>
      </c>
      <c r="M1204" t="e">
        <f>NA()</f>
        <v>#N/A</v>
      </c>
      <c r="N1204" t="e">
        <f>NA()</f>
        <v>#N/A</v>
      </c>
      <c r="O1204">
        <f t="shared" si="41"/>
        <v>0.1</v>
      </c>
    </row>
    <row r="1205" spans="1:15" x14ac:dyDescent="0.25">
      <c r="A1205" s="1">
        <v>44255</v>
      </c>
      <c r="B1205" t="e">
        <f>NA()</f>
        <v>#N/A</v>
      </c>
      <c r="C1205" t="e">
        <f>NA()</f>
        <v>#N/A</v>
      </c>
      <c r="D1205">
        <f>0.5</f>
        <v>0.5</v>
      </c>
      <c r="E1205">
        <f>3.6</f>
        <v>3.6</v>
      </c>
      <c r="F1205">
        <f>7752</f>
        <v>7752</v>
      </c>
      <c r="G1205">
        <f>61.4</f>
        <v>61.4</v>
      </c>
      <c r="H1205">
        <f>1</f>
        <v>1</v>
      </c>
      <c r="I1205">
        <f>263</f>
        <v>263</v>
      </c>
      <c r="J1205">
        <f>1.7</f>
        <v>1.7</v>
      </c>
      <c r="K1205">
        <f>60.4</f>
        <v>60.4</v>
      </c>
      <c r="L1205">
        <f>-3.3</f>
        <v>-3.3</v>
      </c>
      <c r="M1205" t="e">
        <f>NA()</f>
        <v>#N/A</v>
      </c>
      <c r="N1205">
        <f>6.2</f>
        <v>6.2</v>
      </c>
      <c r="O1205" t="e">
        <f>NA()</f>
        <v>#N/A</v>
      </c>
    </row>
    <row r="1206" spans="1:15" x14ac:dyDescent="0.25">
      <c r="A1206" s="1">
        <v>44253</v>
      </c>
      <c r="B1206">
        <f>-0.4</f>
        <v>-0.4</v>
      </c>
      <c r="C1206">
        <f>0</f>
        <v>0</v>
      </c>
      <c r="D1206" t="e">
        <f>NA()</f>
        <v>#N/A</v>
      </c>
      <c r="E1206" t="e">
        <f>NA()</f>
        <v>#N/A</v>
      </c>
      <c r="F1206" t="e">
        <f>NA()</f>
        <v>#N/A</v>
      </c>
      <c r="G1206" t="e">
        <f>NA()</f>
        <v>#N/A</v>
      </c>
      <c r="H1206" t="e">
        <f>NA()</f>
        <v>#N/A</v>
      </c>
      <c r="I1206" t="e">
        <f>NA()</f>
        <v>#N/A</v>
      </c>
      <c r="J1206" t="e">
        <f>NA()</f>
        <v>#N/A</v>
      </c>
      <c r="K1206" t="e">
        <f>NA()</f>
        <v>#N/A</v>
      </c>
      <c r="L1206" t="e">
        <f>NA()</f>
        <v>#N/A</v>
      </c>
      <c r="M1206" t="e">
        <f>NA()</f>
        <v>#N/A</v>
      </c>
      <c r="N1206" t="e">
        <f>NA()</f>
        <v>#N/A</v>
      </c>
      <c r="O1206">
        <f t="shared" ref="O1206:O1224" si="42">0.1</f>
        <v>0.1</v>
      </c>
    </row>
    <row r="1207" spans="1:15" x14ac:dyDescent="0.25">
      <c r="A1207" s="1">
        <v>44252</v>
      </c>
      <c r="B1207" t="e">
        <f>NA()</f>
        <v>#N/A</v>
      </c>
      <c r="C1207" t="e">
        <f>NA()</f>
        <v>#N/A</v>
      </c>
      <c r="D1207" t="e">
        <f>NA()</f>
        <v>#N/A</v>
      </c>
      <c r="E1207" t="e">
        <f>NA()</f>
        <v>#N/A</v>
      </c>
      <c r="F1207" t="e">
        <f>NA()</f>
        <v>#N/A</v>
      </c>
      <c r="G1207" t="e">
        <f>NA()</f>
        <v>#N/A</v>
      </c>
      <c r="H1207" t="e">
        <f>NA()</f>
        <v>#N/A</v>
      </c>
      <c r="I1207" t="e">
        <f>NA()</f>
        <v>#N/A</v>
      </c>
      <c r="J1207" t="e">
        <f>NA()</f>
        <v>#N/A</v>
      </c>
      <c r="K1207" t="e">
        <f>NA()</f>
        <v>#N/A</v>
      </c>
      <c r="L1207" t="e">
        <f>NA()</f>
        <v>#N/A</v>
      </c>
      <c r="M1207" t="e">
        <f>NA()</f>
        <v>#N/A</v>
      </c>
      <c r="N1207" t="e">
        <f>NA()</f>
        <v>#N/A</v>
      </c>
      <c r="O1207">
        <f t="shared" si="42"/>
        <v>0.1</v>
      </c>
    </row>
    <row r="1208" spans="1:15" x14ac:dyDescent="0.25">
      <c r="A1208" s="1">
        <v>44251</v>
      </c>
      <c r="B1208" t="e">
        <f>NA()</f>
        <v>#N/A</v>
      </c>
      <c r="C1208" t="e">
        <f>NA()</f>
        <v>#N/A</v>
      </c>
      <c r="D1208" t="e">
        <f>NA()</f>
        <v>#N/A</v>
      </c>
      <c r="E1208" t="e">
        <f>NA()</f>
        <v>#N/A</v>
      </c>
      <c r="F1208" t="e">
        <f>NA()</f>
        <v>#N/A</v>
      </c>
      <c r="G1208" t="e">
        <f>NA()</f>
        <v>#N/A</v>
      </c>
      <c r="H1208" t="e">
        <f>NA()</f>
        <v>#N/A</v>
      </c>
      <c r="I1208" t="e">
        <f>NA()</f>
        <v>#N/A</v>
      </c>
      <c r="J1208" t="e">
        <f>NA()</f>
        <v>#N/A</v>
      </c>
      <c r="K1208" t="e">
        <f>NA()</f>
        <v>#N/A</v>
      </c>
      <c r="L1208" t="e">
        <f>NA()</f>
        <v>#N/A</v>
      </c>
      <c r="M1208" t="e">
        <f>NA()</f>
        <v>#N/A</v>
      </c>
      <c r="N1208" t="e">
        <f>NA()</f>
        <v>#N/A</v>
      </c>
      <c r="O1208">
        <f t="shared" si="42"/>
        <v>0.1</v>
      </c>
    </row>
    <row r="1209" spans="1:15" x14ac:dyDescent="0.25">
      <c r="A1209" s="1">
        <v>44250</v>
      </c>
      <c r="B1209" t="e">
        <f>NA()</f>
        <v>#N/A</v>
      </c>
      <c r="C1209" t="e">
        <f>NA()</f>
        <v>#N/A</v>
      </c>
      <c r="D1209" t="e">
        <f>NA()</f>
        <v>#N/A</v>
      </c>
      <c r="E1209" t="e">
        <f>NA()</f>
        <v>#N/A</v>
      </c>
      <c r="F1209" t="e">
        <f>NA()</f>
        <v>#N/A</v>
      </c>
      <c r="G1209" t="e">
        <f>NA()</f>
        <v>#N/A</v>
      </c>
      <c r="H1209" t="e">
        <f>NA()</f>
        <v>#N/A</v>
      </c>
      <c r="I1209" t="e">
        <f>NA()</f>
        <v>#N/A</v>
      </c>
      <c r="J1209" t="e">
        <f>NA()</f>
        <v>#N/A</v>
      </c>
      <c r="K1209" t="e">
        <f>NA()</f>
        <v>#N/A</v>
      </c>
      <c r="L1209" t="e">
        <f>NA()</f>
        <v>#N/A</v>
      </c>
      <c r="M1209" t="e">
        <f>NA()</f>
        <v>#N/A</v>
      </c>
      <c r="N1209" t="e">
        <f>NA()</f>
        <v>#N/A</v>
      </c>
      <c r="O1209">
        <f t="shared" si="42"/>
        <v>0.1</v>
      </c>
    </row>
    <row r="1210" spans="1:15" x14ac:dyDescent="0.25">
      <c r="A1210" s="1">
        <v>44249</v>
      </c>
      <c r="B1210" t="e">
        <f>NA()</f>
        <v>#N/A</v>
      </c>
      <c r="C1210" t="e">
        <f>NA()</f>
        <v>#N/A</v>
      </c>
      <c r="D1210" t="e">
        <f>NA()</f>
        <v>#N/A</v>
      </c>
      <c r="E1210" t="e">
        <f>NA()</f>
        <v>#N/A</v>
      </c>
      <c r="F1210" t="e">
        <f>NA()</f>
        <v>#N/A</v>
      </c>
      <c r="G1210" t="e">
        <f>NA()</f>
        <v>#N/A</v>
      </c>
      <c r="H1210" t="e">
        <f>NA()</f>
        <v>#N/A</v>
      </c>
      <c r="I1210" t="e">
        <f>NA()</f>
        <v>#N/A</v>
      </c>
      <c r="J1210" t="e">
        <f>NA()</f>
        <v>#N/A</v>
      </c>
      <c r="K1210" t="e">
        <f>NA()</f>
        <v>#N/A</v>
      </c>
      <c r="L1210" t="e">
        <f>NA()</f>
        <v>#N/A</v>
      </c>
      <c r="M1210" t="e">
        <f>NA()</f>
        <v>#N/A</v>
      </c>
      <c r="N1210" t="e">
        <f>NA()</f>
        <v>#N/A</v>
      </c>
      <c r="O1210">
        <f t="shared" si="42"/>
        <v>0.1</v>
      </c>
    </row>
    <row r="1211" spans="1:15" x14ac:dyDescent="0.25">
      <c r="A1211" s="1">
        <v>44246</v>
      </c>
      <c r="B1211">
        <f>-0.7</f>
        <v>-0.7</v>
      </c>
      <c r="C1211">
        <f>0</f>
        <v>0</v>
      </c>
      <c r="D1211" t="e">
        <f>NA()</f>
        <v>#N/A</v>
      </c>
      <c r="E1211" t="e">
        <f>NA()</f>
        <v>#N/A</v>
      </c>
      <c r="F1211" t="e">
        <f>NA()</f>
        <v>#N/A</v>
      </c>
      <c r="G1211" t="e">
        <f>NA()</f>
        <v>#N/A</v>
      </c>
      <c r="H1211" t="e">
        <f>NA()</f>
        <v>#N/A</v>
      </c>
      <c r="I1211" t="e">
        <f>NA()</f>
        <v>#N/A</v>
      </c>
      <c r="J1211" t="e">
        <f>NA()</f>
        <v>#N/A</v>
      </c>
      <c r="K1211" t="e">
        <f>NA()</f>
        <v>#N/A</v>
      </c>
      <c r="L1211" t="e">
        <f>NA()</f>
        <v>#N/A</v>
      </c>
      <c r="M1211" t="e">
        <f>NA()</f>
        <v>#N/A</v>
      </c>
      <c r="N1211" t="e">
        <f>NA()</f>
        <v>#N/A</v>
      </c>
      <c r="O1211">
        <f t="shared" si="42"/>
        <v>0.1</v>
      </c>
    </row>
    <row r="1212" spans="1:15" x14ac:dyDescent="0.25">
      <c r="A1212" s="1">
        <v>44245</v>
      </c>
      <c r="B1212" t="e">
        <f>NA()</f>
        <v>#N/A</v>
      </c>
      <c r="C1212" t="e">
        <f>NA()</f>
        <v>#N/A</v>
      </c>
      <c r="D1212" t="e">
        <f>NA()</f>
        <v>#N/A</v>
      </c>
      <c r="E1212" t="e">
        <f>NA()</f>
        <v>#N/A</v>
      </c>
      <c r="F1212" t="e">
        <f>NA()</f>
        <v>#N/A</v>
      </c>
      <c r="G1212" t="e">
        <f>NA()</f>
        <v>#N/A</v>
      </c>
      <c r="H1212" t="e">
        <f>NA()</f>
        <v>#N/A</v>
      </c>
      <c r="I1212" t="e">
        <f>NA()</f>
        <v>#N/A</v>
      </c>
      <c r="J1212" t="e">
        <f>NA()</f>
        <v>#N/A</v>
      </c>
      <c r="K1212" t="e">
        <f>NA()</f>
        <v>#N/A</v>
      </c>
      <c r="L1212" t="e">
        <f>NA()</f>
        <v>#N/A</v>
      </c>
      <c r="M1212" t="e">
        <f>NA()</f>
        <v>#N/A</v>
      </c>
      <c r="N1212" t="e">
        <f>NA()</f>
        <v>#N/A</v>
      </c>
      <c r="O1212">
        <f t="shared" si="42"/>
        <v>0.1</v>
      </c>
    </row>
    <row r="1213" spans="1:15" x14ac:dyDescent="0.25">
      <c r="A1213" s="1">
        <v>44244</v>
      </c>
      <c r="B1213" t="e">
        <f>NA()</f>
        <v>#N/A</v>
      </c>
      <c r="C1213" t="e">
        <f>NA()</f>
        <v>#N/A</v>
      </c>
      <c r="D1213" t="e">
        <f>NA()</f>
        <v>#N/A</v>
      </c>
      <c r="E1213" t="e">
        <f>NA()</f>
        <v>#N/A</v>
      </c>
      <c r="F1213" t="e">
        <f>NA()</f>
        <v>#N/A</v>
      </c>
      <c r="G1213" t="e">
        <f>NA()</f>
        <v>#N/A</v>
      </c>
      <c r="H1213" t="e">
        <f>NA()</f>
        <v>#N/A</v>
      </c>
      <c r="I1213" t="e">
        <f>NA()</f>
        <v>#N/A</v>
      </c>
      <c r="J1213" t="e">
        <f>NA()</f>
        <v>#N/A</v>
      </c>
      <c r="K1213" t="e">
        <f>NA()</f>
        <v>#N/A</v>
      </c>
      <c r="L1213" t="e">
        <f>NA()</f>
        <v>#N/A</v>
      </c>
      <c r="M1213" t="e">
        <f>NA()</f>
        <v>#N/A</v>
      </c>
      <c r="N1213" t="e">
        <f>NA()</f>
        <v>#N/A</v>
      </c>
      <c r="O1213">
        <f t="shared" si="42"/>
        <v>0.1</v>
      </c>
    </row>
    <row r="1214" spans="1:15" x14ac:dyDescent="0.25">
      <c r="A1214" s="1">
        <v>44243</v>
      </c>
      <c r="B1214" t="e">
        <f>NA()</f>
        <v>#N/A</v>
      </c>
      <c r="C1214" t="e">
        <f>NA()</f>
        <v>#N/A</v>
      </c>
      <c r="D1214" t="e">
        <f>NA()</f>
        <v>#N/A</v>
      </c>
      <c r="E1214" t="e">
        <f>NA()</f>
        <v>#N/A</v>
      </c>
      <c r="F1214" t="e">
        <f>NA()</f>
        <v>#N/A</v>
      </c>
      <c r="G1214" t="e">
        <f>NA()</f>
        <v>#N/A</v>
      </c>
      <c r="H1214" t="e">
        <f>NA()</f>
        <v>#N/A</v>
      </c>
      <c r="I1214" t="e">
        <f>NA()</f>
        <v>#N/A</v>
      </c>
      <c r="J1214" t="e">
        <f>NA()</f>
        <v>#N/A</v>
      </c>
      <c r="K1214" t="e">
        <f>NA()</f>
        <v>#N/A</v>
      </c>
      <c r="L1214" t="e">
        <f>NA()</f>
        <v>#N/A</v>
      </c>
      <c r="M1214" t="e">
        <f>NA()</f>
        <v>#N/A</v>
      </c>
      <c r="N1214" t="e">
        <f>NA()</f>
        <v>#N/A</v>
      </c>
      <c r="O1214">
        <f t="shared" si="42"/>
        <v>0.1</v>
      </c>
    </row>
    <row r="1215" spans="1:15" x14ac:dyDescent="0.25">
      <c r="A1215" s="1">
        <v>44239</v>
      </c>
      <c r="B1215">
        <f>-0.8</f>
        <v>-0.8</v>
      </c>
      <c r="C1215">
        <f>0</f>
        <v>0</v>
      </c>
      <c r="D1215" t="e">
        <f>NA()</f>
        <v>#N/A</v>
      </c>
      <c r="E1215" t="e">
        <f>NA()</f>
        <v>#N/A</v>
      </c>
      <c r="F1215" t="e">
        <f>NA()</f>
        <v>#N/A</v>
      </c>
      <c r="G1215" t="e">
        <f>NA()</f>
        <v>#N/A</v>
      </c>
      <c r="H1215" t="e">
        <f>NA()</f>
        <v>#N/A</v>
      </c>
      <c r="I1215" t="e">
        <f>NA()</f>
        <v>#N/A</v>
      </c>
      <c r="J1215" t="e">
        <f>NA()</f>
        <v>#N/A</v>
      </c>
      <c r="K1215" t="e">
        <f>NA()</f>
        <v>#N/A</v>
      </c>
      <c r="L1215" t="e">
        <f>NA()</f>
        <v>#N/A</v>
      </c>
      <c r="M1215" t="e">
        <f>NA()</f>
        <v>#N/A</v>
      </c>
      <c r="N1215" t="e">
        <f>NA()</f>
        <v>#N/A</v>
      </c>
      <c r="O1215">
        <f t="shared" si="42"/>
        <v>0.1</v>
      </c>
    </row>
    <row r="1216" spans="1:15" x14ac:dyDescent="0.25">
      <c r="A1216" s="1">
        <v>44238</v>
      </c>
      <c r="B1216" t="e">
        <f>NA()</f>
        <v>#N/A</v>
      </c>
      <c r="C1216" t="e">
        <f>NA()</f>
        <v>#N/A</v>
      </c>
      <c r="D1216" t="e">
        <f>NA()</f>
        <v>#N/A</v>
      </c>
      <c r="E1216" t="e">
        <f>NA()</f>
        <v>#N/A</v>
      </c>
      <c r="F1216" t="e">
        <f>NA()</f>
        <v>#N/A</v>
      </c>
      <c r="G1216" t="e">
        <f>NA()</f>
        <v>#N/A</v>
      </c>
      <c r="H1216" t="e">
        <f>NA()</f>
        <v>#N/A</v>
      </c>
      <c r="I1216" t="e">
        <f>NA()</f>
        <v>#N/A</v>
      </c>
      <c r="J1216" t="e">
        <f>NA()</f>
        <v>#N/A</v>
      </c>
      <c r="K1216" t="e">
        <f>NA()</f>
        <v>#N/A</v>
      </c>
      <c r="L1216" t="e">
        <f>NA()</f>
        <v>#N/A</v>
      </c>
      <c r="M1216" t="e">
        <f>NA()</f>
        <v>#N/A</v>
      </c>
      <c r="N1216" t="e">
        <f>NA()</f>
        <v>#N/A</v>
      </c>
      <c r="O1216">
        <f t="shared" si="42"/>
        <v>0.1</v>
      </c>
    </row>
    <row r="1217" spans="1:15" x14ac:dyDescent="0.25">
      <c r="A1217" s="1">
        <v>44237</v>
      </c>
      <c r="B1217" t="e">
        <f>NA()</f>
        <v>#N/A</v>
      </c>
      <c r="C1217" t="e">
        <f>NA()</f>
        <v>#N/A</v>
      </c>
      <c r="D1217" t="e">
        <f>NA()</f>
        <v>#N/A</v>
      </c>
      <c r="E1217" t="e">
        <f>NA()</f>
        <v>#N/A</v>
      </c>
      <c r="F1217" t="e">
        <f>NA()</f>
        <v>#N/A</v>
      </c>
      <c r="G1217" t="e">
        <f>NA()</f>
        <v>#N/A</v>
      </c>
      <c r="H1217" t="e">
        <f>NA()</f>
        <v>#N/A</v>
      </c>
      <c r="I1217" t="e">
        <f>NA()</f>
        <v>#N/A</v>
      </c>
      <c r="J1217" t="e">
        <f>NA()</f>
        <v>#N/A</v>
      </c>
      <c r="K1217" t="e">
        <f>NA()</f>
        <v>#N/A</v>
      </c>
      <c r="L1217" t="e">
        <f>NA()</f>
        <v>#N/A</v>
      </c>
      <c r="M1217" t="e">
        <f>NA()</f>
        <v>#N/A</v>
      </c>
      <c r="N1217" t="e">
        <f>NA()</f>
        <v>#N/A</v>
      </c>
      <c r="O1217">
        <f t="shared" si="42"/>
        <v>0.1</v>
      </c>
    </row>
    <row r="1218" spans="1:15" x14ac:dyDescent="0.25">
      <c r="A1218" s="1">
        <v>44236</v>
      </c>
      <c r="B1218" t="e">
        <f>NA()</f>
        <v>#N/A</v>
      </c>
      <c r="C1218" t="e">
        <f>NA()</f>
        <v>#N/A</v>
      </c>
      <c r="D1218" t="e">
        <f>NA()</f>
        <v>#N/A</v>
      </c>
      <c r="E1218" t="e">
        <f>NA()</f>
        <v>#N/A</v>
      </c>
      <c r="F1218" t="e">
        <f>NA()</f>
        <v>#N/A</v>
      </c>
      <c r="G1218" t="e">
        <f>NA()</f>
        <v>#N/A</v>
      </c>
      <c r="H1218" t="e">
        <f>NA()</f>
        <v>#N/A</v>
      </c>
      <c r="I1218" t="e">
        <f>NA()</f>
        <v>#N/A</v>
      </c>
      <c r="J1218" t="e">
        <f>NA()</f>
        <v>#N/A</v>
      </c>
      <c r="K1218" t="e">
        <f>NA()</f>
        <v>#N/A</v>
      </c>
      <c r="L1218" t="e">
        <f>NA()</f>
        <v>#N/A</v>
      </c>
      <c r="M1218" t="e">
        <f>NA()</f>
        <v>#N/A</v>
      </c>
      <c r="N1218" t="e">
        <f>NA()</f>
        <v>#N/A</v>
      </c>
      <c r="O1218">
        <f t="shared" si="42"/>
        <v>0.1</v>
      </c>
    </row>
    <row r="1219" spans="1:15" x14ac:dyDescent="0.25">
      <c r="A1219" s="1">
        <v>44235</v>
      </c>
      <c r="B1219" t="e">
        <f>NA()</f>
        <v>#N/A</v>
      </c>
      <c r="C1219" t="e">
        <f>NA()</f>
        <v>#N/A</v>
      </c>
      <c r="D1219" t="e">
        <f>NA()</f>
        <v>#N/A</v>
      </c>
      <c r="E1219" t="e">
        <f>NA()</f>
        <v>#N/A</v>
      </c>
      <c r="F1219" t="e">
        <f>NA()</f>
        <v>#N/A</v>
      </c>
      <c r="G1219" t="e">
        <f>NA()</f>
        <v>#N/A</v>
      </c>
      <c r="H1219" t="e">
        <f>NA()</f>
        <v>#N/A</v>
      </c>
      <c r="I1219" t="e">
        <f>NA()</f>
        <v>#N/A</v>
      </c>
      <c r="J1219" t="e">
        <f>NA()</f>
        <v>#N/A</v>
      </c>
      <c r="K1219" t="e">
        <f>NA()</f>
        <v>#N/A</v>
      </c>
      <c r="L1219" t="e">
        <f>NA()</f>
        <v>#N/A</v>
      </c>
      <c r="M1219" t="e">
        <f>NA()</f>
        <v>#N/A</v>
      </c>
      <c r="N1219" t="e">
        <f>NA()</f>
        <v>#N/A</v>
      </c>
      <c r="O1219">
        <f t="shared" si="42"/>
        <v>0.1</v>
      </c>
    </row>
    <row r="1220" spans="1:15" x14ac:dyDescent="0.25">
      <c r="A1220" s="1">
        <v>44232</v>
      </c>
      <c r="B1220">
        <f>-0.6</f>
        <v>-0.6</v>
      </c>
      <c r="C1220">
        <f>0</f>
        <v>0</v>
      </c>
      <c r="D1220" t="e">
        <f>NA()</f>
        <v>#N/A</v>
      </c>
      <c r="E1220" t="e">
        <f>NA()</f>
        <v>#N/A</v>
      </c>
      <c r="F1220" t="e">
        <f>NA()</f>
        <v>#N/A</v>
      </c>
      <c r="G1220" t="e">
        <f>NA()</f>
        <v>#N/A</v>
      </c>
      <c r="H1220" t="e">
        <f>NA()</f>
        <v>#N/A</v>
      </c>
      <c r="I1220" t="e">
        <f>NA()</f>
        <v>#N/A</v>
      </c>
      <c r="J1220" t="e">
        <f>NA()</f>
        <v>#N/A</v>
      </c>
      <c r="K1220" t="e">
        <f>NA()</f>
        <v>#N/A</v>
      </c>
      <c r="L1220" t="e">
        <f>NA()</f>
        <v>#N/A</v>
      </c>
      <c r="M1220" t="e">
        <f>NA()</f>
        <v>#N/A</v>
      </c>
      <c r="N1220" t="e">
        <f>NA()</f>
        <v>#N/A</v>
      </c>
      <c r="O1220">
        <f t="shared" si="42"/>
        <v>0.1</v>
      </c>
    </row>
    <row r="1221" spans="1:15" x14ac:dyDescent="0.25">
      <c r="A1221" s="1">
        <v>44231</v>
      </c>
      <c r="B1221" t="e">
        <f>NA()</f>
        <v>#N/A</v>
      </c>
      <c r="C1221" t="e">
        <f>NA()</f>
        <v>#N/A</v>
      </c>
      <c r="D1221" t="e">
        <f>NA()</f>
        <v>#N/A</v>
      </c>
      <c r="E1221" t="e">
        <f>NA()</f>
        <v>#N/A</v>
      </c>
      <c r="F1221" t="e">
        <f>NA()</f>
        <v>#N/A</v>
      </c>
      <c r="G1221" t="e">
        <f>NA()</f>
        <v>#N/A</v>
      </c>
      <c r="H1221" t="e">
        <f>NA()</f>
        <v>#N/A</v>
      </c>
      <c r="I1221" t="e">
        <f>NA()</f>
        <v>#N/A</v>
      </c>
      <c r="J1221" t="e">
        <f>NA()</f>
        <v>#N/A</v>
      </c>
      <c r="K1221" t="e">
        <f>NA()</f>
        <v>#N/A</v>
      </c>
      <c r="L1221" t="e">
        <f>NA()</f>
        <v>#N/A</v>
      </c>
      <c r="M1221" t="e">
        <f>NA()</f>
        <v>#N/A</v>
      </c>
      <c r="N1221" t="e">
        <f>NA()</f>
        <v>#N/A</v>
      </c>
      <c r="O1221">
        <f t="shared" si="42"/>
        <v>0.1</v>
      </c>
    </row>
    <row r="1222" spans="1:15" x14ac:dyDescent="0.25">
      <c r="A1222" s="1">
        <v>44230</v>
      </c>
      <c r="B1222" t="e">
        <f>NA()</f>
        <v>#N/A</v>
      </c>
      <c r="C1222" t="e">
        <f>NA()</f>
        <v>#N/A</v>
      </c>
      <c r="D1222" t="e">
        <f>NA()</f>
        <v>#N/A</v>
      </c>
      <c r="E1222" t="e">
        <f>NA()</f>
        <v>#N/A</v>
      </c>
      <c r="F1222" t="e">
        <f>NA()</f>
        <v>#N/A</v>
      </c>
      <c r="G1222" t="e">
        <f>NA()</f>
        <v>#N/A</v>
      </c>
      <c r="H1222" t="e">
        <f>NA()</f>
        <v>#N/A</v>
      </c>
      <c r="I1222" t="e">
        <f>NA()</f>
        <v>#N/A</v>
      </c>
      <c r="J1222" t="e">
        <f>NA()</f>
        <v>#N/A</v>
      </c>
      <c r="K1222" t="e">
        <f>NA()</f>
        <v>#N/A</v>
      </c>
      <c r="L1222" t="e">
        <f>NA()</f>
        <v>#N/A</v>
      </c>
      <c r="M1222" t="e">
        <f>NA()</f>
        <v>#N/A</v>
      </c>
      <c r="N1222" t="e">
        <f>NA()</f>
        <v>#N/A</v>
      </c>
      <c r="O1222">
        <f t="shared" si="42"/>
        <v>0.1</v>
      </c>
    </row>
    <row r="1223" spans="1:15" x14ac:dyDescent="0.25">
      <c r="A1223" s="1">
        <v>44229</v>
      </c>
      <c r="B1223" t="e">
        <f>NA()</f>
        <v>#N/A</v>
      </c>
      <c r="C1223" t="e">
        <f>NA()</f>
        <v>#N/A</v>
      </c>
      <c r="D1223" t="e">
        <f>NA()</f>
        <v>#N/A</v>
      </c>
      <c r="E1223" t="e">
        <f>NA()</f>
        <v>#N/A</v>
      </c>
      <c r="F1223" t="e">
        <f>NA()</f>
        <v>#N/A</v>
      </c>
      <c r="G1223" t="e">
        <f>NA()</f>
        <v>#N/A</v>
      </c>
      <c r="H1223" t="e">
        <f>NA()</f>
        <v>#N/A</v>
      </c>
      <c r="I1223" t="e">
        <f>NA()</f>
        <v>#N/A</v>
      </c>
      <c r="J1223" t="e">
        <f>NA()</f>
        <v>#N/A</v>
      </c>
      <c r="K1223" t="e">
        <f>NA()</f>
        <v>#N/A</v>
      </c>
      <c r="L1223" t="e">
        <f>NA()</f>
        <v>#N/A</v>
      </c>
      <c r="M1223" t="e">
        <f>NA()</f>
        <v>#N/A</v>
      </c>
      <c r="N1223" t="e">
        <f>NA()</f>
        <v>#N/A</v>
      </c>
      <c r="O1223">
        <f t="shared" si="42"/>
        <v>0.1</v>
      </c>
    </row>
    <row r="1224" spans="1:15" x14ac:dyDescent="0.25">
      <c r="A1224" s="1">
        <v>44228</v>
      </c>
      <c r="B1224" t="e">
        <f>NA()</f>
        <v>#N/A</v>
      </c>
      <c r="C1224" t="e">
        <f>NA()</f>
        <v>#N/A</v>
      </c>
      <c r="D1224" t="e">
        <f>NA()</f>
        <v>#N/A</v>
      </c>
      <c r="E1224" t="e">
        <f>NA()</f>
        <v>#N/A</v>
      </c>
      <c r="F1224" t="e">
        <f>NA()</f>
        <v>#N/A</v>
      </c>
      <c r="G1224" t="e">
        <f>NA()</f>
        <v>#N/A</v>
      </c>
      <c r="H1224" t="e">
        <f>NA()</f>
        <v>#N/A</v>
      </c>
      <c r="I1224" t="e">
        <f>NA()</f>
        <v>#N/A</v>
      </c>
      <c r="J1224" t="e">
        <f>NA()</f>
        <v>#N/A</v>
      </c>
      <c r="K1224" t="e">
        <f>NA()</f>
        <v>#N/A</v>
      </c>
      <c r="L1224" t="e">
        <f>NA()</f>
        <v>#N/A</v>
      </c>
      <c r="M1224" t="e">
        <f>NA()</f>
        <v>#N/A</v>
      </c>
      <c r="N1224" t="e">
        <f>NA()</f>
        <v>#N/A</v>
      </c>
      <c r="O1224">
        <f t="shared" si="42"/>
        <v>0.1</v>
      </c>
    </row>
    <row r="1225" spans="1:15" x14ac:dyDescent="0.25">
      <c r="A1225" s="1">
        <v>44227</v>
      </c>
      <c r="B1225" t="e">
        <f>NA()</f>
        <v>#N/A</v>
      </c>
      <c r="C1225" t="e">
        <f>NA()</f>
        <v>#N/A</v>
      </c>
      <c r="D1225">
        <f>0</f>
        <v>0</v>
      </c>
      <c r="E1225">
        <f>3.8</f>
        <v>3.8</v>
      </c>
      <c r="F1225">
        <f>7204</f>
        <v>7204</v>
      </c>
      <c r="G1225">
        <f>61.4</f>
        <v>61.4</v>
      </c>
      <c r="H1225">
        <f>1.4</f>
        <v>1.4</v>
      </c>
      <c r="I1225">
        <f>261.6</f>
        <v>261.60000000000002</v>
      </c>
      <c r="J1225">
        <f>1.4</f>
        <v>1.4</v>
      </c>
      <c r="K1225">
        <f>59.2</f>
        <v>59.2</v>
      </c>
      <c r="L1225">
        <f>0.6</f>
        <v>0.6</v>
      </c>
      <c r="M1225" t="e">
        <f>NA()</f>
        <v>#N/A</v>
      </c>
      <c r="N1225">
        <f>6.4</f>
        <v>6.4</v>
      </c>
      <c r="O1225" t="e">
        <f>NA()</f>
        <v>#N/A</v>
      </c>
    </row>
    <row r="1226" spans="1:15" x14ac:dyDescent="0.25">
      <c r="A1226" s="1">
        <v>44225</v>
      </c>
      <c r="B1226">
        <f>-0.3</f>
        <v>-0.3</v>
      </c>
      <c r="C1226">
        <f>0</f>
        <v>0</v>
      </c>
      <c r="D1226" t="e">
        <f>NA()</f>
        <v>#N/A</v>
      </c>
      <c r="E1226" t="e">
        <f>NA()</f>
        <v>#N/A</v>
      </c>
      <c r="F1226" t="e">
        <f>NA()</f>
        <v>#N/A</v>
      </c>
      <c r="G1226" t="e">
        <f>NA()</f>
        <v>#N/A</v>
      </c>
      <c r="H1226" t="e">
        <f>NA()</f>
        <v>#N/A</v>
      </c>
      <c r="I1226" t="e">
        <f>NA()</f>
        <v>#N/A</v>
      </c>
      <c r="J1226" t="e">
        <f>NA()</f>
        <v>#N/A</v>
      </c>
      <c r="K1226" t="e">
        <f>NA()</f>
        <v>#N/A</v>
      </c>
      <c r="L1226" t="e">
        <f>NA()</f>
        <v>#N/A</v>
      </c>
      <c r="M1226" t="e">
        <f>NA()</f>
        <v>#N/A</v>
      </c>
      <c r="N1226" t="e">
        <f>NA()</f>
        <v>#N/A</v>
      </c>
      <c r="O1226">
        <f t="shared" ref="O1226:O1244" si="43">0.1</f>
        <v>0.1</v>
      </c>
    </row>
    <row r="1227" spans="1:15" x14ac:dyDescent="0.25">
      <c r="A1227" s="1">
        <v>44224</v>
      </c>
      <c r="B1227" t="e">
        <f>NA()</f>
        <v>#N/A</v>
      </c>
      <c r="C1227" t="e">
        <f>NA()</f>
        <v>#N/A</v>
      </c>
      <c r="D1227" t="e">
        <f>NA()</f>
        <v>#N/A</v>
      </c>
      <c r="E1227" t="e">
        <f>NA()</f>
        <v>#N/A</v>
      </c>
      <c r="F1227" t="e">
        <f>NA()</f>
        <v>#N/A</v>
      </c>
      <c r="G1227" t="e">
        <f>NA()</f>
        <v>#N/A</v>
      </c>
      <c r="H1227" t="e">
        <f>NA()</f>
        <v>#N/A</v>
      </c>
      <c r="I1227" t="e">
        <f>NA()</f>
        <v>#N/A</v>
      </c>
      <c r="J1227" t="e">
        <f>NA()</f>
        <v>#N/A</v>
      </c>
      <c r="K1227" t="e">
        <f>NA()</f>
        <v>#N/A</v>
      </c>
      <c r="L1227" t="e">
        <f>NA()</f>
        <v>#N/A</v>
      </c>
      <c r="M1227" t="e">
        <f>NA()</f>
        <v>#N/A</v>
      </c>
      <c r="N1227" t="e">
        <f>NA()</f>
        <v>#N/A</v>
      </c>
      <c r="O1227">
        <f t="shared" si="43"/>
        <v>0.1</v>
      </c>
    </row>
    <row r="1228" spans="1:15" x14ac:dyDescent="0.25">
      <c r="A1228" s="1">
        <v>44223</v>
      </c>
      <c r="B1228" t="e">
        <f>NA()</f>
        <v>#N/A</v>
      </c>
      <c r="C1228" t="e">
        <f>NA()</f>
        <v>#N/A</v>
      </c>
      <c r="D1228" t="e">
        <f>NA()</f>
        <v>#N/A</v>
      </c>
      <c r="E1228" t="e">
        <f>NA()</f>
        <v>#N/A</v>
      </c>
      <c r="F1228" t="e">
        <f>NA()</f>
        <v>#N/A</v>
      </c>
      <c r="G1228" t="e">
        <f>NA()</f>
        <v>#N/A</v>
      </c>
      <c r="H1228" t="e">
        <f>NA()</f>
        <v>#N/A</v>
      </c>
      <c r="I1228" t="e">
        <f>NA()</f>
        <v>#N/A</v>
      </c>
      <c r="J1228" t="e">
        <f>NA()</f>
        <v>#N/A</v>
      </c>
      <c r="K1228" t="e">
        <f>NA()</f>
        <v>#N/A</v>
      </c>
      <c r="L1228" t="e">
        <f>NA()</f>
        <v>#N/A</v>
      </c>
      <c r="M1228" t="e">
        <f>NA()</f>
        <v>#N/A</v>
      </c>
      <c r="N1228" t="e">
        <f>NA()</f>
        <v>#N/A</v>
      </c>
      <c r="O1228">
        <f t="shared" si="43"/>
        <v>0.1</v>
      </c>
    </row>
    <row r="1229" spans="1:15" x14ac:dyDescent="0.25">
      <c r="A1229" s="1">
        <v>44222</v>
      </c>
      <c r="B1229" t="e">
        <f>NA()</f>
        <v>#N/A</v>
      </c>
      <c r="C1229" t="e">
        <f>NA()</f>
        <v>#N/A</v>
      </c>
      <c r="D1229" t="e">
        <f>NA()</f>
        <v>#N/A</v>
      </c>
      <c r="E1229" t="e">
        <f>NA()</f>
        <v>#N/A</v>
      </c>
      <c r="F1229" t="e">
        <f>NA()</f>
        <v>#N/A</v>
      </c>
      <c r="G1229" t="e">
        <f>NA()</f>
        <v>#N/A</v>
      </c>
      <c r="H1229" t="e">
        <f>NA()</f>
        <v>#N/A</v>
      </c>
      <c r="I1229" t="e">
        <f>NA()</f>
        <v>#N/A</v>
      </c>
      <c r="J1229" t="e">
        <f>NA()</f>
        <v>#N/A</v>
      </c>
      <c r="K1229" t="e">
        <f>NA()</f>
        <v>#N/A</v>
      </c>
      <c r="L1229" t="e">
        <f>NA()</f>
        <v>#N/A</v>
      </c>
      <c r="M1229" t="e">
        <f>NA()</f>
        <v>#N/A</v>
      </c>
      <c r="N1229" t="e">
        <f>NA()</f>
        <v>#N/A</v>
      </c>
      <c r="O1229">
        <f t="shared" si="43"/>
        <v>0.1</v>
      </c>
    </row>
    <row r="1230" spans="1:15" x14ac:dyDescent="0.25">
      <c r="A1230" s="1">
        <v>44221</v>
      </c>
      <c r="B1230" t="e">
        <f>NA()</f>
        <v>#N/A</v>
      </c>
      <c r="C1230" t="e">
        <f>NA()</f>
        <v>#N/A</v>
      </c>
      <c r="D1230" t="e">
        <f>NA()</f>
        <v>#N/A</v>
      </c>
      <c r="E1230" t="e">
        <f>NA()</f>
        <v>#N/A</v>
      </c>
      <c r="F1230" t="e">
        <f>NA()</f>
        <v>#N/A</v>
      </c>
      <c r="G1230" t="e">
        <f>NA()</f>
        <v>#N/A</v>
      </c>
      <c r="H1230" t="e">
        <f>NA()</f>
        <v>#N/A</v>
      </c>
      <c r="I1230" t="e">
        <f>NA()</f>
        <v>#N/A</v>
      </c>
      <c r="J1230" t="e">
        <f>NA()</f>
        <v>#N/A</v>
      </c>
      <c r="K1230" t="e">
        <f>NA()</f>
        <v>#N/A</v>
      </c>
      <c r="L1230" t="e">
        <f>NA()</f>
        <v>#N/A</v>
      </c>
      <c r="M1230" t="e">
        <f>NA()</f>
        <v>#N/A</v>
      </c>
      <c r="N1230" t="e">
        <f>NA()</f>
        <v>#N/A</v>
      </c>
      <c r="O1230">
        <f t="shared" si="43"/>
        <v>0.1</v>
      </c>
    </row>
    <row r="1231" spans="1:15" x14ac:dyDescent="0.25">
      <c r="A1231" s="1">
        <v>44218</v>
      </c>
      <c r="B1231">
        <f>-0.5</f>
        <v>-0.5</v>
      </c>
      <c r="C1231">
        <f>0</f>
        <v>0</v>
      </c>
      <c r="D1231" t="e">
        <f>NA()</f>
        <v>#N/A</v>
      </c>
      <c r="E1231" t="e">
        <f>NA()</f>
        <v>#N/A</v>
      </c>
      <c r="F1231" t="e">
        <f>NA()</f>
        <v>#N/A</v>
      </c>
      <c r="G1231" t="e">
        <f>NA()</f>
        <v>#N/A</v>
      </c>
      <c r="H1231" t="e">
        <f>NA()</f>
        <v>#N/A</v>
      </c>
      <c r="I1231" t="e">
        <f>NA()</f>
        <v>#N/A</v>
      </c>
      <c r="J1231" t="e">
        <f>NA()</f>
        <v>#N/A</v>
      </c>
      <c r="K1231" t="e">
        <f>NA()</f>
        <v>#N/A</v>
      </c>
      <c r="L1231" t="e">
        <f>NA()</f>
        <v>#N/A</v>
      </c>
      <c r="M1231" t="e">
        <f>NA()</f>
        <v>#N/A</v>
      </c>
      <c r="N1231" t="e">
        <f>NA()</f>
        <v>#N/A</v>
      </c>
      <c r="O1231">
        <f t="shared" si="43"/>
        <v>0.1</v>
      </c>
    </row>
    <row r="1232" spans="1:15" x14ac:dyDescent="0.25">
      <c r="A1232" s="1">
        <v>44217</v>
      </c>
      <c r="B1232" t="e">
        <f>NA()</f>
        <v>#N/A</v>
      </c>
      <c r="C1232" t="e">
        <f>NA()</f>
        <v>#N/A</v>
      </c>
      <c r="D1232" t="e">
        <f>NA()</f>
        <v>#N/A</v>
      </c>
      <c r="E1232" t="e">
        <f>NA()</f>
        <v>#N/A</v>
      </c>
      <c r="F1232" t="e">
        <f>NA()</f>
        <v>#N/A</v>
      </c>
      <c r="G1232" t="e">
        <f>NA()</f>
        <v>#N/A</v>
      </c>
      <c r="H1232" t="e">
        <f>NA()</f>
        <v>#N/A</v>
      </c>
      <c r="I1232" t="e">
        <f>NA()</f>
        <v>#N/A</v>
      </c>
      <c r="J1232" t="e">
        <f>NA()</f>
        <v>#N/A</v>
      </c>
      <c r="K1232" t="e">
        <f>NA()</f>
        <v>#N/A</v>
      </c>
      <c r="L1232" t="e">
        <f>NA()</f>
        <v>#N/A</v>
      </c>
      <c r="M1232" t="e">
        <f>NA()</f>
        <v>#N/A</v>
      </c>
      <c r="N1232" t="e">
        <f>NA()</f>
        <v>#N/A</v>
      </c>
      <c r="O1232">
        <f t="shared" si="43"/>
        <v>0.1</v>
      </c>
    </row>
    <row r="1233" spans="1:15" x14ac:dyDescent="0.25">
      <c r="A1233" s="1">
        <v>44216</v>
      </c>
      <c r="B1233" t="e">
        <f>NA()</f>
        <v>#N/A</v>
      </c>
      <c r="C1233" t="e">
        <f>NA()</f>
        <v>#N/A</v>
      </c>
      <c r="D1233" t="e">
        <f>NA()</f>
        <v>#N/A</v>
      </c>
      <c r="E1233" t="e">
        <f>NA()</f>
        <v>#N/A</v>
      </c>
      <c r="F1233" t="e">
        <f>NA()</f>
        <v>#N/A</v>
      </c>
      <c r="G1233" t="e">
        <f>NA()</f>
        <v>#N/A</v>
      </c>
      <c r="H1233" t="e">
        <f>NA()</f>
        <v>#N/A</v>
      </c>
      <c r="I1233" t="e">
        <f>NA()</f>
        <v>#N/A</v>
      </c>
      <c r="J1233" t="e">
        <f>NA()</f>
        <v>#N/A</v>
      </c>
      <c r="K1233" t="e">
        <f>NA()</f>
        <v>#N/A</v>
      </c>
      <c r="L1233" t="e">
        <f>NA()</f>
        <v>#N/A</v>
      </c>
      <c r="M1233" t="e">
        <f>NA()</f>
        <v>#N/A</v>
      </c>
      <c r="N1233" t="e">
        <f>NA()</f>
        <v>#N/A</v>
      </c>
      <c r="O1233">
        <f t="shared" si="43"/>
        <v>0.1</v>
      </c>
    </row>
    <row r="1234" spans="1:15" x14ac:dyDescent="0.25">
      <c r="A1234" s="1">
        <v>44215</v>
      </c>
      <c r="B1234" t="e">
        <f>NA()</f>
        <v>#N/A</v>
      </c>
      <c r="C1234" t="e">
        <f>NA()</f>
        <v>#N/A</v>
      </c>
      <c r="D1234" t="e">
        <f>NA()</f>
        <v>#N/A</v>
      </c>
      <c r="E1234" t="e">
        <f>NA()</f>
        <v>#N/A</v>
      </c>
      <c r="F1234" t="e">
        <f>NA()</f>
        <v>#N/A</v>
      </c>
      <c r="G1234" t="e">
        <f>NA()</f>
        <v>#N/A</v>
      </c>
      <c r="H1234" t="e">
        <f>NA()</f>
        <v>#N/A</v>
      </c>
      <c r="I1234" t="e">
        <f>NA()</f>
        <v>#N/A</v>
      </c>
      <c r="J1234" t="e">
        <f>NA()</f>
        <v>#N/A</v>
      </c>
      <c r="K1234" t="e">
        <f>NA()</f>
        <v>#N/A</v>
      </c>
      <c r="L1234" t="e">
        <f>NA()</f>
        <v>#N/A</v>
      </c>
      <c r="M1234" t="e">
        <f>NA()</f>
        <v>#N/A</v>
      </c>
      <c r="N1234" t="e">
        <f>NA()</f>
        <v>#N/A</v>
      </c>
      <c r="O1234">
        <f t="shared" si="43"/>
        <v>0.1</v>
      </c>
    </row>
    <row r="1235" spans="1:15" x14ac:dyDescent="0.25">
      <c r="A1235" s="1">
        <v>44211</v>
      </c>
      <c r="B1235">
        <f>-0.5</f>
        <v>-0.5</v>
      </c>
      <c r="C1235">
        <f>0</f>
        <v>0</v>
      </c>
      <c r="D1235" t="e">
        <f>NA()</f>
        <v>#N/A</v>
      </c>
      <c r="E1235" t="e">
        <f>NA()</f>
        <v>#N/A</v>
      </c>
      <c r="F1235" t="e">
        <f>NA()</f>
        <v>#N/A</v>
      </c>
      <c r="G1235" t="e">
        <f>NA()</f>
        <v>#N/A</v>
      </c>
      <c r="H1235" t="e">
        <f>NA()</f>
        <v>#N/A</v>
      </c>
      <c r="I1235" t="e">
        <f>NA()</f>
        <v>#N/A</v>
      </c>
      <c r="J1235" t="e">
        <f>NA()</f>
        <v>#N/A</v>
      </c>
      <c r="K1235" t="e">
        <f>NA()</f>
        <v>#N/A</v>
      </c>
      <c r="L1235" t="e">
        <f>NA()</f>
        <v>#N/A</v>
      </c>
      <c r="M1235" t="e">
        <f>NA()</f>
        <v>#N/A</v>
      </c>
      <c r="N1235" t="e">
        <f>NA()</f>
        <v>#N/A</v>
      </c>
      <c r="O1235">
        <f t="shared" si="43"/>
        <v>0.1</v>
      </c>
    </row>
    <row r="1236" spans="1:15" x14ac:dyDescent="0.25">
      <c r="A1236" s="1">
        <v>44210</v>
      </c>
      <c r="B1236" t="e">
        <f>NA()</f>
        <v>#N/A</v>
      </c>
      <c r="C1236" t="e">
        <f>NA()</f>
        <v>#N/A</v>
      </c>
      <c r="D1236" t="e">
        <f>NA()</f>
        <v>#N/A</v>
      </c>
      <c r="E1236" t="e">
        <f>NA()</f>
        <v>#N/A</v>
      </c>
      <c r="F1236" t="e">
        <f>NA()</f>
        <v>#N/A</v>
      </c>
      <c r="G1236" t="e">
        <f>NA()</f>
        <v>#N/A</v>
      </c>
      <c r="H1236" t="e">
        <f>NA()</f>
        <v>#N/A</v>
      </c>
      <c r="I1236" t="e">
        <f>NA()</f>
        <v>#N/A</v>
      </c>
      <c r="J1236" t="e">
        <f>NA()</f>
        <v>#N/A</v>
      </c>
      <c r="K1236" t="e">
        <f>NA()</f>
        <v>#N/A</v>
      </c>
      <c r="L1236" t="e">
        <f>NA()</f>
        <v>#N/A</v>
      </c>
      <c r="M1236" t="e">
        <f>NA()</f>
        <v>#N/A</v>
      </c>
      <c r="N1236" t="e">
        <f>NA()</f>
        <v>#N/A</v>
      </c>
      <c r="O1236">
        <f t="shared" si="43"/>
        <v>0.1</v>
      </c>
    </row>
    <row r="1237" spans="1:15" x14ac:dyDescent="0.25">
      <c r="A1237" s="1">
        <v>44209</v>
      </c>
      <c r="B1237" t="e">
        <f>NA()</f>
        <v>#N/A</v>
      </c>
      <c r="C1237" t="e">
        <f>NA()</f>
        <v>#N/A</v>
      </c>
      <c r="D1237" t="e">
        <f>NA()</f>
        <v>#N/A</v>
      </c>
      <c r="E1237" t="e">
        <f>NA()</f>
        <v>#N/A</v>
      </c>
      <c r="F1237" t="e">
        <f>NA()</f>
        <v>#N/A</v>
      </c>
      <c r="G1237" t="e">
        <f>NA()</f>
        <v>#N/A</v>
      </c>
      <c r="H1237" t="e">
        <f>NA()</f>
        <v>#N/A</v>
      </c>
      <c r="I1237" t="e">
        <f>NA()</f>
        <v>#N/A</v>
      </c>
      <c r="J1237" t="e">
        <f>NA()</f>
        <v>#N/A</v>
      </c>
      <c r="K1237" t="e">
        <f>NA()</f>
        <v>#N/A</v>
      </c>
      <c r="L1237" t="e">
        <f>NA()</f>
        <v>#N/A</v>
      </c>
      <c r="M1237" t="e">
        <f>NA()</f>
        <v>#N/A</v>
      </c>
      <c r="N1237" t="e">
        <f>NA()</f>
        <v>#N/A</v>
      </c>
      <c r="O1237">
        <f t="shared" si="43"/>
        <v>0.1</v>
      </c>
    </row>
    <row r="1238" spans="1:15" x14ac:dyDescent="0.25">
      <c r="A1238" s="1">
        <v>44208</v>
      </c>
      <c r="B1238" t="e">
        <f>NA()</f>
        <v>#N/A</v>
      </c>
      <c r="C1238" t="e">
        <f>NA()</f>
        <v>#N/A</v>
      </c>
      <c r="D1238" t="e">
        <f>NA()</f>
        <v>#N/A</v>
      </c>
      <c r="E1238" t="e">
        <f>NA()</f>
        <v>#N/A</v>
      </c>
      <c r="F1238" t="e">
        <f>NA()</f>
        <v>#N/A</v>
      </c>
      <c r="G1238" t="e">
        <f>NA()</f>
        <v>#N/A</v>
      </c>
      <c r="H1238" t="e">
        <f>NA()</f>
        <v>#N/A</v>
      </c>
      <c r="I1238" t="e">
        <f>NA()</f>
        <v>#N/A</v>
      </c>
      <c r="J1238" t="e">
        <f>NA()</f>
        <v>#N/A</v>
      </c>
      <c r="K1238" t="e">
        <f>NA()</f>
        <v>#N/A</v>
      </c>
      <c r="L1238" t="e">
        <f>NA()</f>
        <v>#N/A</v>
      </c>
      <c r="M1238" t="e">
        <f>NA()</f>
        <v>#N/A</v>
      </c>
      <c r="N1238" t="e">
        <f>NA()</f>
        <v>#N/A</v>
      </c>
      <c r="O1238">
        <f t="shared" si="43"/>
        <v>0.1</v>
      </c>
    </row>
    <row r="1239" spans="1:15" x14ac:dyDescent="0.25">
      <c r="A1239" s="1">
        <v>44207</v>
      </c>
      <c r="B1239" t="e">
        <f>NA()</f>
        <v>#N/A</v>
      </c>
      <c r="C1239" t="e">
        <f>NA()</f>
        <v>#N/A</v>
      </c>
      <c r="D1239" t="e">
        <f>NA()</f>
        <v>#N/A</v>
      </c>
      <c r="E1239" t="e">
        <f>NA()</f>
        <v>#N/A</v>
      </c>
      <c r="F1239" t="e">
        <f>NA()</f>
        <v>#N/A</v>
      </c>
      <c r="G1239" t="e">
        <f>NA()</f>
        <v>#N/A</v>
      </c>
      <c r="H1239" t="e">
        <f>NA()</f>
        <v>#N/A</v>
      </c>
      <c r="I1239" t="e">
        <f>NA()</f>
        <v>#N/A</v>
      </c>
      <c r="J1239" t="e">
        <f>NA()</f>
        <v>#N/A</v>
      </c>
      <c r="K1239" t="e">
        <f>NA()</f>
        <v>#N/A</v>
      </c>
      <c r="L1239" t="e">
        <f>NA()</f>
        <v>#N/A</v>
      </c>
      <c r="M1239" t="e">
        <f>NA()</f>
        <v>#N/A</v>
      </c>
      <c r="N1239" t="e">
        <f>NA()</f>
        <v>#N/A</v>
      </c>
      <c r="O1239">
        <f t="shared" si="43"/>
        <v>0.1</v>
      </c>
    </row>
    <row r="1240" spans="1:15" x14ac:dyDescent="0.25">
      <c r="A1240" s="1">
        <v>44204</v>
      </c>
      <c r="B1240">
        <f>-0.5</f>
        <v>-0.5</v>
      </c>
      <c r="C1240">
        <f>0</f>
        <v>0</v>
      </c>
      <c r="D1240" t="e">
        <f>NA()</f>
        <v>#N/A</v>
      </c>
      <c r="E1240" t="e">
        <f>NA()</f>
        <v>#N/A</v>
      </c>
      <c r="F1240" t="e">
        <f>NA()</f>
        <v>#N/A</v>
      </c>
      <c r="G1240" t="e">
        <f>NA()</f>
        <v>#N/A</v>
      </c>
      <c r="H1240" t="e">
        <f>NA()</f>
        <v>#N/A</v>
      </c>
      <c r="I1240" t="e">
        <f>NA()</f>
        <v>#N/A</v>
      </c>
      <c r="J1240" t="e">
        <f>NA()</f>
        <v>#N/A</v>
      </c>
      <c r="K1240" t="e">
        <f>NA()</f>
        <v>#N/A</v>
      </c>
      <c r="L1240" t="e">
        <f>NA()</f>
        <v>#N/A</v>
      </c>
      <c r="M1240" t="e">
        <f>NA()</f>
        <v>#N/A</v>
      </c>
      <c r="N1240" t="e">
        <f>NA()</f>
        <v>#N/A</v>
      </c>
      <c r="O1240">
        <f t="shared" si="43"/>
        <v>0.1</v>
      </c>
    </row>
    <row r="1241" spans="1:15" x14ac:dyDescent="0.25">
      <c r="A1241" s="1">
        <v>44203</v>
      </c>
      <c r="B1241" t="e">
        <f>NA()</f>
        <v>#N/A</v>
      </c>
      <c r="C1241" t="e">
        <f>NA()</f>
        <v>#N/A</v>
      </c>
      <c r="D1241" t="e">
        <f>NA()</f>
        <v>#N/A</v>
      </c>
      <c r="E1241" t="e">
        <f>NA()</f>
        <v>#N/A</v>
      </c>
      <c r="F1241" t="e">
        <f>NA()</f>
        <v>#N/A</v>
      </c>
      <c r="G1241" t="e">
        <f>NA()</f>
        <v>#N/A</v>
      </c>
      <c r="H1241" t="e">
        <f>NA()</f>
        <v>#N/A</v>
      </c>
      <c r="I1241" t="e">
        <f>NA()</f>
        <v>#N/A</v>
      </c>
      <c r="J1241" t="e">
        <f>NA()</f>
        <v>#N/A</v>
      </c>
      <c r="K1241" t="e">
        <f>NA()</f>
        <v>#N/A</v>
      </c>
      <c r="L1241" t="e">
        <f>NA()</f>
        <v>#N/A</v>
      </c>
      <c r="M1241" t="e">
        <f>NA()</f>
        <v>#N/A</v>
      </c>
      <c r="N1241" t="e">
        <f>NA()</f>
        <v>#N/A</v>
      </c>
      <c r="O1241">
        <f t="shared" si="43"/>
        <v>0.1</v>
      </c>
    </row>
    <row r="1242" spans="1:15" x14ac:dyDescent="0.25">
      <c r="A1242" s="1">
        <v>44202</v>
      </c>
      <c r="B1242" t="e">
        <f>NA()</f>
        <v>#N/A</v>
      </c>
      <c r="C1242" t="e">
        <f>NA()</f>
        <v>#N/A</v>
      </c>
      <c r="D1242" t="e">
        <f>NA()</f>
        <v>#N/A</v>
      </c>
      <c r="E1242" t="e">
        <f>NA()</f>
        <v>#N/A</v>
      </c>
      <c r="F1242" t="e">
        <f>NA()</f>
        <v>#N/A</v>
      </c>
      <c r="G1242" t="e">
        <f>NA()</f>
        <v>#N/A</v>
      </c>
      <c r="H1242" t="e">
        <f>NA()</f>
        <v>#N/A</v>
      </c>
      <c r="I1242" t="e">
        <f>NA()</f>
        <v>#N/A</v>
      </c>
      <c r="J1242" t="e">
        <f>NA()</f>
        <v>#N/A</v>
      </c>
      <c r="K1242" t="e">
        <f>NA()</f>
        <v>#N/A</v>
      </c>
      <c r="L1242" t="e">
        <f>NA()</f>
        <v>#N/A</v>
      </c>
      <c r="M1242" t="e">
        <f>NA()</f>
        <v>#N/A</v>
      </c>
      <c r="N1242" t="e">
        <f>NA()</f>
        <v>#N/A</v>
      </c>
      <c r="O1242">
        <f t="shared" si="43"/>
        <v>0.1</v>
      </c>
    </row>
    <row r="1243" spans="1:15" x14ac:dyDescent="0.25">
      <c r="A1243" s="1">
        <v>44201</v>
      </c>
      <c r="B1243" t="e">
        <f>NA()</f>
        <v>#N/A</v>
      </c>
      <c r="C1243" t="e">
        <f>NA()</f>
        <v>#N/A</v>
      </c>
      <c r="D1243" t="e">
        <f>NA()</f>
        <v>#N/A</v>
      </c>
      <c r="E1243" t="e">
        <f>NA()</f>
        <v>#N/A</v>
      </c>
      <c r="F1243" t="e">
        <f>NA()</f>
        <v>#N/A</v>
      </c>
      <c r="G1243" t="e">
        <f>NA()</f>
        <v>#N/A</v>
      </c>
      <c r="H1243" t="e">
        <f>NA()</f>
        <v>#N/A</v>
      </c>
      <c r="I1243" t="e">
        <f>NA()</f>
        <v>#N/A</v>
      </c>
      <c r="J1243" t="e">
        <f>NA()</f>
        <v>#N/A</v>
      </c>
      <c r="K1243" t="e">
        <f>NA()</f>
        <v>#N/A</v>
      </c>
      <c r="L1243" t="e">
        <f>NA()</f>
        <v>#N/A</v>
      </c>
      <c r="M1243" t="e">
        <f>NA()</f>
        <v>#N/A</v>
      </c>
      <c r="N1243" t="e">
        <f>NA()</f>
        <v>#N/A</v>
      </c>
      <c r="O1243">
        <f t="shared" si="43"/>
        <v>0.1</v>
      </c>
    </row>
    <row r="1244" spans="1:15" x14ac:dyDescent="0.25">
      <c r="A1244" s="1">
        <v>44200</v>
      </c>
      <c r="B1244" t="e">
        <f>NA()</f>
        <v>#N/A</v>
      </c>
      <c r="C1244" t="e">
        <f>NA()</f>
        <v>#N/A</v>
      </c>
      <c r="D1244" t="e">
        <f>NA()</f>
        <v>#N/A</v>
      </c>
      <c r="E1244" t="e">
        <f>NA()</f>
        <v>#N/A</v>
      </c>
      <c r="F1244" t="e">
        <f>NA()</f>
        <v>#N/A</v>
      </c>
      <c r="G1244" t="e">
        <f>NA()</f>
        <v>#N/A</v>
      </c>
      <c r="H1244" t="e">
        <f>NA()</f>
        <v>#N/A</v>
      </c>
      <c r="I1244" t="e">
        <f>NA()</f>
        <v>#N/A</v>
      </c>
      <c r="J1244" t="e">
        <f>NA()</f>
        <v>#N/A</v>
      </c>
      <c r="K1244" t="e">
        <f>NA()</f>
        <v>#N/A</v>
      </c>
      <c r="L1244" t="e">
        <f>NA()</f>
        <v>#N/A</v>
      </c>
      <c r="M1244" t="e">
        <f>NA()</f>
        <v>#N/A</v>
      </c>
      <c r="N1244" t="e">
        <f>NA()</f>
        <v>#N/A</v>
      </c>
      <c r="O1244">
        <f t="shared" si="43"/>
        <v>0.1</v>
      </c>
    </row>
    <row r="1245" spans="1:15" x14ac:dyDescent="0.25">
      <c r="A1245" s="1">
        <v>44197</v>
      </c>
      <c r="B1245">
        <f>-0.5</f>
        <v>-0.5</v>
      </c>
      <c r="C1245">
        <f>0</f>
        <v>0</v>
      </c>
      <c r="D1245" t="e">
        <f>NA()</f>
        <v>#N/A</v>
      </c>
      <c r="E1245" t="e">
        <f>NA()</f>
        <v>#N/A</v>
      </c>
      <c r="F1245" t="e">
        <f>NA()</f>
        <v>#N/A</v>
      </c>
      <c r="G1245" t="e">
        <f>NA()</f>
        <v>#N/A</v>
      </c>
      <c r="H1245" t="e">
        <f>NA()</f>
        <v>#N/A</v>
      </c>
      <c r="I1245" t="e">
        <f>NA()</f>
        <v>#N/A</v>
      </c>
      <c r="J1245" t="e">
        <f>NA()</f>
        <v>#N/A</v>
      </c>
      <c r="K1245" t="e">
        <f>NA()</f>
        <v>#N/A</v>
      </c>
      <c r="L1245" t="e">
        <f>NA()</f>
        <v>#N/A</v>
      </c>
      <c r="M1245" t="e">
        <f>NA()</f>
        <v>#N/A</v>
      </c>
      <c r="N1245" t="e">
        <f>NA()</f>
        <v>#N/A</v>
      </c>
      <c r="O1245" t="e">
        <f>NA()</f>
        <v>#N/A</v>
      </c>
    </row>
    <row r="1246" spans="1:15" x14ac:dyDescent="0.25">
      <c r="A1246" s="1">
        <v>44196</v>
      </c>
      <c r="B1246" t="e">
        <f>NA()</f>
        <v>#N/A</v>
      </c>
      <c r="C1246" t="e">
        <f>NA()</f>
        <v>#N/A</v>
      </c>
      <c r="D1246">
        <f>0.9</f>
        <v>0.9</v>
      </c>
      <c r="E1246">
        <f>4</f>
        <v>4</v>
      </c>
      <c r="F1246">
        <f>6773</f>
        <v>6773</v>
      </c>
      <c r="G1246">
        <f>61.5</f>
        <v>61.5</v>
      </c>
      <c r="H1246">
        <f>0.3</f>
        <v>0.3</v>
      </c>
      <c r="I1246">
        <f>260.5</f>
        <v>260.5</v>
      </c>
      <c r="J1246">
        <f>1.4</f>
        <v>1.4</v>
      </c>
      <c r="K1246">
        <f>60.2</f>
        <v>60.2</v>
      </c>
      <c r="L1246">
        <f>1.3</f>
        <v>1.3</v>
      </c>
      <c r="M1246">
        <f>4.6</f>
        <v>4.5999999999999996</v>
      </c>
      <c r="N1246">
        <f>6.7</f>
        <v>6.7</v>
      </c>
      <c r="O1246">
        <f>0.1</f>
        <v>0.1</v>
      </c>
    </row>
    <row r="1247" spans="1:15" x14ac:dyDescent="0.25">
      <c r="A1247" s="1">
        <v>44195</v>
      </c>
      <c r="B1247" t="e">
        <f>NA()</f>
        <v>#N/A</v>
      </c>
      <c r="C1247" t="e">
        <f>NA()</f>
        <v>#N/A</v>
      </c>
      <c r="D1247" t="e">
        <f>NA()</f>
        <v>#N/A</v>
      </c>
      <c r="E1247" t="e">
        <f>NA()</f>
        <v>#N/A</v>
      </c>
      <c r="F1247" t="e">
        <f>NA()</f>
        <v>#N/A</v>
      </c>
      <c r="G1247" t="e">
        <f>NA()</f>
        <v>#N/A</v>
      </c>
      <c r="H1247" t="e">
        <f>NA()</f>
        <v>#N/A</v>
      </c>
      <c r="I1247" t="e">
        <f>NA()</f>
        <v>#N/A</v>
      </c>
      <c r="J1247" t="e">
        <f>NA()</f>
        <v>#N/A</v>
      </c>
      <c r="K1247" t="e">
        <f>NA()</f>
        <v>#N/A</v>
      </c>
      <c r="L1247" t="e">
        <f>NA()</f>
        <v>#N/A</v>
      </c>
      <c r="M1247" t="e">
        <f>NA()</f>
        <v>#N/A</v>
      </c>
      <c r="N1247" t="e">
        <f>NA()</f>
        <v>#N/A</v>
      </c>
      <c r="O1247">
        <f>0.1</f>
        <v>0.1</v>
      </c>
    </row>
    <row r="1248" spans="1:15" x14ac:dyDescent="0.25">
      <c r="A1248" s="1">
        <v>44194</v>
      </c>
      <c r="B1248" t="e">
        <f>NA()</f>
        <v>#N/A</v>
      </c>
      <c r="C1248" t="e">
        <f>NA()</f>
        <v>#N/A</v>
      </c>
      <c r="D1248" t="e">
        <f>NA()</f>
        <v>#N/A</v>
      </c>
      <c r="E1248" t="e">
        <f>NA()</f>
        <v>#N/A</v>
      </c>
      <c r="F1248" t="e">
        <f>NA()</f>
        <v>#N/A</v>
      </c>
      <c r="G1248" t="e">
        <f>NA()</f>
        <v>#N/A</v>
      </c>
      <c r="H1248" t="e">
        <f>NA()</f>
        <v>#N/A</v>
      </c>
      <c r="I1248" t="e">
        <f>NA()</f>
        <v>#N/A</v>
      </c>
      <c r="J1248" t="e">
        <f>NA()</f>
        <v>#N/A</v>
      </c>
      <c r="K1248" t="e">
        <f>NA()</f>
        <v>#N/A</v>
      </c>
      <c r="L1248" t="e">
        <f>NA()</f>
        <v>#N/A</v>
      </c>
      <c r="M1248" t="e">
        <f>NA()</f>
        <v>#N/A</v>
      </c>
      <c r="N1248" t="e">
        <f>NA()</f>
        <v>#N/A</v>
      </c>
      <c r="O1248">
        <f>0.1</f>
        <v>0.1</v>
      </c>
    </row>
    <row r="1249" spans="1:15" x14ac:dyDescent="0.25">
      <c r="A1249" s="1">
        <v>44193</v>
      </c>
      <c r="B1249" t="e">
        <f>NA()</f>
        <v>#N/A</v>
      </c>
      <c r="C1249" t="e">
        <f>NA()</f>
        <v>#N/A</v>
      </c>
      <c r="D1249" t="e">
        <f>NA()</f>
        <v>#N/A</v>
      </c>
      <c r="E1249" t="e">
        <f>NA()</f>
        <v>#N/A</v>
      </c>
      <c r="F1249" t="e">
        <f>NA()</f>
        <v>#N/A</v>
      </c>
      <c r="G1249" t="e">
        <f>NA()</f>
        <v>#N/A</v>
      </c>
      <c r="H1249" t="e">
        <f>NA()</f>
        <v>#N/A</v>
      </c>
      <c r="I1249" t="e">
        <f>NA()</f>
        <v>#N/A</v>
      </c>
      <c r="J1249" t="e">
        <f>NA()</f>
        <v>#N/A</v>
      </c>
      <c r="K1249" t="e">
        <f>NA()</f>
        <v>#N/A</v>
      </c>
      <c r="L1249" t="e">
        <f>NA()</f>
        <v>#N/A</v>
      </c>
      <c r="M1249" t="e">
        <f>NA()</f>
        <v>#N/A</v>
      </c>
      <c r="N1249" t="e">
        <f>NA()</f>
        <v>#N/A</v>
      </c>
      <c r="O1249">
        <f>0.1</f>
        <v>0.1</v>
      </c>
    </row>
    <row r="1250" spans="1:15" x14ac:dyDescent="0.25">
      <c r="A1250" s="1">
        <v>44190</v>
      </c>
      <c r="B1250">
        <f>-0.4</f>
        <v>-0.4</v>
      </c>
      <c r="C1250">
        <f>0</f>
        <v>0</v>
      </c>
      <c r="D1250" t="e">
        <f>NA()</f>
        <v>#N/A</v>
      </c>
      <c r="E1250" t="e">
        <f>NA()</f>
        <v>#N/A</v>
      </c>
      <c r="F1250" t="e">
        <f>NA()</f>
        <v>#N/A</v>
      </c>
      <c r="G1250" t="e">
        <f>NA()</f>
        <v>#N/A</v>
      </c>
      <c r="H1250" t="e">
        <f>NA()</f>
        <v>#N/A</v>
      </c>
      <c r="I1250" t="e">
        <f>NA()</f>
        <v>#N/A</v>
      </c>
      <c r="J1250" t="e">
        <f>NA()</f>
        <v>#N/A</v>
      </c>
      <c r="K1250" t="e">
        <f>NA()</f>
        <v>#N/A</v>
      </c>
      <c r="L1250" t="e">
        <f>NA()</f>
        <v>#N/A</v>
      </c>
      <c r="M1250" t="e">
        <f>NA()</f>
        <v>#N/A</v>
      </c>
      <c r="N1250" t="e">
        <f>NA()</f>
        <v>#N/A</v>
      </c>
      <c r="O1250" t="e">
        <f>NA()</f>
        <v>#N/A</v>
      </c>
    </row>
    <row r="1251" spans="1:15" x14ac:dyDescent="0.25">
      <c r="A1251" s="1">
        <v>44189</v>
      </c>
      <c r="B1251" t="e">
        <f>NA()</f>
        <v>#N/A</v>
      </c>
      <c r="C1251" t="e">
        <f>NA()</f>
        <v>#N/A</v>
      </c>
      <c r="D1251" t="e">
        <f>NA()</f>
        <v>#N/A</v>
      </c>
      <c r="E1251" t="e">
        <f>NA()</f>
        <v>#N/A</v>
      </c>
      <c r="F1251" t="e">
        <f>NA()</f>
        <v>#N/A</v>
      </c>
      <c r="G1251" t="e">
        <f>NA()</f>
        <v>#N/A</v>
      </c>
      <c r="H1251" t="e">
        <f>NA()</f>
        <v>#N/A</v>
      </c>
      <c r="I1251" t="e">
        <f>NA()</f>
        <v>#N/A</v>
      </c>
      <c r="J1251" t="e">
        <f>NA()</f>
        <v>#N/A</v>
      </c>
      <c r="K1251" t="e">
        <f>NA()</f>
        <v>#N/A</v>
      </c>
      <c r="L1251" t="e">
        <f>NA()</f>
        <v>#N/A</v>
      </c>
      <c r="M1251" t="e">
        <f>NA()</f>
        <v>#N/A</v>
      </c>
      <c r="N1251" t="e">
        <f>NA()</f>
        <v>#N/A</v>
      </c>
      <c r="O1251">
        <f t="shared" ref="O1251:O1287" si="44">0.1</f>
        <v>0.1</v>
      </c>
    </row>
    <row r="1252" spans="1:15" x14ac:dyDescent="0.25">
      <c r="A1252" s="1">
        <v>44188</v>
      </c>
      <c r="B1252" t="e">
        <f>NA()</f>
        <v>#N/A</v>
      </c>
      <c r="C1252" t="e">
        <f>NA()</f>
        <v>#N/A</v>
      </c>
      <c r="D1252" t="e">
        <f>NA()</f>
        <v>#N/A</v>
      </c>
      <c r="E1252" t="e">
        <f>NA()</f>
        <v>#N/A</v>
      </c>
      <c r="F1252" t="e">
        <f>NA()</f>
        <v>#N/A</v>
      </c>
      <c r="G1252" t="e">
        <f>NA()</f>
        <v>#N/A</v>
      </c>
      <c r="H1252" t="e">
        <f>NA()</f>
        <v>#N/A</v>
      </c>
      <c r="I1252" t="e">
        <f>NA()</f>
        <v>#N/A</v>
      </c>
      <c r="J1252" t="e">
        <f>NA()</f>
        <v>#N/A</v>
      </c>
      <c r="K1252" t="e">
        <f>NA()</f>
        <v>#N/A</v>
      </c>
      <c r="L1252" t="e">
        <f>NA()</f>
        <v>#N/A</v>
      </c>
      <c r="M1252" t="e">
        <f>NA()</f>
        <v>#N/A</v>
      </c>
      <c r="N1252" t="e">
        <f>NA()</f>
        <v>#N/A</v>
      </c>
      <c r="O1252">
        <f t="shared" si="44"/>
        <v>0.1</v>
      </c>
    </row>
    <row r="1253" spans="1:15" x14ac:dyDescent="0.25">
      <c r="A1253" s="1">
        <v>44187</v>
      </c>
      <c r="B1253" t="e">
        <f>NA()</f>
        <v>#N/A</v>
      </c>
      <c r="C1253" t="e">
        <f>NA()</f>
        <v>#N/A</v>
      </c>
      <c r="D1253" t="e">
        <f>NA()</f>
        <v>#N/A</v>
      </c>
      <c r="E1253" t="e">
        <f>NA()</f>
        <v>#N/A</v>
      </c>
      <c r="F1253" t="e">
        <f>NA()</f>
        <v>#N/A</v>
      </c>
      <c r="G1253" t="e">
        <f>NA()</f>
        <v>#N/A</v>
      </c>
      <c r="H1253" t="e">
        <f>NA()</f>
        <v>#N/A</v>
      </c>
      <c r="I1253" t="e">
        <f>NA()</f>
        <v>#N/A</v>
      </c>
      <c r="J1253" t="e">
        <f>NA()</f>
        <v>#N/A</v>
      </c>
      <c r="K1253" t="e">
        <f>NA()</f>
        <v>#N/A</v>
      </c>
      <c r="L1253" t="e">
        <f>NA()</f>
        <v>#N/A</v>
      </c>
      <c r="M1253" t="e">
        <f>NA()</f>
        <v>#N/A</v>
      </c>
      <c r="N1253" t="e">
        <f>NA()</f>
        <v>#N/A</v>
      </c>
      <c r="O1253">
        <f t="shared" si="44"/>
        <v>0.1</v>
      </c>
    </row>
    <row r="1254" spans="1:15" x14ac:dyDescent="0.25">
      <c r="A1254" s="1">
        <v>44186</v>
      </c>
      <c r="B1254" t="e">
        <f>NA()</f>
        <v>#N/A</v>
      </c>
      <c r="C1254" t="e">
        <f>NA()</f>
        <v>#N/A</v>
      </c>
      <c r="D1254" t="e">
        <f>NA()</f>
        <v>#N/A</v>
      </c>
      <c r="E1254" t="e">
        <f>NA()</f>
        <v>#N/A</v>
      </c>
      <c r="F1254" t="e">
        <f>NA()</f>
        <v>#N/A</v>
      </c>
      <c r="G1254" t="e">
        <f>NA()</f>
        <v>#N/A</v>
      </c>
      <c r="H1254" t="e">
        <f>NA()</f>
        <v>#N/A</v>
      </c>
      <c r="I1254" t="e">
        <f>NA()</f>
        <v>#N/A</v>
      </c>
      <c r="J1254" t="e">
        <f>NA()</f>
        <v>#N/A</v>
      </c>
      <c r="K1254" t="e">
        <f>NA()</f>
        <v>#N/A</v>
      </c>
      <c r="L1254" t="e">
        <f>NA()</f>
        <v>#N/A</v>
      </c>
      <c r="M1254" t="e">
        <f>NA()</f>
        <v>#N/A</v>
      </c>
      <c r="N1254" t="e">
        <f>NA()</f>
        <v>#N/A</v>
      </c>
      <c r="O1254">
        <f t="shared" si="44"/>
        <v>0.1</v>
      </c>
    </row>
    <row r="1255" spans="1:15" x14ac:dyDescent="0.25">
      <c r="A1255" s="1">
        <v>44183</v>
      </c>
      <c r="B1255">
        <f>-0.4</f>
        <v>-0.4</v>
      </c>
      <c r="C1255">
        <f>0</f>
        <v>0</v>
      </c>
      <c r="D1255" t="e">
        <f>NA()</f>
        <v>#N/A</v>
      </c>
      <c r="E1255" t="e">
        <f>NA()</f>
        <v>#N/A</v>
      </c>
      <c r="F1255" t="e">
        <f>NA()</f>
        <v>#N/A</v>
      </c>
      <c r="G1255" t="e">
        <f>NA()</f>
        <v>#N/A</v>
      </c>
      <c r="H1255" t="e">
        <f>NA()</f>
        <v>#N/A</v>
      </c>
      <c r="I1255" t="e">
        <f>NA()</f>
        <v>#N/A</v>
      </c>
      <c r="J1255" t="e">
        <f>NA()</f>
        <v>#N/A</v>
      </c>
      <c r="K1255" t="e">
        <f>NA()</f>
        <v>#N/A</v>
      </c>
      <c r="L1255" t="e">
        <f>NA()</f>
        <v>#N/A</v>
      </c>
      <c r="M1255" t="e">
        <f>NA()</f>
        <v>#N/A</v>
      </c>
      <c r="N1255" t="e">
        <f>NA()</f>
        <v>#N/A</v>
      </c>
      <c r="O1255">
        <f t="shared" si="44"/>
        <v>0.1</v>
      </c>
    </row>
    <row r="1256" spans="1:15" x14ac:dyDescent="0.25">
      <c r="A1256" s="1">
        <v>44182</v>
      </c>
      <c r="B1256" t="e">
        <f>NA()</f>
        <v>#N/A</v>
      </c>
      <c r="C1256" t="e">
        <f>NA()</f>
        <v>#N/A</v>
      </c>
      <c r="D1256" t="e">
        <f>NA()</f>
        <v>#N/A</v>
      </c>
      <c r="E1256" t="e">
        <f>NA()</f>
        <v>#N/A</v>
      </c>
      <c r="F1256" t="e">
        <f>NA()</f>
        <v>#N/A</v>
      </c>
      <c r="G1256" t="e">
        <f>NA()</f>
        <v>#N/A</v>
      </c>
      <c r="H1256" t="e">
        <f>NA()</f>
        <v>#N/A</v>
      </c>
      <c r="I1256" t="e">
        <f>NA()</f>
        <v>#N/A</v>
      </c>
      <c r="J1256" t="e">
        <f>NA()</f>
        <v>#N/A</v>
      </c>
      <c r="K1256" t="e">
        <f>NA()</f>
        <v>#N/A</v>
      </c>
      <c r="L1256" t="e">
        <f>NA()</f>
        <v>#N/A</v>
      </c>
      <c r="M1256" t="e">
        <f>NA()</f>
        <v>#N/A</v>
      </c>
      <c r="N1256" t="e">
        <f>NA()</f>
        <v>#N/A</v>
      </c>
      <c r="O1256">
        <f t="shared" si="44"/>
        <v>0.1</v>
      </c>
    </row>
    <row r="1257" spans="1:15" x14ac:dyDescent="0.25">
      <c r="A1257" s="1">
        <v>44181</v>
      </c>
      <c r="B1257" t="e">
        <f>NA()</f>
        <v>#N/A</v>
      </c>
      <c r="C1257" t="e">
        <f>NA()</f>
        <v>#N/A</v>
      </c>
      <c r="D1257" t="e">
        <f>NA()</f>
        <v>#N/A</v>
      </c>
      <c r="E1257" t="e">
        <f>NA()</f>
        <v>#N/A</v>
      </c>
      <c r="F1257" t="e">
        <f>NA()</f>
        <v>#N/A</v>
      </c>
      <c r="G1257" t="e">
        <f>NA()</f>
        <v>#N/A</v>
      </c>
      <c r="H1257" t="e">
        <f>NA()</f>
        <v>#N/A</v>
      </c>
      <c r="I1257" t="e">
        <f>NA()</f>
        <v>#N/A</v>
      </c>
      <c r="J1257" t="e">
        <f>NA()</f>
        <v>#N/A</v>
      </c>
      <c r="K1257" t="e">
        <f>NA()</f>
        <v>#N/A</v>
      </c>
      <c r="L1257" t="e">
        <f>NA()</f>
        <v>#N/A</v>
      </c>
      <c r="M1257" t="e">
        <f>NA()</f>
        <v>#N/A</v>
      </c>
      <c r="N1257" t="e">
        <f>NA()</f>
        <v>#N/A</v>
      </c>
      <c r="O1257">
        <f t="shared" si="44"/>
        <v>0.1</v>
      </c>
    </row>
    <row r="1258" spans="1:15" x14ac:dyDescent="0.25">
      <c r="A1258" s="1">
        <v>44180</v>
      </c>
      <c r="B1258" t="e">
        <f>NA()</f>
        <v>#N/A</v>
      </c>
      <c r="C1258" t="e">
        <f>NA()</f>
        <v>#N/A</v>
      </c>
      <c r="D1258" t="e">
        <f>NA()</f>
        <v>#N/A</v>
      </c>
      <c r="E1258" t="e">
        <f>NA()</f>
        <v>#N/A</v>
      </c>
      <c r="F1258" t="e">
        <f>NA()</f>
        <v>#N/A</v>
      </c>
      <c r="G1258" t="e">
        <f>NA()</f>
        <v>#N/A</v>
      </c>
      <c r="H1258" t="e">
        <f>NA()</f>
        <v>#N/A</v>
      </c>
      <c r="I1258" t="e">
        <f>NA()</f>
        <v>#N/A</v>
      </c>
      <c r="J1258" t="e">
        <f>NA()</f>
        <v>#N/A</v>
      </c>
      <c r="K1258" t="e">
        <f>NA()</f>
        <v>#N/A</v>
      </c>
      <c r="L1258" t="e">
        <f>NA()</f>
        <v>#N/A</v>
      </c>
      <c r="M1258" t="e">
        <f>NA()</f>
        <v>#N/A</v>
      </c>
      <c r="N1258" t="e">
        <f>NA()</f>
        <v>#N/A</v>
      </c>
      <c r="O1258">
        <f t="shared" si="44"/>
        <v>0.1</v>
      </c>
    </row>
    <row r="1259" spans="1:15" x14ac:dyDescent="0.25">
      <c r="A1259" s="1">
        <v>44179</v>
      </c>
      <c r="B1259" t="e">
        <f>NA()</f>
        <v>#N/A</v>
      </c>
      <c r="C1259" t="e">
        <f>NA()</f>
        <v>#N/A</v>
      </c>
      <c r="D1259" t="e">
        <f>NA()</f>
        <v>#N/A</v>
      </c>
      <c r="E1259" t="e">
        <f>NA()</f>
        <v>#N/A</v>
      </c>
      <c r="F1259" t="e">
        <f>NA()</f>
        <v>#N/A</v>
      </c>
      <c r="G1259" t="e">
        <f>NA()</f>
        <v>#N/A</v>
      </c>
      <c r="H1259" t="e">
        <f>NA()</f>
        <v>#N/A</v>
      </c>
      <c r="I1259" t="e">
        <f>NA()</f>
        <v>#N/A</v>
      </c>
      <c r="J1259" t="e">
        <f>NA()</f>
        <v>#N/A</v>
      </c>
      <c r="K1259" t="e">
        <f>NA()</f>
        <v>#N/A</v>
      </c>
      <c r="L1259" t="e">
        <f>NA()</f>
        <v>#N/A</v>
      </c>
      <c r="M1259" t="e">
        <f>NA()</f>
        <v>#N/A</v>
      </c>
      <c r="N1259" t="e">
        <f>NA()</f>
        <v>#N/A</v>
      </c>
      <c r="O1259">
        <f t="shared" si="44"/>
        <v>0.1</v>
      </c>
    </row>
    <row r="1260" spans="1:15" x14ac:dyDescent="0.25">
      <c r="A1260" s="1">
        <v>44176</v>
      </c>
      <c r="B1260">
        <f>-0.4</f>
        <v>-0.4</v>
      </c>
      <c r="C1260">
        <f>0</f>
        <v>0</v>
      </c>
      <c r="D1260" t="e">
        <f>NA()</f>
        <v>#N/A</v>
      </c>
      <c r="E1260" t="e">
        <f>NA()</f>
        <v>#N/A</v>
      </c>
      <c r="F1260" t="e">
        <f>NA()</f>
        <v>#N/A</v>
      </c>
      <c r="G1260" t="e">
        <f>NA()</f>
        <v>#N/A</v>
      </c>
      <c r="H1260" t="e">
        <f>NA()</f>
        <v>#N/A</v>
      </c>
      <c r="I1260" t="e">
        <f>NA()</f>
        <v>#N/A</v>
      </c>
      <c r="J1260" t="e">
        <f>NA()</f>
        <v>#N/A</v>
      </c>
      <c r="K1260" t="e">
        <f>NA()</f>
        <v>#N/A</v>
      </c>
      <c r="L1260" t="e">
        <f>NA()</f>
        <v>#N/A</v>
      </c>
      <c r="M1260" t="e">
        <f>NA()</f>
        <v>#N/A</v>
      </c>
      <c r="N1260" t="e">
        <f>NA()</f>
        <v>#N/A</v>
      </c>
      <c r="O1260">
        <f t="shared" si="44"/>
        <v>0.1</v>
      </c>
    </row>
    <row r="1261" spans="1:15" x14ac:dyDescent="0.25">
      <c r="A1261" s="1">
        <v>44175</v>
      </c>
      <c r="B1261" t="e">
        <f>NA()</f>
        <v>#N/A</v>
      </c>
      <c r="C1261" t="e">
        <f>NA()</f>
        <v>#N/A</v>
      </c>
      <c r="D1261" t="e">
        <f>NA()</f>
        <v>#N/A</v>
      </c>
      <c r="E1261" t="e">
        <f>NA()</f>
        <v>#N/A</v>
      </c>
      <c r="F1261" t="e">
        <f>NA()</f>
        <v>#N/A</v>
      </c>
      <c r="G1261" t="e">
        <f>NA()</f>
        <v>#N/A</v>
      </c>
      <c r="H1261" t="e">
        <f>NA()</f>
        <v>#N/A</v>
      </c>
      <c r="I1261" t="e">
        <f>NA()</f>
        <v>#N/A</v>
      </c>
      <c r="J1261" t="e">
        <f>NA()</f>
        <v>#N/A</v>
      </c>
      <c r="K1261" t="e">
        <f>NA()</f>
        <v>#N/A</v>
      </c>
      <c r="L1261" t="e">
        <f>NA()</f>
        <v>#N/A</v>
      </c>
      <c r="M1261" t="e">
        <f>NA()</f>
        <v>#N/A</v>
      </c>
      <c r="N1261" t="e">
        <f>NA()</f>
        <v>#N/A</v>
      </c>
      <c r="O1261">
        <f t="shared" si="44"/>
        <v>0.1</v>
      </c>
    </row>
    <row r="1262" spans="1:15" x14ac:dyDescent="0.25">
      <c r="A1262" s="1">
        <v>44174</v>
      </c>
      <c r="B1262" t="e">
        <f>NA()</f>
        <v>#N/A</v>
      </c>
      <c r="C1262" t="e">
        <f>NA()</f>
        <v>#N/A</v>
      </c>
      <c r="D1262" t="e">
        <f>NA()</f>
        <v>#N/A</v>
      </c>
      <c r="E1262" t="e">
        <f>NA()</f>
        <v>#N/A</v>
      </c>
      <c r="F1262" t="e">
        <f>NA()</f>
        <v>#N/A</v>
      </c>
      <c r="G1262" t="e">
        <f>NA()</f>
        <v>#N/A</v>
      </c>
      <c r="H1262" t="e">
        <f>NA()</f>
        <v>#N/A</v>
      </c>
      <c r="I1262" t="e">
        <f>NA()</f>
        <v>#N/A</v>
      </c>
      <c r="J1262" t="e">
        <f>NA()</f>
        <v>#N/A</v>
      </c>
      <c r="K1262" t="e">
        <f>NA()</f>
        <v>#N/A</v>
      </c>
      <c r="L1262" t="e">
        <f>NA()</f>
        <v>#N/A</v>
      </c>
      <c r="M1262" t="e">
        <f>NA()</f>
        <v>#N/A</v>
      </c>
      <c r="N1262" t="e">
        <f>NA()</f>
        <v>#N/A</v>
      </c>
      <c r="O1262">
        <f t="shared" si="44"/>
        <v>0.1</v>
      </c>
    </row>
    <row r="1263" spans="1:15" x14ac:dyDescent="0.25">
      <c r="A1263" s="1">
        <v>44173</v>
      </c>
      <c r="B1263" t="e">
        <f>NA()</f>
        <v>#N/A</v>
      </c>
      <c r="C1263" t="e">
        <f>NA()</f>
        <v>#N/A</v>
      </c>
      <c r="D1263" t="e">
        <f>NA()</f>
        <v>#N/A</v>
      </c>
      <c r="E1263" t="e">
        <f>NA()</f>
        <v>#N/A</v>
      </c>
      <c r="F1263" t="e">
        <f>NA()</f>
        <v>#N/A</v>
      </c>
      <c r="G1263" t="e">
        <f>NA()</f>
        <v>#N/A</v>
      </c>
      <c r="H1263" t="e">
        <f>NA()</f>
        <v>#N/A</v>
      </c>
      <c r="I1263" t="e">
        <f>NA()</f>
        <v>#N/A</v>
      </c>
      <c r="J1263" t="e">
        <f>NA()</f>
        <v>#N/A</v>
      </c>
      <c r="K1263" t="e">
        <f>NA()</f>
        <v>#N/A</v>
      </c>
      <c r="L1263" t="e">
        <f>NA()</f>
        <v>#N/A</v>
      </c>
      <c r="M1263" t="e">
        <f>NA()</f>
        <v>#N/A</v>
      </c>
      <c r="N1263" t="e">
        <f>NA()</f>
        <v>#N/A</v>
      </c>
      <c r="O1263">
        <f t="shared" si="44"/>
        <v>0.1</v>
      </c>
    </row>
    <row r="1264" spans="1:15" x14ac:dyDescent="0.25">
      <c r="A1264" s="1">
        <v>44172</v>
      </c>
      <c r="B1264" t="e">
        <f>NA()</f>
        <v>#N/A</v>
      </c>
      <c r="C1264" t="e">
        <f>NA()</f>
        <v>#N/A</v>
      </c>
      <c r="D1264" t="e">
        <f>NA()</f>
        <v>#N/A</v>
      </c>
      <c r="E1264" t="e">
        <f>NA()</f>
        <v>#N/A</v>
      </c>
      <c r="F1264" t="e">
        <f>NA()</f>
        <v>#N/A</v>
      </c>
      <c r="G1264" t="e">
        <f>NA()</f>
        <v>#N/A</v>
      </c>
      <c r="H1264" t="e">
        <f>NA()</f>
        <v>#N/A</v>
      </c>
      <c r="I1264" t="e">
        <f>NA()</f>
        <v>#N/A</v>
      </c>
      <c r="J1264" t="e">
        <f>NA()</f>
        <v>#N/A</v>
      </c>
      <c r="K1264" t="e">
        <f>NA()</f>
        <v>#N/A</v>
      </c>
      <c r="L1264" t="e">
        <f>NA()</f>
        <v>#N/A</v>
      </c>
      <c r="M1264" t="e">
        <f>NA()</f>
        <v>#N/A</v>
      </c>
      <c r="N1264" t="e">
        <f>NA()</f>
        <v>#N/A</v>
      </c>
      <c r="O1264">
        <f t="shared" si="44"/>
        <v>0.1</v>
      </c>
    </row>
    <row r="1265" spans="1:15" x14ac:dyDescent="0.25">
      <c r="A1265" s="1">
        <v>44169</v>
      </c>
      <c r="B1265">
        <f>-0.4</f>
        <v>-0.4</v>
      </c>
      <c r="C1265">
        <f>0</f>
        <v>0</v>
      </c>
      <c r="D1265" t="e">
        <f>NA()</f>
        <v>#N/A</v>
      </c>
      <c r="E1265" t="e">
        <f>NA()</f>
        <v>#N/A</v>
      </c>
      <c r="F1265" t="e">
        <f>NA()</f>
        <v>#N/A</v>
      </c>
      <c r="G1265" t="e">
        <f>NA()</f>
        <v>#N/A</v>
      </c>
      <c r="H1265" t="e">
        <f>NA()</f>
        <v>#N/A</v>
      </c>
      <c r="I1265" t="e">
        <f>NA()</f>
        <v>#N/A</v>
      </c>
      <c r="J1265" t="e">
        <f>NA()</f>
        <v>#N/A</v>
      </c>
      <c r="K1265" t="e">
        <f>NA()</f>
        <v>#N/A</v>
      </c>
      <c r="L1265" t="e">
        <f>NA()</f>
        <v>#N/A</v>
      </c>
      <c r="M1265" t="e">
        <f>NA()</f>
        <v>#N/A</v>
      </c>
      <c r="N1265" t="e">
        <f>NA()</f>
        <v>#N/A</v>
      </c>
      <c r="O1265">
        <f t="shared" si="44"/>
        <v>0.1</v>
      </c>
    </row>
    <row r="1266" spans="1:15" x14ac:dyDescent="0.25">
      <c r="A1266" s="1">
        <v>44168</v>
      </c>
      <c r="B1266" t="e">
        <f>NA()</f>
        <v>#N/A</v>
      </c>
      <c r="C1266" t="e">
        <f>NA()</f>
        <v>#N/A</v>
      </c>
      <c r="D1266" t="e">
        <f>NA()</f>
        <v>#N/A</v>
      </c>
      <c r="E1266" t="e">
        <f>NA()</f>
        <v>#N/A</v>
      </c>
      <c r="F1266" t="e">
        <f>NA()</f>
        <v>#N/A</v>
      </c>
      <c r="G1266" t="e">
        <f>NA()</f>
        <v>#N/A</v>
      </c>
      <c r="H1266" t="e">
        <f>NA()</f>
        <v>#N/A</v>
      </c>
      <c r="I1266" t="e">
        <f>NA()</f>
        <v>#N/A</v>
      </c>
      <c r="J1266" t="e">
        <f>NA()</f>
        <v>#N/A</v>
      </c>
      <c r="K1266" t="e">
        <f>NA()</f>
        <v>#N/A</v>
      </c>
      <c r="L1266" t="e">
        <f>NA()</f>
        <v>#N/A</v>
      </c>
      <c r="M1266" t="e">
        <f>NA()</f>
        <v>#N/A</v>
      </c>
      <c r="N1266" t="e">
        <f>NA()</f>
        <v>#N/A</v>
      </c>
      <c r="O1266">
        <f t="shared" si="44"/>
        <v>0.1</v>
      </c>
    </row>
    <row r="1267" spans="1:15" x14ac:dyDescent="0.25">
      <c r="A1267" s="1">
        <v>44167</v>
      </c>
      <c r="B1267" t="e">
        <f>NA()</f>
        <v>#N/A</v>
      </c>
      <c r="C1267" t="e">
        <f>NA()</f>
        <v>#N/A</v>
      </c>
      <c r="D1267" t="e">
        <f>NA()</f>
        <v>#N/A</v>
      </c>
      <c r="E1267" t="e">
        <f>NA()</f>
        <v>#N/A</v>
      </c>
      <c r="F1267" t="e">
        <f>NA()</f>
        <v>#N/A</v>
      </c>
      <c r="G1267" t="e">
        <f>NA()</f>
        <v>#N/A</v>
      </c>
      <c r="H1267" t="e">
        <f>NA()</f>
        <v>#N/A</v>
      </c>
      <c r="I1267" t="e">
        <f>NA()</f>
        <v>#N/A</v>
      </c>
      <c r="J1267" t="e">
        <f>NA()</f>
        <v>#N/A</v>
      </c>
      <c r="K1267" t="e">
        <f>NA()</f>
        <v>#N/A</v>
      </c>
      <c r="L1267" t="e">
        <f>NA()</f>
        <v>#N/A</v>
      </c>
      <c r="M1267" t="e">
        <f>NA()</f>
        <v>#N/A</v>
      </c>
      <c r="N1267" t="e">
        <f>NA()</f>
        <v>#N/A</v>
      </c>
      <c r="O1267">
        <f t="shared" si="44"/>
        <v>0.1</v>
      </c>
    </row>
    <row r="1268" spans="1:15" x14ac:dyDescent="0.25">
      <c r="A1268" s="1">
        <v>44166</v>
      </c>
      <c r="B1268" t="e">
        <f>NA()</f>
        <v>#N/A</v>
      </c>
      <c r="C1268" t="e">
        <f>NA()</f>
        <v>#N/A</v>
      </c>
      <c r="D1268" t="e">
        <f>NA()</f>
        <v>#N/A</v>
      </c>
      <c r="E1268" t="e">
        <f>NA()</f>
        <v>#N/A</v>
      </c>
      <c r="F1268" t="e">
        <f>NA()</f>
        <v>#N/A</v>
      </c>
      <c r="G1268" t="e">
        <f>NA()</f>
        <v>#N/A</v>
      </c>
      <c r="H1268" t="e">
        <f>NA()</f>
        <v>#N/A</v>
      </c>
      <c r="I1268" t="e">
        <f>NA()</f>
        <v>#N/A</v>
      </c>
      <c r="J1268" t="e">
        <f>NA()</f>
        <v>#N/A</v>
      </c>
      <c r="K1268" t="e">
        <f>NA()</f>
        <v>#N/A</v>
      </c>
      <c r="L1268" t="e">
        <f>NA()</f>
        <v>#N/A</v>
      </c>
      <c r="M1268" t="e">
        <f>NA()</f>
        <v>#N/A</v>
      </c>
      <c r="N1268" t="e">
        <f>NA()</f>
        <v>#N/A</v>
      </c>
      <c r="O1268">
        <f t="shared" si="44"/>
        <v>0.1</v>
      </c>
    </row>
    <row r="1269" spans="1:15" x14ac:dyDescent="0.25">
      <c r="A1269" s="1">
        <v>44165</v>
      </c>
      <c r="B1269" t="e">
        <f>NA()</f>
        <v>#N/A</v>
      </c>
      <c r="C1269" t="e">
        <f>NA()</f>
        <v>#N/A</v>
      </c>
      <c r="D1269">
        <f>0.3</f>
        <v>0.3</v>
      </c>
      <c r="E1269">
        <f>3.4</f>
        <v>3.4</v>
      </c>
      <c r="F1269">
        <f>6820</f>
        <v>6820</v>
      </c>
      <c r="G1269">
        <f>61.5</f>
        <v>61.5</v>
      </c>
      <c r="H1269">
        <f>-0.1</f>
        <v>-0.1</v>
      </c>
      <c r="I1269">
        <f>260.2</f>
        <v>260.2</v>
      </c>
      <c r="J1269">
        <f>1.2</f>
        <v>1.2</v>
      </c>
      <c r="K1269">
        <f>57.3</f>
        <v>57.3</v>
      </c>
      <c r="L1269">
        <f>0.4</f>
        <v>0.4</v>
      </c>
      <c r="M1269" t="e">
        <f>NA()</f>
        <v>#N/A</v>
      </c>
      <c r="N1269">
        <f>6.7</f>
        <v>6.7</v>
      </c>
      <c r="O1269">
        <f t="shared" si="44"/>
        <v>0.1</v>
      </c>
    </row>
    <row r="1270" spans="1:15" x14ac:dyDescent="0.25">
      <c r="A1270" s="1">
        <v>44162</v>
      </c>
      <c r="B1270">
        <f>-0.4</f>
        <v>-0.4</v>
      </c>
      <c r="C1270">
        <f>0</f>
        <v>0</v>
      </c>
      <c r="D1270" t="e">
        <f>NA()</f>
        <v>#N/A</v>
      </c>
      <c r="E1270" t="e">
        <f>NA()</f>
        <v>#N/A</v>
      </c>
      <c r="F1270" t="e">
        <f>NA()</f>
        <v>#N/A</v>
      </c>
      <c r="G1270" t="e">
        <f>NA()</f>
        <v>#N/A</v>
      </c>
      <c r="H1270" t="e">
        <f>NA()</f>
        <v>#N/A</v>
      </c>
      <c r="I1270" t="e">
        <f>NA()</f>
        <v>#N/A</v>
      </c>
      <c r="J1270" t="e">
        <f>NA()</f>
        <v>#N/A</v>
      </c>
      <c r="K1270" t="e">
        <f>NA()</f>
        <v>#N/A</v>
      </c>
      <c r="L1270" t="e">
        <f>NA()</f>
        <v>#N/A</v>
      </c>
      <c r="M1270" t="e">
        <f>NA()</f>
        <v>#N/A</v>
      </c>
      <c r="N1270" t="e">
        <f>NA()</f>
        <v>#N/A</v>
      </c>
      <c r="O1270">
        <f t="shared" si="44"/>
        <v>0.1</v>
      </c>
    </row>
    <row r="1271" spans="1:15" x14ac:dyDescent="0.25">
      <c r="A1271" s="1">
        <v>44160</v>
      </c>
      <c r="B1271" t="e">
        <f>NA()</f>
        <v>#N/A</v>
      </c>
      <c r="C1271" t="e">
        <f>NA()</f>
        <v>#N/A</v>
      </c>
      <c r="D1271" t="e">
        <f>NA()</f>
        <v>#N/A</v>
      </c>
      <c r="E1271" t="e">
        <f>NA()</f>
        <v>#N/A</v>
      </c>
      <c r="F1271" t="e">
        <f>NA()</f>
        <v>#N/A</v>
      </c>
      <c r="G1271" t="e">
        <f>NA()</f>
        <v>#N/A</v>
      </c>
      <c r="H1271" t="e">
        <f>NA()</f>
        <v>#N/A</v>
      </c>
      <c r="I1271" t="e">
        <f>NA()</f>
        <v>#N/A</v>
      </c>
      <c r="J1271" t="e">
        <f>NA()</f>
        <v>#N/A</v>
      </c>
      <c r="K1271" t="e">
        <f>NA()</f>
        <v>#N/A</v>
      </c>
      <c r="L1271" t="e">
        <f>NA()</f>
        <v>#N/A</v>
      </c>
      <c r="M1271" t="e">
        <f>NA()</f>
        <v>#N/A</v>
      </c>
      <c r="N1271" t="e">
        <f>NA()</f>
        <v>#N/A</v>
      </c>
      <c r="O1271">
        <f t="shared" si="44"/>
        <v>0.1</v>
      </c>
    </row>
    <row r="1272" spans="1:15" x14ac:dyDescent="0.25">
      <c r="A1272" s="1">
        <v>44159</v>
      </c>
      <c r="B1272" t="e">
        <f>NA()</f>
        <v>#N/A</v>
      </c>
      <c r="C1272" t="e">
        <f>NA()</f>
        <v>#N/A</v>
      </c>
      <c r="D1272" t="e">
        <f>NA()</f>
        <v>#N/A</v>
      </c>
      <c r="E1272" t="e">
        <f>NA()</f>
        <v>#N/A</v>
      </c>
      <c r="F1272" t="e">
        <f>NA()</f>
        <v>#N/A</v>
      </c>
      <c r="G1272" t="e">
        <f>NA()</f>
        <v>#N/A</v>
      </c>
      <c r="H1272" t="e">
        <f>NA()</f>
        <v>#N/A</v>
      </c>
      <c r="I1272" t="e">
        <f>NA()</f>
        <v>#N/A</v>
      </c>
      <c r="J1272" t="e">
        <f>NA()</f>
        <v>#N/A</v>
      </c>
      <c r="K1272" t="e">
        <f>NA()</f>
        <v>#N/A</v>
      </c>
      <c r="L1272" t="e">
        <f>NA()</f>
        <v>#N/A</v>
      </c>
      <c r="M1272" t="e">
        <f>NA()</f>
        <v>#N/A</v>
      </c>
      <c r="N1272" t="e">
        <f>NA()</f>
        <v>#N/A</v>
      </c>
      <c r="O1272">
        <f t="shared" si="44"/>
        <v>0.1</v>
      </c>
    </row>
    <row r="1273" spans="1:15" x14ac:dyDescent="0.25">
      <c r="A1273" s="1">
        <v>44158</v>
      </c>
      <c r="B1273" t="e">
        <f>NA()</f>
        <v>#N/A</v>
      </c>
      <c r="C1273" t="e">
        <f>NA()</f>
        <v>#N/A</v>
      </c>
      <c r="D1273" t="e">
        <f>NA()</f>
        <v>#N/A</v>
      </c>
      <c r="E1273" t="e">
        <f>NA()</f>
        <v>#N/A</v>
      </c>
      <c r="F1273" t="e">
        <f>NA()</f>
        <v>#N/A</v>
      </c>
      <c r="G1273" t="e">
        <f>NA()</f>
        <v>#N/A</v>
      </c>
      <c r="H1273" t="e">
        <f>NA()</f>
        <v>#N/A</v>
      </c>
      <c r="I1273" t="e">
        <f>NA()</f>
        <v>#N/A</v>
      </c>
      <c r="J1273" t="e">
        <f>NA()</f>
        <v>#N/A</v>
      </c>
      <c r="K1273" t="e">
        <f>NA()</f>
        <v>#N/A</v>
      </c>
      <c r="L1273" t="e">
        <f>NA()</f>
        <v>#N/A</v>
      </c>
      <c r="M1273" t="e">
        <f>NA()</f>
        <v>#N/A</v>
      </c>
      <c r="N1273" t="e">
        <f>NA()</f>
        <v>#N/A</v>
      </c>
      <c r="O1273">
        <f t="shared" si="44"/>
        <v>0.1</v>
      </c>
    </row>
    <row r="1274" spans="1:15" x14ac:dyDescent="0.25">
      <c r="A1274" s="1">
        <v>44155</v>
      </c>
      <c r="B1274">
        <f>-0.2</f>
        <v>-0.2</v>
      </c>
      <c r="C1274">
        <f>0</f>
        <v>0</v>
      </c>
      <c r="D1274" t="e">
        <f>NA()</f>
        <v>#N/A</v>
      </c>
      <c r="E1274" t="e">
        <f>NA()</f>
        <v>#N/A</v>
      </c>
      <c r="F1274" t="e">
        <f>NA()</f>
        <v>#N/A</v>
      </c>
      <c r="G1274" t="e">
        <f>NA()</f>
        <v>#N/A</v>
      </c>
      <c r="H1274" t="e">
        <f>NA()</f>
        <v>#N/A</v>
      </c>
      <c r="I1274" t="e">
        <f>NA()</f>
        <v>#N/A</v>
      </c>
      <c r="J1274" t="e">
        <f>NA()</f>
        <v>#N/A</v>
      </c>
      <c r="K1274" t="e">
        <f>NA()</f>
        <v>#N/A</v>
      </c>
      <c r="L1274" t="e">
        <f>NA()</f>
        <v>#N/A</v>
      </c>
      <c r="M1274" t="e">
        <f>NA()</f>
        <v>#N/A</v>
      </c>
      <c r="N1274" t="e">
        <f>NA()</f>
        <v>#N/A</v>
      </c>
      <c r="O1274">
        <f t="shared" si="44"/>
        <v>0.1</v>
      </c>
    </row>
    <row r="1275" spans="1:15" x14ac:dyDescent="0.25">
      <c r="A1275" s="1">
        <v>44154</v>
      </c>
      <c r="B1275" t="e">
        <f>NA()</f>
        <v>#N/A</v>
      </c>
      <c r="C1275" t="e">
        <f>NA()</f>
        <v>#N/A</v>
      </c>
      <c r="D1275" t="e">
        <f>NA()</f>
        <v>#N/A</v>
      </c>
      <c r="E1275" t="e">
        <f>NA()</f>
        <v>#N/A</v>
      </c>
      <c r="F1275" t="e">
        <f>NA()</f>
        <v>#N/A</v>
      </c>
      <c r="G1275" t="e">
        <f>NA()</f>
        <v>#N/A</v>
      </c>
      <c r="H1275" t="e">
        <f>NA()</f>
        <v>#N/A</v>
      </c>
      <c r="I1275" t="e">
        <f>NA()</f>
        <v>#N/A</v>
      </c>
      <c r="J1275" t="e">
        <f>NA()</f>
        <v>#N/A</v>
      </c>
      <c r="K1275" t="e">
        <f>NA()</f>
        <v>#N/A</v>
      </c>
      <c r="L1275" t="e">
        <f>NA()</f>
        <v>#N/A</v>
      </c>
      <c r="M1275" t="e">
        <f>NA()</f>
        <v>#N/A</v>
      </c>
      <c r="N1275" t="e">
        <f>NA()</f>
        <v>#N/A</v>
      </c>
      <c r="O1275">
        <f t="shared" si="44"/>
        <v>0.1</v>
      </c>
    </row>
    <row r="1276" spans="1:15" x14ac:dyDescent="0.25">
      <c r="A1276" s="1">
        <v>44153</v>
      </c>
      <c r="B1276" t="e">
        <f>NA()</f>
        <v>#N/A</v>
      </c>
      <c r="C1276" t="e">
        <f>NA()</f>
        <v>#N/A</v>
      </c>
      <c r="D1276" t="e">
        <f>NA()</f>
        <v>#N/A</v>
      </c>
      <c r="E1276" t="e">
        <f>NA()</f>
        <v>#N/A</v>
      </c>
      <c r="F1276" t="e">
        <f>NA()</f>
        <v>#N/A</v>
      </c>
      <c r="G1276" t="e">
        <f>NA()</f>
        <v>#N/A</v>
      </c>
      <c r="H1276" t="e">
        <f>NA()</f>
        <v>#N/A</v>
      </c>
      <c r="I1276" t="e">
        <f>NA()</f>
        <v>#N/A</v>
      </c>
      <c r="J1276" t="e">
        <f>NA()</f>
        <v>#N/A</v>
      </c>
      <c r="K1276" t="e">
        <f>NA()</f>
        <v>#N/A</v>
      </c>
      <c r="L1276" t="e">
        <f>NA()</f>
        <v>#N/A</v>
      </c>
      <c r="M1276" t="e">
        <f>NA()</f>
        <v>#N/A</v>
      </c>
      <c r="N1276" t="e">
        <f>NA()</f>
        <v>#N/A</v>
      </c>
      <c r="O1276">
        <f t="shared" si="44"/>
        <v>0.1</v>
      </c>
    </row>
    <row r="1277" spans="1:15" x14ac:dyDescent="0.25">
      <c r="A1277" s="1">
        <v>44152</v>
      </c>
      <c r="B1277" t="e">
        <f>NA()</f>
        <v>#N/A</v>
      </c>
      <c r="C1277" t="e">
        <f>NA()</f>
        <v>#N/A</v>
      </c>
      <c r="D1277" t="e">
        <f>NA()</f>
        <v>#N/A</v>
      </c>
      <c r="E1277" t="e">
        <f>NA()</f>
        <v>#N/A</v>
      </c>
      <c r="F1277" t="e">
        <f>NA()</f>
        <v>#N/A</v>
      </c>
      <c r="G1277" t="e">
        <f>NA()</f>
        <v>#N/A</v>
      </c>
      <c r="H1277" t="e">
        <f>NA()</f>
        <v>#N/A</v>
      </c>
      <c r="I1277" t="e">
        <f>NA()</f>
        <v>#N/A</v>
      </c>
      <c r="J1277" t="e">
        <f>NA()</f>
        <v>#N/A</v>
      </c>
      <c r="K1277" t="e">
        <f>NA()</f>
        <v>#N/A</v>
      </c>
      <c r="L1277" t="e">
        <f>NA()</f>
        <v>#N/A</v>
      </c>
      <c r="M1277" t="e">
        <f>NA()</f>
        <v>#N/A</v>
      </c>
      <c r="N1277" t="e">
        <f>NA()</f>
        <v>#N/A</v>
      </c>
      <c r="O1277">
        <f t="shared" si="44"/>
        <v>0.1</v>
      </c>
    </row>
    <row r="1278" spans="1:15" x14ac:dyDescent="0.25">
      <c r="A1278" s="1">
        <v>44151</v>
      </c>
      <c r="B1278" t="e">
        <f>NA()</f>
        <v>#N/A</v>
      </c>
      <c r="C1278" t="e">
        <f>NA()</f>
        <v>#N/A</v>
      </c>
      <c r="D1278" t="e">
        <f>NA()</f>
        <v>#N/A</v>
      </c>
      <c r="E1278" t="e">
        <f>NA()</f>
        <v>#N/A</v>
      </c>
      <c r="F1278" t="e">
        <f>NA()</f>
        <v>#N/A</v>
      </c>
      <c r="G1278" t="e">
        <f>NA()</f>
        <v>#N/A</v>
      </c>
      <c r="H1278" t="e">
        <f>NA()</f>
        <v>#N/A</v>
      </c>
      <c r="I1278" t="e">
        <f>NA()</f>
        <v>#N/A</v>
      </c>
      <c r="J1278" t="e">
        <f>NA()</f>
        <v>#N/A</v>
      </c>
      <c r="K1278" t="e">
        <f>NA()</f>
        <v>#N/A</v>
      </c>
      <c r="L1278" t="e">
        <f>NA()</f>
        <v>#N/A</v>
      </c>
      <c r="M1278" t="e">
        <f>NA()</f>
        <v>#N/A</v>
      </c>
      <c r="N1278" t="e">
        <f>NA()</f>
        <v>#N/A</v>
      </c>
      <c r="O1278">
        <f t="shared" si="44"/>
        <v>0.1</v>
      </c>
    </row>
    <row r="1279" spans="1:15" x14ac:dyDescent="0.25">
      <c r="A1279" s="1">
        <v>44148</v>
      </c>
      <c r="B1279">
        <f>-0.5</f>
        <v>-0.5</v>
      </c>
      <c r="C1279">
        <f>0</f>
        <v>0</v>
      </c>
      <c r="D1279" t="e">
        <f>NA()</f>
        <v>#N/A</v>
      </c>
      <c r="E1279" t="e">
        <f>NA()</f>
        <v>#N/A</v>
      </c>
      <c r="F1279" t="e">
        <f>NA()</f>
        <v>#N/A</v>
      </c>
      <c r="G1279" t="e">
        <f>NA()</f>
        <v>#N/A</v>
      </c>
      <c r="H1279" t="e">
        <f>NA()</f>
        <v>#N/A</v>
      </c>
      <c r="I1279" t="e">
        <f>NA()</f>
        <v>#N/A</v>
      </c>
      <c r="J1279" t="e">
        <f>NA()</f>
        <v>#N/A</v>
      </c>
      <c r="K1279" t="e">
        <f>NA()</f>
        <v>#N/A</v>
      </c>
      <c r="L1279" t="e">
        <f>NA()</f>
        <v>#N/A</v>
      </c>
      <c r="M1279" t="e">
        <f>NA()</f>
        <v>#N/A</v>
      </c>
      <c r="N1279" t="e">
        <f>NA()</f>
        <v>#N/A</v>
      </c>
      <c r="O1279">
        <f t="shared" si="44"/>
        <v>0.1</v>
      </c>
    </row>
    <row r="1280" spans="1:15" x14ac:dyDescent="0.25">
      <c r="A1280" s="1">
        <v>44147</v>
      </c>
      <c r="B1280" t="e">
        <f>NA()</f>
        <v>#N/A</v>
      </c>
      <c r="C1280" t="e">
        <f>NA()</f>
        <v>#N/A</v>
      </c>
      <c r="D1280" t="e">
        <f>NA()</f>
        <v>#N/A</v>
      </c>
      <c r="E1280" t="e">
        <f>NA()</f>
        <v>#N/A</v>
      </c>
      <c r="F1280" t="e">
        <f>NA()</f>
        <v>#N/A</v>
      </c>
      <c r="G1280" t="e">
        <f>NA()</f>
        <v>#N/A</v>
      </c>
      <c r="H1280" t="e">
        <f>NA()</f>
        <v>#N/A</v>
      </c>
      <c r="I1280" t="e">
        <f>NA()</f>
        <v>#N/A</v>
      </c>
      <c r="J1280" t="e">
        <f>NA()</f>
        <v>#N/A</v>
      </c>
      <c r="K1280" t="e">
        <f>NA()</f>
        <v>#N/A</v>
      </c>
      <c r="L1280" t="e">
        <f>NA()</f>
        <v>#N/A</v>
      </c>
      <c r="M1280" t="e">
        <f>NA()</f>
        <v>#N/A</v>
      </c>
      <c r="N1280" t="e">
        <f>NA()</f>
        <v>#N/A</v>
      </c>
      <c r="O1280">
        <f t="shared" si="44"/>
        <v>0.1</v>
      </c>
    </row>
    <row r="1281" spans="1:15" x14ac:dyDescent="0.25">
      <c r="A1281" s="1">
        <v>44145</v>
      </c>
      <c r="B1281" t="e">
        <f>NA()</f>
        <v>#N/A</v>
      </c>
      <c r="C1281" t="e">
        <f>NA()</f>
        <v>#N/A</v>
      </c>
      <c r="D1281" t="e">
        <f>NA()</f>
        <v>#N/A</v>
      </c>
      <c r="E1281" t="e">
        <f>NA()</f>
        <v>#N/A</v>
      </c>
      <c r="F1281" t="e">
        <f>NA()</f>
        <v>#N/A</v>
      </c>
      <c r="G1281" t="e">
        <f>NA()</f>
        <v>#N/A</v>
      </c>
      <c r="H1281" t="e">
        <f>NA()</f>
        <v>#N/A</v>
      </c>
      <c r="I1281" t="e">
        <f>NA()</f>
        <v>#N/A</v>
      </c>
      <c r="J1281" t="e">
        <f>NA()</f>
        <v>#N/A</v>
      </c>
      <c r="K1281" t="e">
        <f>NA()</f>
        <v>#N/A</v>
      </c>
      <c r="L1281" t="e">
        <f>NA()</f>
        <v>#N/A</v>
      </c>
      <c r="M1281" t="e">
        <f>NA()</f>
        <v>#N/A</v>
      </c>
      <c r="N1281" t="e">
        <f>NA()</f>
        <v>#N/A</v>
      </c>
      <c r="O1281">
        <f t="shared" si="44"/>
        <v>0.1</v>
      </c>
    </row>
    <row r="1282" spans="1:15" x14ac:dyDescent="0.25">
      <c r="A1282" s="1">
        <v>44144</v>
      </c>
      <c r="B1282" t="e">
        <f>NA()</f>
        <v>#N/A</v>
      </c>
      <c r="C1282" t="e">
        <f>NA()</f>
        <v>#N/A</v>
      </c>
      <c r="D1282" t="e">
        <f>NA()</f>
        <v>#N/A</v>
      </c>
      <c r="E1282" t="e">
        <f>NA()</f>
        <v>#N/A</v>
      </c>
      <c r="F1282" t="e">
        <f>NA()</f>
        <v>#N/A</v>
      </c>
      <c r="G1282" t="e">
        <f>NA()</f>
        <v>#N/A</v>
      </c>
      <c r="H1282" t="e">
        <f>NA()</f>
        <v>#N/A</v>
      </c>
      <c r="I1282" t="e">
        <f>NA()</f>
        <v>#N/A</v>
      </c>
      <c r="J1282" t="e">
        <f>NA()</f>
        <v>#N/A</v>
      </c>
      <c r="K1282" t="e">
        <f>NA()</f>
        <v>#N/A</v>
      </c>
      <c r="L1282" t="e">
        <f>NA()</f>
        <v>#N/A</v>
      </c>
      <c r="M1282" t="e">
        <f>NA()</f>
        <v>#N/A</v>
      </c>
      <c r="N1282" t="e">
        <f>NA()</f>
        <v>#N/A</v>
      </c>
      <c r="O1282">
        <f t="shared" si="44"/>
        <v>0.1</v>
      </c>
    </row>
    <row r="1283" spans="1:15" x14ac:dyDescent="0.25">
      <c r="A1283" s="1">
        <v>44141</v>
      </c>
      <c r="B1283">
        <f>-0.1</f>
        <v>-0.1</v>
      </c>
      <c r="C1283">
        <f>0</f>
        <v>0</v>
      </c>
      <c r="D1283" t="e">
        <f>NA()</f>
        <v>#N/A</v>
      </c>
      <c r="E1283" t="e">
        <f>NA()</f>
        <v>#N/A</v>
      </c>
      <c r="F1283" t="e">
        <f>NA()</f>
        <v>#N/A</v>
      </c>
      <c r="G1283" t="e">
        <f>NA()</f>
        <v>#N/A</v>
      </c>
      <c r="H1283" t="e">
        <f>NA()</f>
        <v>#N/A</v>
      </c>
      <c r="I1283" t="e">
        <f>NA()</f>
        <v>#N/A</v>
      </c>
      <c r="J1283" t="e">
        <f>NA()</f>
        <v>#N/A</v>
      </c>
      <c r="K1283" t="e">
        <f>NA()</f>
        <v>#N/A</v>
      </c>
      <c r="L1283" t="e">
        <f>NA()</f>
        <v>#N/A</v>
      </c>
      <c r="M1283" t="e">
        <f>NA()</f>
        <v>#N/A</v>
      </c>
      <c r="N1283" t="e">
        <f>NA()</f>
        <v>#N/A</v>
      </c>
      <c r="O1283">
        <f t="shared" si="44"/>
        <v>0.1</v>
      </c>
    </row>
    <row r="1284" spans="1:15" x14ac:dyDescent="0.25">
      <c r="A1284" s="1">
        <v>44140</v>
      </c>
      <c r="B1284" t="e">
        <f>NA()</f>
        <v>#N/A</v>
      </c>
      <c r="C1284" t="e">
        <f>NA()</f>
        <v>#N/A</v>
      </c>
      <c r="D1284" t="e">
        <f>NA()</f>
        <v>#N/A</v>
      </c>
      <c r="E1284" t="e">
        <f>NA()</f>
        <v>#N/A</v>
      </c>
      <c r="F1284" t="e">
        <f>NA()</f>
        <v>#N/A</v>
      </c>
      <c r="G1284" t="e">
        <f>NA()</f>
        <v>#N/A</v>
      </c>
      <c r="H1284" t="e">
        <f>NA()</f>
        <v>#N/A</v>
      </c>
      <c r="I1284" t="e">
        <f>NA()</f>
        <v>#N/A</v>
      </c>
      <c r="J1284" t="e">
        <f>NA()</f>
        <v>#N/A</v>
      </c>
      <c r="K1284" t="e">
        <f>NA()</f>
        <v>#N/A</v>
      </c>
      <c r="L1284" t="e">
        <f>NA()</f>
        <v>#N/A</v>
      </c>
      <c r="M1284" t="e">
        <f>NA()</f>
        <v>#N/A</v>
      </c>
      <c r="N1284" t="e">
        <f>NA()</f>
        <v>#N/A</v>
      </c>
      <c r="O1284">
        <f t="shared" si="44"/>
        <v>0.1</v>
      </c>
    </row>
    <row r="1285" spans="1:15" x14ac:dyDescent="0.25">
      <c r="A1285" s="1">
        <v>44139</v>
      </c>
      <c r="B1285" t="e">
        <f>NA()</f>
        <v>#N/A</v>
      </c>
      <c r="C1285" t="e">
        <f>NA()</f>
        <v>#N/A</v>
      </c>
      <c r="D1285" t="e">
        <f>NA()</f>
        <v>#N/A</v>
      </c>
      <c r="E1285" t="e">
        <f>NA()</f>
        <v>#N/A</v>
      </c>
      <c r="F1285" t="e">
        <f>NA()</f>
        <v>#N/A</v>
      </c>
      <c r="G1285" t="e">
        <f>NA()</f>
        <v>#N/A</v>
      </c>
      <c r="H1285" t="e">
        <f>NA()</f>
        <v>#N/A</v>
      </c>
      <c r="I1285" t="e">
        <f>NA()</f>
        <v>#N/A</v>
      </c>
      <c r="J1285" t="e">
        <f>NA()</f>
        <v>#N/A</v>
      </c>
      <c r="K1285" t="e">
        <f>NA()</f>
        <v>#N/A</v>
      </c>
      <c r="L1285" t="e">
        <f>NA()</f>
        <v>#N/A</v>
      </c>
      <c r="M1285" t="e">
        <f>NA()</f>
        <v>#N/A</v>
      </c>
      <c r="N1285" t="e">
        <f>NA()</f>
        <v>#N/A</v>
      </c>
      <c r="O1285">
        <f t="shared" si="44"/>
        <v>0.1</v>
      </c>
    </row>
    <row r="1286" spans="1:15" x14ac:dyDescent="0.25">
      <c r="A1286" s="1">
        <v>44138</v>
      </c>
      <c r="B1286" t="e">
        <f>NA()</f>
        <v>#N/A</v>
      </c>
      <c r="C1286" t="e">
        <f>NA()</f>
        <v>#N/A</v>
      </c>
      <c r="D1286" t="e">
        <f>NA()</f>
        <v>#N/A</v>
      </c>
      <c r="E1286" t="e">
        <f>NA()</f>
        <v>#N/A</v>
      </c>
      <c r="F1286" t="e">
        <f>NA()</f>
        <v>#N/A</v>
      </c>
      <c r="G1286" t="e">
        <f>NA()</f>
        <v>#N/A</v>
      </c>
      <c r="H1286" t="e">
        <f>NA()</f>
        <v>#N/A</v>
      </c>
      <c r="I1286" t="e">
        <f>NA()</f>
        <v>#N/A</v>
      </c>
      <c r="J1286" t="e">
        <f>NA()</f>
        <v>#N/A</v>
      </c>
      <c r="K1286" t="e">
        <f>NA()</f>
        <v>#N/A</v>
      </c>
      <c r="L1286" t="e">
        <f>NA()</f>
        <v>#N/A</v>
      </c>
      <c r="M1286" t="e">
        <f>NA()</f>
        <v>#N/A</v>
      </c>
      <c r="N1286" t="e">
        <f>NA()</f>
        <v>#N/A</v>
      </c>
      <c r="O1286">
        <f t="shared" si="44"/>
        <v>0.1</v>
      </c>
    </row>
    <row r="1287" spans="1:15" x14ac:dyDescent="0.25">
      <c r="A1287" s="1">
        <v>44137</v>
      </c>
      <c r="B1287" t="e">
        <f>NA()</f>
        <v>#N/A</v>
      </c>
      <c r="C1287" t="e">
        <f>NA()</f>
        <v>#N/A</v>
      </c>
      <c r="D1287" t="e">
        <f>NA()</f>
        <v>#N/A</v>
      </c>
      <c r="E1287" t="e">
        <f>NA()</f>
        <v>#N/A</v>
      </c>
      <c r="F1287" t="e">
        <f>NA()</f>
        <v>#N/A</v>
      </c>
      <c r="G1287" t="e">
        <f>NA()</f>
        <v>#N/A</v>
      </c>
      <c r="H1287" t="e">
        <f>NA()</f>
        <v>#N/A</v>
      </c>
      <c r="I1287" t="e">
        <f>NA()</f>
        <v>#N/A</v>
      </c>
      <c r="J1287" t="e">
        <f>NA()</f>
        <v>#N/A</v>
      </c>
      <c r="K1287" t="e">
        <f>NA()</f>
        <v>#N/A</v>
      </c>
      <c r="L1287" t="e">
        <f>NA()</f>
        <v>#N/A</v>
      </c>
      <c r="M1287" t="e">
        <f>NA()</f>
        <v>#N/A</v>
      </c>
      <c r="N1287" t="e">
        <f>NA()</f>
        <v>#N/A</v>
      </c>
      <c r="O1287">
        <f t="shared" si="44"/>
        <v>0.1</v>
      </c>
    </row>
    <row r="1288" spans="1:15" x14ac:dyDescent="0.25">
      <c r="A1288" s="1">
        <v>44135</v>
      </c>
      <c r="B1288" t="e">
        <f>NA()</f>
        <v>#N/A</v>
      </c>
      <c r="C1288" t="e">
        <f>NA()</f>
        <v>#N/A</v>
      </c>
      <c r="D1288">
        <f>0.1</f>
        <v>0.1</v>
      </c>
      <c r="E1288">
        <f>3.4</f>
        <v>3.4</v>
      </c>
      <c r="F1288">
        <f>6798</f>
        <v>6798</v>
      </c>
      <c r="G1288">
        <f>61.7</f>
        <v>61.7</v>
      </c>
      <c r="H1288">
        <f>0.7</f>
        <v>0.7</v>
      </c>
      <c r="I1288">
        <f>260.4</f>
        <v>260.39999999999998</v>
      </c>
      <c r="J1288">
        <f>1.2</f>
        <v>1.2</v>
      </c>
      <c r="K1288">
        <f>58.7</f>
        <v>58.7</v>
      </c>
      <c r="L1288">
        <f>0.7</f>
        <v>0.7</v>
      </c>
      <c r="M1288" t="e">
        <f>NA()</f>
        <v>#N/A</v>
      </c>
      <c r="N1288">
        <f>6.9</f>
        <v>6.9</v>
      </c>
      <c r="O1288" t="e">
        <f>NA()</f>
        <v>#N/A</v>
      </c>
    </row>
    <row r="1289" spans="1:15" x14ac:dyDescent="0.25">
      <c r="A1289" s="1">
        <v>44134</v>
      </c>
      <c r="B1289">
        <f>0.4</f>
        <v>0.4</v>
      </c>
      <c r="C1289">
        <f>0</f>
        <v>0</v>
      </c>
      <c r="D1289" t="e">
        <f>NA()</f>
        <v>#N/A</v>
      </c>
      <c r="E1289" t="e">
        <f>NA()</f>
        <v>#N/A</v>
      </c>
      <c r="F1289" t="e">
        <f>NA()</f>
        <v>#N/A</v>
      </c>
      <c r="G1289" t="e">
        <f>NA()</f>
        <v>#N/A</v>
      </c>
      <c r="H1289" t="e">
        <f>NA()</f>
        <v>#N/A</v>
      </c>
      <c r="I1289" t="e">
        <f>NA()</f>
        <v>#N/A</v>
      </c>
      <c r="J1289" t="e">
        <f>NA()</f>
        <v>#N/A</v>
      </c>
      <c r="K1289" t="e">
        <f>NA()</f>
        <v>#N/A</v>
      </c>
      <c r="L1289" t="e">
        <f>NA()</f>
        <v>#N/A</v>
      </c>
      <c r="M1289" t="e">
        <f>NA()</f>
        <v>#N/A</v>
      </c>
      <c r="N1289" t="e">
        <f>NA()</f>
        <v>#N/A</v>
      </c>
      <c r="O1289">
        <f t="shared" ref="O1289:O1320" si="45">0.1</f>
        <v>0.1</v>
      </c>
    </row>
    <row r="1290" spans="1:15" x14ac:dyDescent="0.25">
      <c r="A1290" s="1">
        <v>44133</v>
      </c>
      <c r="B1290" t="e">
        <f>NA()</f>
        <v>#N/A</v>
      </c>
      <c r="C1290" t="e">
        <f>NA()</f>
        <v>#N/A</v>
      </c>
      <c r="D1290" t="e">
        <f>NA()</f>
        <v>#N/A</v>
      </c>
      <c r="E1290" t="e">
        <f>NA()</f>
        <v>#N/A</v>
      </c>
      <c r="F1290" t="e">
        <f>NA()</f>
        <v>#N/A</v>
      </c>
      <c r="G1290" t="e">
        <f>NA()</f>
        <v>#N/A</v>
      </c>
      <c r="H1290" t="e">
        <f>NA()</f>
        <v>#N/A</v>
      </c>
      <c r="I1290" t="e">
        <f>NA()</f>
        <v>#N/A</v>
      </c>
      <c r="J1290" t="e">
        <f>NA()</f>
        <v>#N/A</v>
      </c>
      <c r="K1290" t="e">
        <f>NA()</f>
        <v>#N/A</v>
      </c>
      <c r="L1290" t="e">
        <f>NA()</f>
        <v>#N/A</v>
      </c>
      <c r="M1290" t="e">
        <f>NA()</f>
        <v>#N/A</v>
      </c>
      <c r="N1290" t="e">
        <f>NA()</f>
        <v>#N/A</v>
      </c>
      <c r="O1290">
        <f t="shared" si="45"/>
        <v>0.1</v>
      </c>
    </row>
    <row r="1291" spans="1:15" x14ac:dyDescent="0.25">
      <c r="A1291" s="1">
        <v>44132</v>
      </c>
      <c r="B1291" t="e">
        <f>NA()</f>
        <v>#N/A</v>
      </c>
      <c r="C1291" t="e">
        <f>NA()</f>
        <v>#N/A</v>
      </c>
      <c r="D1291" t="e">
        <f>NA()</f>
        <v>#N/A</v>
      </c>
      <c r="E1291" t="e">
        <f>NA()</f>
        <v>#N/A</v>
      </c>
      <c r="F1291" t="e">
        <f>NA()</f>
        <v>#N/A</v>
      </c>
      <c r="G1291" t="e">
        <f>NA()</f>
        <v>#N/A</v>
      </c>
      <c r="H1291" t="e">
        <f>NA()</f>
        <v>#N/A</v>
      </c>
      <c r="I1291" t="e">
        <f>NA()</f>
        <v>#N/A</v>
      </c>
      <c r="J1291" t="e">
        <f>NA()</f>
        <v>#N/A</v>
      </c>
      <c r="K1291" t="e">
        <f>NA()</f>
        <v>#N/A</v>
      </c>
      <c r="L1291" t="e">
        <f>NA()</f>
        <v>#N/A</v>
      </c>
      <c r="M1291" t="e">
        <f>NA()</f>
        <v>#N/A</v>
      </c>
      <c r="N1291" t="e">
        <f>NA()</f>
        <v>#N/A</v>
      </c>
      <c r="O1291">
        <f t="shared" si="45"/>
        <v>0.1</v>
      </c>
    </row>
    <row r="1292" spans="1:15" x14ac:dyDescent="0.25">
      <c r="A1292" s="1">
        <v>44131</v>
      </c>
      <c r="B1292" t="e">
        <f>NA()</f>
        <v>#N/A</v>
      </c>
      <c r="C1292" t="e">
        <f>NA()</f>
        <v>#N/A</v>
      </c>
      <c r="D1292" t="e">
        <f>NA()</f>
        <v>#N/A</v>
      </c>
      <c r="E1292" t="e">
        <f>NA()</f>
        <v>#N/A</v>
      </c>
      <c r="F1292" t="e">
        <f>NA()</f>
        <v>#N/A</v>
      </c>
      <c r="G1292" t="e">
        <f>NA()</f>
        <v>#N/A</v>
      </c>
      <c r="H1292" t="e">
        <f>NA()</f>
        <v>#N/A</v>
      </c>
      <c r="I1292" t="e">
        <f>NA()</f>
        <v>#N/A</v>
      </c>
      <c r="J1292" t="e">
        <f>NA()</f>
        <v>#N/A</v>
      </c>
      <c r="K1292" t="e">
        <f>NA()</f>
        <v>#N/A</v>
      </c>
      <c r="L1292" t="e">
        <f>NA()</f>
        <v>#N/A</v>
      </c>
      <c r="M1292" t="e">
        <f>NA()</f>
        <v>#N/A</v>
      </c>
      <c r="N1292" t="e">
        <f>NA()</f>
        <v>#N/A</v>
      </c>
      <c r="O1292">
        <f t="shared" si="45"/>
        <v>0.1</v>
      </c>
    </row>
    <row r="1293" spans="1:15" x14ac:dyDescent="0.25">
      <c r="A1293" s="1">
        <v>44130</v>
      </c>
      <c r="B1293" t="e">
        <f>NA()</f>
        <v>#N/A</v>
      </c>
      <c r="C1293" t="e">
        <f>NA()</f>
        <v>#N/A</v>
      </c>
      <c r="D1293" t="e">
        <f>NA()</f>
        <v>#N/A</v>
      </c>
      <c r="E1293" t="e">
        <f>NA()</f>
        <v>#N/A</v>
      </c>
      <c r="F1293" t="e">
        <f>NA()</f>
        <v>#N/A</v>
      </c>
      <c r="G1293" t="e">
        <f>NA()</f>
        <v>#N/A</v>
      </c>
      <c r="H1293" t="e">
        <f>NA()</f>
        <v>#N/A</v>
      </c>
      <c r="I1293" t="e">
        <f>NA()</f>
        <v>#N/A</v>
      </c>
      <c r="J1293" t="e">
        <f>NA()</f>
        <v>#N/A</v>
      </c>
      <c r="K1293" t="e">
        <f>NA()</f>
        <v>#N/A</v>
      </c>
      <c r="L1293" t="e">
        <f>NA()</f>
        <v>#N/A</v>
      </c>
      <c r="M1293" t="e">
        <f>NA()</f>
        <v>#N/A</v>
      </c>
      <c r="N1293" t="e">
        <f>NA()</f>
        <v>#N/A</v>
      </c>
      <c r="O1293">
        <f t="shared" si="45"/>
        <v>0.1</v>
      </c>
    </row>
    <row r="1294" spans="1:15" x14ac:dyDescent="0.25">
      <c r="A1294" s="1">
        <v>44127</v>
      </c>
      <c r="B1294">
        <f>0</f>
        <v>0</v>
      </c>
      <c r="C1294">
        <f>0</f>
        <v>0</v>
      </c>
      <c r="D1294" t="e">
        <f>NA()</f>
        <v>#N/A</v>
      </c>
      <c r="E1294" t="e">
        <f>NA()</f>
        <v>#N/A</v>
      </c>
      <c r="F1294" t="e">
        <f>NA()</f>
        <v>#N/A</v>
      </c>
      <c r="G1294" t="e">
        <f>NA()</f>
        <v>#N/A</v>
      </c>
      <c r="H1294" t="e">
        <f>NA()</f>
        <v>#N/A</v>
      </c>
      <c r="I1294" t="e">
        <f>NA()</f>
        <v>#N/A</v>
      </c>
      <c r="J1294" t="e">
        <f>NA()</f>
        <v>#N/A</v>
      </c>
      <c r="K1294" t="e">
        <f>NA()</f>
        <v>#N/A</v>
      </c>
      <c r="L1294" t="e">
        <f>NA()</f>
        <v>#N/A</v>
      </c>
      <c r="M1294" t="e">
        <f>NA()</f>
        <v>#N/A</v>
      </c>
      <c r="N1294" t="e">
        <f>NA()</f>
        <v>#N/A</v>
      </c>
      <c r="O1294">
        <f t="shared" si="45"/>
        <v>0.1</v>
      </c>
    </row>
    <row r="1295" spans="1:15" x14ac:dyDescent="0.25">
      <c r="A1295" s="1">
        <v>44126</v>
      </c>
      <c r="B1295" t="e">
        <f>NA()</f>
        <v>#N/A</v>
      </c>
      <c r="C1295" t="e">
        <f>NA()</f>
        <v>#N/A</v>
      </c>
      <c r="D1295" t="e">
        <f>NA()</f>
        <v>#N/A</v>
      </c>
      <c r="E1295" t="e">
        <f>NA()</f>
        <v>#N/A</v>
      </c>
      <c r="F1295" t="e">
        <f>NA()</f>
        <v>#N/A</v>
      </c>
      <c r="G1295" t="e">
        <f>NA()</f>
        <v>#N/A</v>
      </c>
      <c r="H1295" t="e">
        <f>NA()</f>
        <v>#N/A</v>
      </c>
      <c r="I1295" t="e">
        <f>NA()</f>
        <v>#N/A</v>
      </c>
      <c r="J1295" t="e">
        <f>NA()</f>
        <v>#N/A</v>
      </c>
      <c r="K1295" t="e">
        <f>NA()</f>
        <v>#N/A</v>
      </c>
      <c r="L1295" t="e">
        <f>NA()</f>
        <v>#N/A</v>
      </c>
      <c r="M1295" t="e">
        <f>NA()</f>
        <v>#N/A</v>
      </c>
      <c r="N1295" t="e">
        <f>NA()</f>
        <v>#N/A</v>
      </c>
      <c r="O1295">
        <f t="shared" si="45"/>
        <v>0.1</v>
      </c>
    </row>
    <row r="1296" spans="1:15" x14ac:dyDescent="0.25">
      <c r="A1296" s="1">
        <v>44125</v>
      </c>
      <c r="B1296" t="e">
        <f>NA()</f>
        <v>#N/A</v>
      </c>
      <c r="C1296" t="e">
        <f>NA()</f>
        <v>#N/A</v>
      </c>
      <c r="D1296" t="e">
        <f>NA()</f>
        <v>#N/A</v>
      </c>
      <c r="E1296" t="e">
        <f>NA()</f>
        <v>#N/A</v>
      </c>
      <c r="F1296" t="e">
        <f>NA()</f>
        <v>#N/A</v>
      </c>
      <c r="G1296" t="e">
        <f>NA()</f>
        <v>#N/A</v>
      </c>
      <c r="H1296" t="e">
        <f>NA()</f>
        <v>#N/A</v>
      </c>
      <c r="I1296" t="e">
        <f>NA()</f>
        <v>#N/A</v>
      </c>
      <c r="J1296" t="e">
        <f>NA()</f>
        <v>#N/A</v>
      </c>
      <c r="K1296" t="e">
        <f>NA()</f>
        <v>#N/A</v>
      </c>
      <c r="L1296" t="e">
        <f>NA()</f>
        <v>#N/A</v>
      </c>
      <c r="M1296" t="e">
        <f>NA()</f>
        <v>#N/A</v>
      </c>
      <c r="N1296" t="e">
        <f>NA()</f>
        <v>#N/A</v>
      </c>
      <c r="O1296">
        <f t="shared" si="45"/>
        <v>0.1</v>
      </c>
    </row>
    <row r="1297" spans="1:15" x14ac:dyDescent="0.25">
      <c r="A1297" s="1">
        <v>44124</v>
      </c>
      <c r="B1297" t="e">
        <f>NA()</f>
        <v>#N/A</v>
      </c>
      <c r="C1297" t="e">
        <f>NA()</f>
        <v>#N/A</v>
      </c>
      <c r="D1297" t="e">
        <f>NA()</f>
        <v>#N/A</v>
      </c>
      <c r="E1297" t="e">
        <f>NA()</f>
        <v>#N/A</v>
      </c>
      <c r="F1297" t="e">
        <f>NA()</f>
        <v>#N/A</v>
      </c>
      <c r="G1297" t="e">
        <f>NA()</f>
        <v>#N/A</v>
      </c>
      <c r="H1297" t="e">
        <f>NA()</f>
        <v>#N/A</v>
      </c>
      <c r="I1297" t="e">
        <f>NA()</f>
        <v>#N/A</v>
      </c>
      <c r="J1297" t="e">
        <f>NA()</f>
        <v>#N/A</v>
      </c>
      <c r="K1297" t="e">
        <f>NA()</f>
        <v>#N/A</v>
      </c>
      <c r="L1297" t="e">
        <f>NA()</f>
        <v>#N/A</v>
      </c>
      <c r="M1297" t="e">
        <f>NA()</f>
        <v>#N/A</v>
      </c>
      <c r="N1297" t="e">
        <f>NA()</f>
        <v>#N/A</v>
      </c>
      <c r="O1297">
        <f t="shared" si="45"/>
        <v>0.1</v>
      </c>
    </row>
    <row r="1298" spans="1:15" x14ac:dyDescent="0.25">
      <c r="A1298" s="1">
        <v>44123</v>
      </c>
      <c r="B1298" t="e">
        <f>NA()</f>
        <v>#N/A</v>
      </c>
      <c r="C1298" t="e">
        <f>NA()</f>
        <v>#N/A</v>
      </c>
      <c r="D1298" t="e">
        <f>NA()</f>
        <v>#N/A</v>
      </c>
      <c r="E1298" t="e">
        <f>NA()</f>
        <v>#N/A</v>
      </c>
      <c r="F1298" t="e">
        <f>NA()</f>
        <v>#N/A</v>
      </c>
      <c r="G1298" t="e">
        <f>NA()</f>
        <v>#N/A</v>
      </c>
      <c r="H1298" t="e">
        <f>NA()</f>
        <v>#N/A</v>
      </c>
      <c r="I1298" t="e">
        <f>NA()</f>
        <v>#N/A</v>
      </c>
      <c r="J1298" t="e">
        <f>NA()</f>
        <v>#N/A</v>
      </c>
      <c r="K1298" t="e">
        <f>NA()</f>
        <v>#N/A</v>
      </c>
      <c r="L1298" t="e">
        <f>NA()</f>
        <v>#N/A</v>
      </c>
      <c r="M1298" t="e">
        <f>NA()</f>
        <v>#N/A</v>
      </c>
      <c r="N1298" t="e">
        <f>NA()</f>
        <v>#N/A</v>
      </c>
      <c r="O1298">
        <f t="shared" si="45"/>
        <v>0.1</v>
      </c>
    </row>
    <row r="1299" spans="1:15" x14ac:dyDescent="0.25">
      <c r="A1299" s="1">
        <v>44120</v>
      </c>
      <c r="B1299">
        <f>-0.1</f>
        <v>-0.1</v>
      </c>
      <c r="C1299">
        <f>0</f>
        <v>0</v>
      </c>
      <c r="D1299" t="e">
        <f>NA()</f>
        <v>#N/A</v>
      </c>
      <c r="E1299" t="e">
        <f>NA()</f>
        <v>#N/A</v>
      </c>
      <c r="F1299" t="e">
        <f>NA()</f>
        <v>#N/A</v>
      </c>
      <c r="G1299" t="e">
        <f>NA()</f>
        <v>#N/A</v>
      </c>
      <c r="H1299" t="e">
        <f>NA()</f>
        <v>#N/A</v>
      </c>
      <c r="I1299" t="e">
        <f>NA()</f>
        <v>#N/A</v>
      </c>
      <c r="J1299" t="e">
        <f>NA()</f>
        <v>#N/A</v>
      </c>
      <c r="K1299" t="e">
        <f>NA()</f>
        <v>#N/A</v>
      </c>
      <c r="L1299" t="e">
        <f>NA()</f>
        <v>#N/A</v>
      </c>
      <c r="M1299" t="e">
        <f>NA()</f>
        <v>#N/A</v>
      </c>
      <c r="N1299" t="e">
        <f>NA()</f>
        <v>#N/A</v>
      </c>
      <c r="O1299">
        <f t="shared" si="45"/>
        <v>0.1</v>
      </c>
    </row>
    <row r="1300" spans="1:15" x14ac:dyDescent="0.25">
      <c r="A1300" s="1">
        <v>44119</v>
      </c>
      <c r="B1300" t="e">
        <f>NA()</f>
        <v>#N/A</v>
      </c>
      <c r="C1300" t="e">
        <f>NA()</f>
        <v>#N/A</v>
      </c>
      <c r="D1300" t="e">
        <f>NA()</f>
        <v>#N/A</v>
      </c>
      <c r="E1300" t="e">
        <f>NA()</f>
        <v>#N/A</v>
      </c>
      <c r="F1300" t="e">
        <f>NA()</f>
        <v>#N/A</v>
      </c>
      <c r="G1300" t="e">
        <f>NA()</f>
        <v>#N/A</v>
      </c>
      <c r="H1300" t="e">
        <f>NA()</f>
        <v>#N/A</v>
      </c>
      <c r="I1300" t="e">
        <f>NA()</f>
        <v>#N/A</v>
      </c>
      <c r="J1300" t="e">
        <f>NA()</f>
        <v>#N/A</v>
      </c>
      <c r="K1300" t="e">
        <f>NA()</f>
        <v>#N/A</v>
      </c>
      <c r="L1300" t="e">
        <f>NA()</f>
        <v>#N/A</v>
      </c>
      <c r="M1300" t="e">
        <f>NA()</f>
        <v>#N/A</v>
      </c>
      <c r="N1300" t="e">
        <f>NA()</f>
        <v>#N/A</v>
      </c>
      <c r="O1300">
        <f t="shared" si="45"/>
        <v>0.1</v>
      </c>
    </row>
    <row r="1301" spans="1:15" x14ac:dyDescent="0.25">
      <c r="A1301" s="1">
        <v>44118</v>
      </c>
      <c r="B1301" t="e">
        <f>NA()</f>
        <v>#N/A</v>
      </c>
      <c r="C1301" t="e">
        <f>NA()</f>
        <v>#N/A</v>
      </c>
      <c r="D1301" t="e">
        <f>NA()</f>
        <v>#N/A</v>
      </c>
      <c r="E1301" t="e">
        <f>NA()</f>
        <v>#N/A</v>
      </c>
      <c r="F1301" t="e">
        <f>NA()</f>
        <v>#N/A</v>
      </c>
      <c r="G1301" t="e">
        <f>NA()</f>
        <v>#N/A</v>
      </c>
      <c r="H1301" t="e">
        <f>NA()</f>
        <v>#N/A</v>
      </c>
      <c r="I1301" t="e">
        <f>NA()</f>
        <v>#N/A</v>
      </c>
      <c r="J1301" t="e">
        <f>NA()</f>
        <v>#N/A</v>
      </c>
      <c r="K1301" t="e">
        <f>NA()</f>
        <v>#N/A</v>
      </c>
      <c r="L1301" t="e">
        <f>NA()</f>
        <v>#N/A</v>
      </c>
      <c r="M1301" t="e">
        <f>NA()</f>
        <v>#N/A</v>
      </c>
      <c r="N1301" t="e">
        <f>NA()</f>
        <v>#N/A</v>
      </c>
      <c r="O1301">
        <f t="shared" si="45"/>
        <v>0.1</v>
      </c>
    </row>
    <row r="1302" spans="1:15" x14ac:dyDescent="0.25">
      <c r="A1302" s="1">
        <v>44117</v>
      </c>
      <c r="B1302" t="e">
        <f>NA()</f>
        <v>#N/A</v>
      </c>
      <c r="C1302" t="e">
        <f>NA()</f>
        <v>#N/A</v>
      </c>
      <c r="D1302" t="e">
        <f>NA()</f>
        <v>#N/A</v>
      </c>
      <c r="E1302" t="e">
        <f>NA()</f>
        <v>#N/A</v>
      </c>
      <c r="F1302" t="e">
        <f>NA()</f>
        <v>#N/A</v>
      </c>
      <c r="G1302" t="e">
        <f>NA()</f>
        <v>#N/A</v>
      </c>
      <c r="H1302" t="e">
        <f>NA()</f>
        <v>#N/A</v>
      </c>
      <c r="I1302" t="e">
        <f>NA()</f>
        <v>#N/A</v>
      </c>
      <c r="J1302" t="e">
        <f>NA()</f>
        <v>#N/A</v>
      </c>
      <c r="K1302" t="e">
        <f>NA()</f>
        <v>#N/A</v>
      </c>
      <c r="L1302" t="e">
        <f>NA()</f>
        <v>#N/A</v>
      </c>
      <c r="M1302" t="e">
        <f>NA()</f>
        <v>#N/A</v>
      </c>
      <c r="N1302" t="e">
        <f>NA()</f>
        <v>#N/A</v>
      </c>
      <c r="O1302">
        <f t="shared" si="45"/>
        <v>0.1</v>
      </c>
    </row>
    <row r="1303" spans="1:15" x14ac:dyDescent="0.25">
      <c r="A1303" s="1">
        <v>44113</v>
      </c>
      <c r="B1303">
        <f>-0.2</f>
        <v>-0.2</v>
      </c>
      <c r="C1303">
        <f>0</f>
        <v>0</v>
      </c>
      <c r="D1303" t="e">
        <f>NA()</f>
        <v>#N/A</v>
      </c>
      <c r="E1303" t="e">
        <f>NA()</f>
        <v>#N/A</v>
      </c>
      <c r="F1303" t="e">
        <f>NA()</f>
        <v>#N/A</v>
      </c>
      <c r="G1303" t="e">
        <f>NA()</f>
        <v>#N/A</v>
      </c>
      <c r="H1303" t="e">
        <f>NA()</f>
        <v>#N/A</v>
      </c>
      <c r="I1303" t="e">
        <f>NA()</f>
        <v>#N/A</v>
      </c>
      <c r="J1303" t="e">
        <f>NA()</f>
        <v>#N/A</v>
      </c>
      <c r="K1303" t="e">
        <f>NA()</f>
        <v>#N/A</v>
      </c>
      <c r="L1303" t="e">
        <f>NA()</f>
        <v>#N/A</v>
      </c>
      <c r="M1303" t="e">
        <f>NA()</f>
        <v>#N/A</v>
      </c>
      <c r="N1303" t="e">
        <f>NA()</f>
        <v>#N/A</v>
      </c>
      <c r="O1303">
        <f t="shared" si="45"/>
        <v>0.1</v>
      </c>
    </row>
    <row r="1304" spans="1:15" x14ac:dyDescent="0.25">
      <c r="A1304" s="1">
        <v>44112</v>
      </c>
      <c r="B1304" t="e">
        <f>NA()</f>
        <v>#N/A</v>
      </c>
      <c r="C1304" t="e">
        <f>NA()</f>
        <v>#N/A</v>
      </c>
      <c r="D1304" t="e">
        <f>NA()</f>
        <v>#N/A</v>
      </c>
      <c r="E1304" t="e">
        <f>NA()</f>
        <v>#N/A</v>
      </c>
      <c r="F1304" t="e">
        <f>NA()</f>
        <v>#N/A</v>
      </c>
      <c r="G1304" t="e">
        <f>NA()</f>
        <v>#N/A</v>
      </c>
      <c r="H1304" t="e">
        <f>NA()</f>
        <v>#N/A</v>
      </c>
      <c r="I1304" t="e">
        <f>NA()</f>
        <v>#N/A</v>
      </c>
      <c r="J1304" t="e">
        <f>NA()</f>
        <v>#N/A</v>
      </c>
      <c r="K1304" t="e">
        <f>NA()</f>
        <v>#N/A</v>
      </c>
      <c r="L1304" t="e">
        <f>NA()</f>
        <v>#N/A</v>
      </c>
      <c r="M1304" t="e">
        <f>NA()</f>
        <v>#N/A</v>
      </c>
      <c r="N1304" t="e">
        <f>NA()</f>
        <v>#N/A</v>
      </c>
      <c r="O1304">
        <f t="shared" si="45"/>
        <v>0.1</v>
      </c>
    </row>
    <row r="1305" spans="1:15" x14ac:dyDescent="0.25">
      <c r="A1305" s="1">
        <v>44111</v>
      </c>
      <c r="B1305" t="e">
        <f>NA()</f>
        <v>#N/A</v>
      </c>
      <c r="C1305" t="e">
        <f>NA()</f>
        <v>#N/A</v>
      </c>
      <c r="D1305" t="e">
        <f>NA()</f>
        <v>#N/A</v>
      </c>
      <c r="E1305" t="e">
        <f>NA()</f>
        <v>#N/A</v>
      </c>
      <c r="F1305" t="e">
        <f>NA()</f>
        <v>#N/A</v>
      </c>
      <c r="G1305" t="e">
        <f>NA()</f>
        <v>#N/A</v>
      </c>
      <c r="H1305" t="e">
        <f>NA()</f>
        <v>#N/A</v>
      </c>
      <c r="I1305" t="e">
        <f>NA()</f>
        <v>#N/A</v>
      </c>
      <c r="J1305" t="e">
        <f>NA()</f>
        <v>#N/A</v>
      </c>
      <c r="K1305" t="e">
        <f>NA()</f>
        <v>#N/A</v>
      </c>
      <c r="L1305" t="e">
        <f>NA()</f>
        <v>#N/A</v>
      </c>
      <c r="M1305" t="e">
        <f>NA()</f>
        <v>#N/A</v>
      </c>
      <c r="N1305" t="e">
        <f>NA()</f>
        <v>#N/A</v>
      </c>
      <c r="O1305">
        <f t="shared" si="45"/>
        <v>0.1</v>
      </c>
    </row>
    <row r="1306" spans="1:15" x14ac:dyDescent="0.25">
      <c r="A1306" s="1">
        <v>44110</v>
      </c>
      <c r="B1306" t="e">
        <f>NA()</f>
        <v>#N/A</v>
      </c>
      <c r="C1306" t="e">
        <f>NA()</f>
        <v>#N/A</v>
      </c>
      <c r="D1306" t="e">
        <f>NA()</f>
        <v>#N/A</v>
      </c>
      <c r="E1306" t="e">
        <f>NA()</f>
        <v>#N/A</v>
      </c>
      <c r="F1306" t="e">
        <f>NA()</f>
        <v>#N/A</v>
      </c>
      <c r="G1306" t="e">
        <f>NA()</f>
        <v>#N/A</v>
      </c>
      <c r="H1306" t="e">
        <f>NA()</f>
        <v>#N/A</v>
      </c>
      <c r="I1306" t="e">
        <f>NA()</f>
        <v>#N/A</v>
      </c>
      <c r="J1306" t="e">
        <f>NA()</f>
        <v>#N/A</v>
      </c>
      <c r="K1306" t="e">
        <f>NA()</f>
        <v>#N/A</v>
      </c>
      <c r="L1306" t="e">
        <f>NA()</f>
        <v>#N/A</v>
      </c>
      <c r="M1306" t="e">
        <f>NA()</f>
        <v>#N/A</v>
      </c>
      <c r="N1306" t="e">
        <f>NA()</f>
        <v>#N/A</v>
      </c>
      <c r="O1306">
        <f t="shared" si="45"/>
        <v>0.1</v>
      </c>
    </row>
    <row r="1307" spans="1:15" x14ac:dyDescent="0.25">
      <c r="A1307" s="1">
        <v>44109</v>
      </c>
      <c r="B1307" t="e">
        <f>NA()</f>
        <v>#N/A</v>
      </c>
      <c r="C1307" t="e">
        <f>NA()</f>
        <v>#N/A</v>
      </c>
      <c r="D1307" t="e">
        <f>NA()</f>
        <v>#N/A</v>
      </c>
      <c r="E1307" t="e">
        <f>NA()</f>
        <v>#N/A</v>
      </c>
      <c r="F1307" t="e">
        <f>NA()</f>
        <v>#N/A</v>
      </c>
      <c r="G1307" t="e">
        <f>NA()</f>
        <v>#N/A</v>
      </c>
      <c r="H1307" t="e">
        <f>NA()</f>
        <v>#N/A</v>
      </c>
      <c r="I1307" t="e">
        <f>NA()</f>
        <v>#N/A</v>
      </c>
      <c r="J1307" t="e">
        <f>NA()</f>
        <v>#N/A</v>
      </c>
      <c r="K1307" t="e">
        <f>NA()</f>
        <v>#N/A</v>
      </c>
      <c r="L1307" t="e">
        <f>NA()</f>
        <v>#N/A</v>
      </c>
      <c r="M1307" t="e">
        <f>NA()</f>
        <v>#N/A</v>
      </c>
      <c r="N1307" t="e">
        <f>NA()</f>
        <v>#N/A</v>
      </c>
      <c r="O1307">
        <f t="shared" si="45"/>
        <v>0.1</v>
      </c>
    </row>
    <row r="1308" spans="1:15" x14ac:dyDescent="0.25">
      <c r="A1308" s="1">
        <v>44106</v>
      </c>
      <c r="B1308">
        <f>-0.1</f>
        <v>-0.1</v>
      </c>
      <c r="C1308">
        <f>0</f>
        <v>0</v>
      </c>
      <c r="D1308" t="e">
        <f>NA()</f>
        <v>#N/A</v>
      </c>
      <c r="E1308" t="e">
        <f>NA()</f>
        <v>#N/A</v>
      </c>
      <c r="F1308" t="e">
        <f>NA()</f>
        <v>#N/A</v>
      </c>
      <c r="G1308" t="e">
        <f>NA()</f>
        <v>#N/A</v>
      </c>
      <c r="H1308" t="e">
        <f>NA()</f>
        <v>#N/A</v>
      </c>
      <c r="I1308" t="e">
        <f>NA()</f>
        <v>#N/A</v>
      </c>
      <c r="J1308" t="e">
        <f>NA()</f>
        <v>#N/A</v>
      </c>
      <c r="K1308" t="e">
        <f>NA()</f>
        <v>#N/A</v>
      </c>
      <c r="L1308" t="e">
        <f>NA()</f>
        <v>#N/A</v>
      </c>
      <c r="M1308" t="e">
        <f>NA()</f>
        <v>#N/A</v>
      </c>
      <c r="N1308" t="e">
        <f>NA()</f>
        <v>#N/A</v>
      </c>
      <c r="O1308">
        <f t="shared" si="45"/>
        <v>0.1</v>
      </c>
    </row>
    <row r="1309" spans="1:15" x14ac:dyDescent="0.25">
      <c r="A1309" s="1">
        <v>44105</v>
      </c>
      <c r="B1309" t="e">
        <f>NA()</f>
        <v>#N/A</v>
      </c>
      <c r="C1309" t="e">
        <f>NA()</f>
        <v>#N/A</v>
      </c>
      <c r="D1309" t="e">
        <f>NA()</f>
        <v>#N/A</v>
      </c>
      <c r="E1309" t="e">
        <f>NA()</f>
        <v>#N/A</v>
      </c>
      <c r="F1309" t="e">
        <f>NA()</f>
        <v>#N/A</v>
      </c>
      <c r="G1309" t="e">
        <f>NA()</f>
        <v>#N/A</v>
      </c>
      <c r="H1309" t="e">
        <f>NA()</f>
        <v>#N/A</v>
      </c>
      <c r="I1309" t="e">
        <f>NA()</f>
        <v>#N/A</v>
      </c>
      <c r="J1309" t="e">
        <f>NA()</f>
        <v>#N/A</v>
      </c>
      <c r="K1309" t="e">
        <f>NA()</f>
        <v>#N/A</v>
      </c>
      <c r="L1309" t="e">
        <f>NA()</f>
        <v>#N/A</v>
      </c>
      <c r="M1309" t="e">
        <f>NA()</f>
        <v>#N/A</v>
      </c>
      <c r="N1309" t="e">
        <f>NA()</f>
        <v>#N/A</v>
      </c>
      <c r="O1309">
        <f t="shared" si="45"/>
        <v>0.1</v>
      </c>
    </row>
    <row r="1310" spans="1:15" x14ac:dyDescent="0.25">
      <c r="A1310" s="1">
        <v>44104</v>
      </c>
      <c r="B1310" t="e">
        <f>NA()</f>
        <v>#N/A</v>
      </c>
      <c r="C1310" t="e">
        <f>NA()</f>
        <v>#N/A</v>
      </c>
      <c r="D1310">
        <f>0</f>
        <v>0</v>
      </c>
      <c r="E1310">
        <f>3.4</f>
        <v>3.4</v>
      </c>
      <c r="F1310">
        <f>6511</f>
        <v>6511</v>
      </c>
      <c r="G1310">
        <f>61.4</f>
        <v>61.4</v>
      </c>
      <c r="H1310">
        <f>0.5</f>
        <v>0.5</v>
      </c>
      <c r="I1310">
        <f>260.3</f>
        <v>260.3</v>
      </c>
      <c r="J1310">
        <f>1.4</f>
        <v>1.4</v>
      </c>
      <c r="K1310">
        <f>55.5</f>
        <v>55.5</v>
      </c>
      <c r="L1310">
        <f>0</f>
        <v>0</v>
      </c>
      <c r="M1310">
        <f>34.9</f>
        <v>34.9</v>
      </c>
      <c r="N1310">
        <f>7.8</f>
        <v>7.8</v>
      </c>
      <c r="O1310">
        <f t="shared" si="45"/>
        <v>0.1</v>
      </c>
    </row>
    <row r="1311" spans="1:15" x14ac:dyDescent="0.25">
      <c r="A1311" s="1">
        <v>44103</v>
      </c>
      <c r="B1311" t="e">
        <f>NA()</f>
        <v>#N/A</v>
      </c>
      <c r="C1311" t="e">
        <f>NA()</f>
        <v>#N/A</v>
      </c>
      <c r="D1311" t="e">
        <f>NA()</f>
        <v>#N/A</v>
      </c>
      <c r="E1311" t="e">
        <f>NA()</f>
        <v>#N/A</v>
      </c>
      <c r="F1311" t="e">
        <f>NA()</f>
        <v>#N/A</v>
      </c>
      <c r="G1311" t="e">
        <f>NA()</f>
        <v>#N/A</v>
      </c>
      <c r="H1311" t="e">
        <f>NA()</f>
        <v>#N/A</v>
      </c>
      <c r="I1311" t="e">
        <f>NA()</f>
        <v>#N/A</v>
      </c>
      <c r="J1311" t="e">
        <f>NA()</f>
        <v>#N/A</v>
      </c>
      <c r="K1311" t="e">
        <f>NA()</f>
        <v>#N/A</v>
      </c>
      <c r="L1311" t="e">
        <f>NA()</f>
        <v>#N/A</v>
      </c>
      <c r="M1311" t="e">
        <f>NA()</f>
        <v>#N/A</v>
      </c>
      <c r="N1311" t="e">
        <f>NA()</f>
        <v>#N/A</v>
      </c>
      <c r="O1311">
        <f t="shared" si="45"/>
        <v>0.1</v>
      </c>
    </row>
    <row r="1312" spans="1:15" x14ac:dyDescent="0.25">
      <c r="A1312" s="1">
        <v>44102</v>
      </c>
      <c r="B1312" t="e">
        <f>NA()</f>
        <v>#N/A</v>
      </c>
      <c r="C1312" t="e">
        <f>NA()</f>
        <v>#N/A</v>
      </c>
      <c r="D1312" t="e">
        <f>NA()</f>
        <v>#N/A</v>
      </c>
      <c r="E1312" t="e">
        <f>NA()</f>
        <v>#N/A</v>
      </c>
      <c r="F1312" t="e">
        <f>NA()</f>
        <v>#N/A</v>
      </c>
      <c r="G1312" t="e">
        <f>NA()</f>
        <v>#N/A</v>
      </c>
      <c r="H1312" t="e">
        <f>NA()</f>
        <v>#N/A</v>
      </c>
      <c r="I1312" t="e">
        <f>NA()</f>
        <v>#N/A</v>
      </c>
      <c r="J1312" t="e">
        <f>NA()</f>
        <v>#N/A</v>
      </c>
      <c r="K1312" t="e">
        <f>NA()</f>
        <v>#N/A</v>
      </c>
      <c r="L1312" t="e">
        <f>NA()</f>
        <v>#N/A</v>
      </c>
      <c r="M1312" t="e">
        <f>NA()</f>
        <v>#N/A</v>
      </c>
      <c r="N1312" t="e">
        <f>NA()</f>
        <v>#N/A</v>
      </c>
      <c r="O1312">
        <f t="shared" si="45"/>
        <v>0.1</v>
      </c>
    </row>
    <row r="1313" spans="1:15" x14ac:dyDescent="0.25">
      <c r="A1313" s="1">
        <v>44099</v>
      </c>
      <c r="B1313">
        <f>0.2</f>
        <v>0.2</v>
      </c>
      <c r="C1313">
        <f>0</f>
        <v>0</v>
      </c>
      <c r="D1313" t="e">
        <f>NA()</f>
        <v>#N/A</v>
      </c>
      <c r="E1313" t="e">
        <f>NA()</f>
        <v>#N/A</v>
      </c>
      <c r="F1313" t="e">
        <f>NA()</f>
        <v>#N/A</v>
      </c>
      <c r="G1313" t="e">
        <f>NA()</f>
        <v>#N/A</v>
      </c>
      <c r="H1313" t="e">
        <f>NA()</f>
        <v>#N/A</v>
      </c>
      <c r="I1313" t="e">
        <f>NA()</f>
        <v>#N/A</v>
      </c>
      <c r="J1313" t="e">
        <f>NA()</f>
        <v>#N/A</v>
      </c>
      <c r="K1313" t="e">
        <f>NA()</f>
        <v>#N/A</v>
      </c>
      <c r="L1313" t="e">
        <f>NA()</f>
        <v>#N/A</v>
      </c>
      <c r="M1313" t="e">
        <f>NA()</f>
        <v>#N/A</v>
      </c>
      <c r="N1313" t="e">
        <f>NA()</f>
        <v>#N/A</v>
      </c>
      <c r="O1313">
        <f t="shared" si="45"/>
        <v>0.1</v>
      </c>
    </row>
    <row r="1314" spans="1:15" x14ac:dyDescent="0.25">
      <c r="A1314" s="1">
        <v>44098</v>
      </c>
      <c r="B1314" t="e">
        <f>NA()</f>
        <v>#N/A</v>
      </c>
      <c r="C1314" t="e">
        <f>NA()</f>
        <v>#N/A</v>
      </c>
      <c r="D1314" t="e">
        <f>NA()</f>
        <v>#N/A</v>
      </c>
      <c r="E1314" t="e">
        <f>NA()</f>
        <v>#N/A</v>
      </c>
      <c r="F1314" t="e">
        <f>NA()</f>
        <v>#N/A</v>
      </c>
      <c r="G1314" t="e">
        <f>NA()</f>
        <v>#N/A</v>
      </c>
      <c r="H1314" t="e">
        <f>NA()</f>
        <v>#N/A</v>
      </c>
      <c r="I1314" t="e">
        <f>NA()</f>
        <v>#N/A</v>
      </c>
      <c r="J1314" t="e">
        <f>NA()</f>
        <v>#N/A</v>
      </c>
      <c r="K1314" t="e">
        <f>NA()</f>
        <v>#N/A</v>
      </c>
      <c r="L1314" t="e">
        <f>NA()</f>
        <v>#N/A</v>
      </c>
      <c r="M1314" t="e">
        <f>NA()</f>
        <v>#N/A</v>
      </c>
      <c r="N1314" t="e">
        <f>NA()</f>
        <v>#N/A</v>
      </c>
      <c r="O1314">
        <f t="shared" si="45"/>
        <v>0.1</v>
      </c>
    </row>
    <row r="1315" spans="1:15" x14ac:dyDescent="0.25">
      <c r="A1315" s="1">
        <v>44097</v>
      </c>
      <c r="B1315" t="e">
        <f>NA()</f>
        <v>#N/A</v>
      </c>
      <c r="C1315" t="e">
        <f>NA()</f>
        <v>#N/A</v>
      </c>
      <c r="D1315" t="e">
        <f>NA()</f>
        <v>#N/A</v>
      </c>
      <c r="E1315" t="e">
        <f>NA()</f>
        <v>#N/A</v>
      </c>
      <c r="F1315" t="e">
        <f>NA()</f>
        <v>#N/A</v>
      </c>
      <c r="G1315" t="e">
        <f>NA()</f>
        <v>#N/A</v>
      </c>
      <c r="H1315" t="e">
        <f>NA()</f>
        <v>#N/A</v>
      </c>
      <c r="I1315" t="e">
        <f>NA()</f>
        <v>#N/A</v>
      </c>
      <c r="J1315" t="e">
        <f>NA()</f>
        <v>#N/A</v>
      </c>
      <c r="K1315" t="e">
        <f>NA()</f>
        <v>#N/A</v>
      </c>
      <c r="L1315" t="e">
        <f>NA()</f>
        <v>#N/A</v>
      </c>
      <c r="M1315" t="e">
        <f>NA()</f>
        <v>#N/A</v>
      </c>
      <c r="N1315" t="e">
        <f>NA()</f>
        <v>#N/A</v>
      </c>
      <c r="O1315">
        <f t="shared" si="45"/>
        <v>0.1</v>
      </c>
    </row>
    <row r="1316" spans="1:15" x14ac:dyDescent="0.25">
      <c r="A1316" s="1">
        <v>44096</v>
      </c>
      <c r="B1316" t="e">
        <f>NA()</f>
        <v>#N/A</v>
      </c>
      <c r="C1316" t="e">
        <f>NA()</f>
        <v>#N/A</v>
      </c>
      <c r="D1316" t="e">
        <f>NA()</f>
        <v>#N/A</v>
      </c>
      <c r="E1316" t="e">
        <f>NA()</f>
        <v>#N/A</v>
      </c>
      <c r="F1316" t="e">
        <f>NA()</f>
        <v>#N/A</v>
      </c>
      <c r="G1316" t="e">
        <f>NA()</f>
        <v>#N/A</v>
      </c>
      <c r="H1316" t="e">
        <f>NA()</f>
        <v>#N/A</v>
      </c>
      <c r="I1316" t="e">
        <f>NA()</f>
        <v>#N/A</v>
      </c>
      <c r="J1316" t="e">
        <f>NA()</f>
        <v>#N/A</v>
      </c>
      <c r="K1316" t="e">
        <f>NA()</f>
        <v>#N/A</v>
      </c>
      <c r="L1316" t="e">
        <f>NA()</f>
        <v>#N/A</v>
      </c>
      <c r="M1316" t="e">
        <f>NA()</f>
        <v>#N/A</v>
      </c>
      <c r="N1316" t="e">
        <f>NA()</f>
        <v>#N/A</v>
      </c>
      <c r="O1316">
        <f t="shared" si="45"/>
        <v>0.1</v>
      </c>
    </row>
    <row r="1317" spans="1:15" x14ac:dyDescent="0.25">
      <c r="A1317" s="1">
        <v>44095</v>
      </c>
      <c r="B1317" t="e">
        <f>NA()</f>
        <v>#N/A</v>
      </c>
      <c r="C1317" t="e">
        <f>NA()</f>
        <v>#N/A</v>
      </c>
      <c r="D1317" t="e">
        <f>NA()</f>
        <v>#N/A</v>
      </c>
      <c r="E1317" t="e">
        <f>NA()</f>
        <v>#N/A</v>
      </c>
      <c r="F1317" t="e">
        <f>NA()</f>
        <v>#N/A</v>
      </c>
      <c r="G1317" t="e">
        <f>NA()</f>
        <v>#N/A</v>
      </c>
      <c r="H1317" t="e">
        <f>NA()</f>
        <v>#N/A</v>
      </c>
      <c r="I1317" t="e">
        <f>NA()</f>
        <v>#N/A</v>
      </c>
      <c r="J1317" t="e">
        <f>NA()</f>
        <v>#N/A</v>
      </c>
      <c r="K1317" t="e">
        <f>NA()</f>
        <v>#N/A</v>
      </c>
      <c r="L1317" t="e">
        <f>NA()</f>
        <v>#N/A</v>
      </c>
      <c r="M1317" t="e">
        <f>NA()</f>
        <v>#N/A</v>
      </c>
      <c r="N1317" t="e">
        <f>NA()</f>
        <v>#N/A</v>
      </c>
      <c r="O1317">
        <f t="shared" si="45"/>
        <v>0.1</v>
      </c>
    </row>
    <row r="1318" spans="1:15" x14ac:dyDescent="0.25">
      <c r="A1318" s="1">
        <v>44092</v>
      </c>
      <c r="B1318">
        <f>-0.1</f>
        <v>-0.1</v>
      </c>
      <c r="C1318">
        <f>0</f>
        <v>0</v>
      </c>
      <c r="D1318" t="e">
        <f>NA()</f>
        <v>#N/A</v>
      </c>
      <c r="E1318" t="e">
        <f>NA()</f>
        <v>#N/A</v>
      </c>
      <c r="F1318" t="e">
        <f>NA()</f>
        <v>#N/A</v>
      </c>
      <c r="G1318" t="e">
        <f>NA()</f>
        <v>#N/A</v>
      </c>
      <c r="H1318" t="e">
        <f>NA()</f>
        <v>#N/A</v>
      </c>
      <c r="I1318" t="e">
        <f>NA()</f>
        <v>#N/A</v>
      </c>
      <c r="J1318" t="e">
        <f>NA()</f>
        <v>#N/A</v>
      </c>
      <c r="K1318" t="e">
        <f>NA()</f>
        <v>#N/A</v>
      </c>
      <c r="L1318" t="e">
        <f>NA()</f>
        <v>#N/A</v>
      </c>
      <c r="M1318" t="e">
        <f>NA()</f>
        <v>#N/A</v>
      </c>
      <c r="N1318" t="e">
        <f>NA()</f>
        <v>#N/A</v>
      </c>
      <c r="O1318">
        <f t="shared" si="45"/>
        <v>0.1</v>
      </c>
    </row>
    <row r="1319" spans="1:15" x14ac:dyDescent="0.25">
      <c r="A1319" s="1">
        <v>44091</v>
      </c>
      <c r="B1319" t="e">
        <f>NA()</f>
        <v>#N/A</v>
      </c>
      <c r="C1319" t="e">
        <f>NA()</f>
        <v>#N/A</v>
      </c>
      <c r="D1319" t="e">
        <f>NA()</f>
        <v>#N/A</v>
      </c>
      <c r="E1319" t="e">
        <f>NA()</f>
        <v>#N/A</v>
      </c>
      <c r="F1319" t="e">
        <f>NA()</f>
        <v>#N/A</v>
      </c>
      <c r="G1319" t="e">
        <f>NA()</f>
        <v>#N/A</v>
      </c>
      <c r="H1319" t="e">
        <f>NA()</f>
        <v>#N/A</v>
      </c>
      <c r="I1319" t="e">
        <f>NA()</f>
        <v>#N/A</v>
      </c>
      <c r="J1319" t="e">
        <f>NA()</f>
        <v>#N/A</v>
      </c>
      <c r="K1319" t="e">
        <f>NA()</f>
        <v>#N/A</v>
      </c>
      <c r="L1319" t="e">
        <f>NA()</f>
        <v>#N/A</v>
      </c>
      <c r="M1319" t="e">
        <f>NA()</f>
        <v>#N/A</v>
      </c>
      <c r="N1319" t="e">
        <f>NA()</f>
        <v>#N/A</v>
      </c>
      <c r="O1319">
        <f t="shared" si="45"/>
        <v>0.1</v>
      </c>
    </row>
    <row r="1320" spans="1:15" x14ac:dyDescent="0.25">
      <c r="A1320" s="1">
        <v>44090</v>
      </c>
      <c r="B1320" t="e">
        <f>NA()</f>
        <v>#N/A</v>
      </c>
      <c r="C1320" t="e">
        <f>NA()</f>
        <v>#N/A</v>
      </c>
      <c r="D1320" t="e">
        <f>NA()</f>
        <v>#N/A</v>
      </c>
      <c r="E1320" t="e">
        <f>NA()</f>
        <v>#N/A</v>
      </c>
      <c r="F1320" t="e">
        <f>NA()</f>
        <v>#N/A</v>
      </c>
      <c r="G1320" t="e">
        <f>NA()</f>
        <v>#N/A</v>
      </c>
      <c r="H1320" t="e">
        <f>NA()</f>
        <v>#N/A</v>
      </c>
      <c r="I1320" t="e">
        <f>NA()</f>
        <v>#N/A</v>
      </c>
      <c r="J1320" t="e">
        <f>NA()</f>
        <v>#N/A</v>
      </c>
      <c r="K1320" t="e">
        <f>NA()</f>
        <v>#N/A</v>
      </c>
      <c r="L1320" t="e">
        <f>NA()</f>
        <v>#N/A</v>
      </c>
      <c r="M1320" t="e">
        <f>NA()</f>
        <v>#N/A</v>
      </c>
      <c r="N1320" t="e">
        <f>NA()</f>
        <v>#N/A</v>
      </c>
      <c r="O1320">
        <f t="shared" si="45"/>
        <v>0.1</v>
      </c>
    </row>
    <row r="1321" spans="1:15" x14ac:dyDescent="0.25">
      <c r="A1321" s="1">
        <v>44089</v>
      </c>
      <c r="B1321" t="e">
        <f>NA()</f>
        <v>#N/A</v>
      </c>
      <c r="C1321" t="e">
        <f>NA()</f>
        <v>#N/A</v>
      </c>
      <c r="D1321" t="e">
        <f>NA()</f>
        <v>#N/A</v>
      </c>
      <c r="E1321" t="e">
        <f>NA()</f>
        <v>#N/A</v>
      </c>
      <c r="F1321" t="e">
        <f>NA()</f>
        <v>#N/A</v>
      </c>
      <c r="G1321" t="e">
        <f>NA()</f>
        <v>#N/A</v>
      </c>
      <c r="H1321" t="e">
        <f>NA()</f>
        <v>#N/A</v>
      </c>
      <c r="I1321" t="e">
        <f>NA()</f>
        <v>#N/A</v>
      </c>
      <c r="J1321" t="e">
        <f>NA()</f>
        <v>#N/A</v>
      </c>
      <c r="K1321" t="e">
        <f>NA()</f>
        <v>#N/A</v>
      </c>
      <c r="L1321" t="e">
        <f>NA()</f>
        <v>#N/A</v>
      </c>
      <c r="M1321" t="e">
        <f>NA()</f>
        <v>#N/A</v>
      </c>
      <c r="N1321" t="e">
        <f>NA()</f>
        <v>#N/A</v>
      </c>
      <c r="O1321">
        <f t="shared" ref="O1321:O1352" si="46">0.1</f>
        <v>0.1</v>
      </c>
    </row>
    <row r="1322" spans="1:15" x14ac:dyDescent="0.25">
      <c r="A1322" s="1">
        <v>44088</v>
      </c>
      <c r="B1322" t="e">
        <f>NA()</f>
        <v>#N/A</v>
      </c>
      <c r="C1322" t="e">
        <f>NA()</f>
        <v>#N/A</v>
      </c>
      <c r="D1322" t="e">
        <f>NA()</f>
        <v>#N/A</v>
      </c>
      <c r="E1322" t="e">
        <f>NA()</f>
        <v>#N/A</v>
      </c>
      <c r="F1322" t="e">
        <f>NA()</f>
        <v>#N/A</v>
      </c>
      <c r="G1322" t="e">
        <f>NA()</f>
        <v>#N/A</v>
      </c>
      <c r="H1322" t="e">
        <f>NA()</f>
        <v>#N/A</v>
      </c>
      <c r="I1322" t="e">
        <f>NA()</f>
        <v>#N/A</v>
      </c>
      <c r="J1322" t="e">
        <f>NA()</f>
        <v>#N/A</v>
      </c>
      <c r="K1322" t="e">
        <f>NA()</f>
        <v>#N/A</v>
      </c>
      <c r="L1322" t="e">
        <f>NA()</f>
        <v>#N/A</v>
      </c>
      <c r="M1322" t="e">
        <f>NA()</f>
        <v>#N/A</v>
      </c>
      <c r="N1322" t="e">
        <f>NA()</f>
        <v>#N/A</v>
      </c>
      <c r="O1322">
        <f t="shared" si="46"/>
        <v>0.1</v>
      </c>
    </row>
    <row r="1323" spans="1:15" x14ac:dyDescent="0.25">
      <c r="A1323" s="1">
        <v>44085</v>
      </c>
      <c r="B1323">
        <f>0.1</f>
        <v>0.1</v>
      </c>
      <c r="C1323">
        <f>0</f>
        <v>0</v>
      </c>
      <c r="D1323" t="e">
        <f>NA()</f>
        <v>#N/A</v>
      </c>
      <c r="E1323" t="e">
        <f>NA()</f>
        <v>#N/A</v>
      </c>
      <c r="F1323" t="e">
        <f>NA()</f>
        <v>#N/A</v>
      </c>
      <c r="G1323" t="e">
        <f>NA()</f>
        <v>#N/A</v>
      </c>
      <c r="H1323" t="e">
        <f>NA()</f>
        <v>#N/A</v>
      </c>
      <c r="I1323" t="e">
        <f>NA()</f>
        <v>#N/A</v>
      </c>
      <c r="J1323" t="e">
        <f>NA()</f>
        <v>#N/A</v>
      </c>
      <c r="K1323" t="e">
        <f>NA()</f>
        <v>#N/A</v>
      </c>
      <c r="L1323" t="e">
        <f>NA()</f>
        <v>#N/A</v>
      </c>
      <c r="M1323" t="e">
        <f>NA()</f>
        <v>#N/A</v>
      </c>
      <c r="N1323" t="e">
        <f>NA()</f>
        <v>#N/A</v>
      </c>
      <c r="O1323">
        <f t="shared" si="46"/>
        <v>0.1</v>
      </c>
    </row>
    <row r="1324" spans="1:15" x14ac:dyDescent="0.25">
      <c r="A1324" s="1">
        <v>44084</v>
      </c>
      <c r="B1324" t="e">
        <f>NA()</f>
        <v>#N/A</v>
      </c>
      <c r="C1324" t="e">
        <f>NA()</f>
        <v>#N/A</v>
      </c>
      <c r="D1324" t="e">
        <f>NA()</f>
        <v>#N/A</v>
      </c>
      <c r="E1324" t="e">
        <f>NA()</f>
        <v>#N/A</v>
      </c>
      <c r="F1324" t="e">
        <f>NA()</f>
        <v>#N/A</v>
      </c>
      <c r="G1324" t="e">
        <f>NA()</f>
        <v>#N/A</v>
      </c>
      <c r="H1324" t="e">
        <f>NA()</f>
        <v>#N/A</v>
      </c>
      <c r="I1324" t="e">
        <f>NA()</f>
        <v>#N/A</v>
      </c>
      <c r="J1324" t="e">
        <f>NA()</f>
        <v>#N/A</v>
      </c>
      <c r="K1324" t="e">
        <f>NA()</f>
        <v>#N/A</v>
      </c>
      <c r="L1324" t="e">
        <f>NA()</f>
        <v>#N/A</v>
      </c>
      <c r="M1324" t="e">
        <f>NA()</f>
        <v>#N/A</v>
      </c>
      <c r="N1324" t="e">
        <f>NA()</f>
        <v>#N/A</v>
      </c>
      <c r="O1324">
        <f t="shared" si="46"/>
        <v>0.1</v>
      </c>
    </row>
    <row r="1325" spans="1:15" x14ac:dyDescent="0.25">
      <c r="A1325" s="1">
        <v>44083</v>
      </c>
      <c r="B1325" t="e">
        <f>NA()</f>
        <v>#N/A</v>
      </c>
      <c r="C1325" t="e">
        <f>NA()</f>
        <v>#N/A</v>
      </c>
      <c r="D1325" t="e">
        <f>NA()</f>
        <v>#N/A</v>
      </c>
      <c r="E1325" t="e">
        <f>NA()</f>
        <v>#N/A</v>
      </c>
      <c r="F1325" t="e">
        <f>NA()</f>
        <v>#N/A</v>
      </c>
      <c r="G1325" t="e">
        <f>NA()</f>
        <v>#N/A</v>
      </c>
      <c r="H1325" t="e">
        <f>NA()</f>
        <v>#N/A</v>
      </c>
      <c r="I1325" t="e">
        <f>NA()</f>
        <v>#N/A</v>
      </c>
      <c r="J1325" t="e">
        <f>NA()</f>
        <v>#N/A</v>
      </c>
      <c r="K1325" t="e">
        <f>NA()</f>
        <v>#N/A</v>
      </c>
      <c r="L1325" t="e">
        <f>NA()</f>
        <v>#N/A</v>
      </c>
      <c r="M1325" t="e">
        <f>NA()</f>
        <v>#N/A</v>
      </c>
      <c r="N1325" t="e">
        <f>NA()</f>
        <v>#N/A</v>
      </c>
      <c r="O1325">
        <f t="shared" si="46"/>
        <v>0.1</v>
      </c>
    </row>
    <row r="1326" spans="1:15" x14ac:dyDescent="0.25">
      <c r="A1326" s="1">
        <v>44082</v>
      </c>
      <c r="B1326" t="e">
        <f>NA()</f>
        <v>#N/A</v>
      </c>
      <c r="C1326" t="e">
        <f>NA()</f>
        <v>#N/A</v>
      </c>
      <c r="D1326" t="e">
        <f>NA()</f>
        <v>#N/A</v>
      </c>
      <c r="E1326" t="e">
        <f>NA()</f>
        <v>#N/A</v>
      </c>
      <c r="F1326" t="e">
        <f>NA()</f>
        <v>#N/A</v>
      </c>
      <c r="G1326" t="e">
        <f>NA()</f>
        <v>#N/A</v>
      </c>
      <c r="H1326" t="e">
        <f>NA()</f>
        <v>#N/A</v>
      </c>
      <c r="I1326" t="e">
        <f>NA()</f>
        <v>#N/A</v>
      </c>
      <c r="J1326" t="e">
        <f>NA()</f>
        <v>#N/A</v>
      </c>
      <c r="K1326" t="e">
        <f>NA()</f>
        <v>#N/A</v>
      </c>
      <c r="L1326" t="e">
        <f>NA()</f>
        <v>#N/A</v>
      </c>
      <c r="M1326" t="e">
        <f>NA()</f>
        <v>#N/A</v>
      </c>
      <c r="N1326" t="e">
        <f>NA()</f>
        <v>#N/A</v>
      </c>
      <c r="O1326">
        <f t="shared" si="46"/>
        <v>0.1</v>
      </c>
    </row>
    <row r="1327" spans="1:15" x14ac:dyDescent="0.25">
      <c r="A1327" s="1">
        <v>44078</v>
      </c>
      <c r="B1327">
        <f>-0.1</f>
        <v>-0.1</v>
      </c>
      <c r="C1327">
        <f>0</f>
        <v>0</v>
      </c>
      <c r="D1327" t="e">
        <f>NA()</f>
        <v>#N/A</v>
      </c>
      <c r="E1327" t="e">
        <f>NA()</f>
        <v>#N/A</v>
      </c>
      <c r="F1327" t="e">
        <f>NA()</f>
        <v>#N/A</v>
      </c>
      <c r="G1327" t="e">
        <f>NA()</f>
        <v>#N/A</v>
      </c>
      <c r="H1327" t="e">
        <f>NA()</f>
        <v>#N/A</v>
      </c>
      <c r="I1327" t="e">
        <f>NA()</f>
        <v>#N/A</v>
      </c>
      <c r="J1327" t="e">
        <f>NA()</f>
        <v>#N/A</v>
      </c>
      <c r="K1327" t="e">
        <f>NA()</f>
        <v>#N/A</v>
      </c>
      <c r="L1327" t="e">
        <f>NA()</f>
        <v>#N/A</v>
      </c>
      <c r="M1327" t="e">
        <f>NA()</f>
        <v>#N/A</v>
      </c>
      <c r="N1327" t="e">
        <f>NA()</f>
        <v>#N/A</v>
      </c>
      <c r="O1327">
        <f t="shared" si="46"/>
        <v>0.1</v>
      </c>
    </row>
    <row r="1328" spans="1:15" x14ac:dyDescent="0.25">
      <c r="A1328" s="1">
        <v>44077</v>
      </c>
      <c r="B1328" t="e">
        <f>NA()</f>
        <v>#N/A</v>
      </c>
      <c r="C1328" t="e">
        <f>NA()</f>
        <v>#N/A</v>
      </c>
      <c r="D1328" t="e">
        <f>NA()</f>
        <v>#N/A</v>
      </c>
      <c r="E1328" t="e">
        <f>NA()</f>
        <v>#N/A</v>
      </c>
      <c r="F1328" t="e">
        <f>NA()</f>
        <v>#N/A</v>
      </c>
      <c r="G1328" t="e">
        <f>NA()</f>
        <v>#N/A</v>
      </c>
      <c r="H1328" t="e">
        <f>NA()</f>
        <v>#N/A</v>
      </c>
      <c r="I1328" t="e">
        <f>NA()</f>
        <v>#N/A</v>
      </c>
      <c r="J1328" t="e">
        <f>NA()</f>
        <v>#N/A</v>
      </c>
      <c r="K1328" t="e">
        <f>NA()</f>
        <v>#N/A</v>
      </c>
      <c r="L1328" t="e">
        <f>NA()</f>
        <v>#N/A</v>
      </c>
      <c r="M1328" t="e">
        <f>NA()</f>
        <v>#N/A</v>
      </c>
      <c r="N1328" t="e">
        <f>NA()</f>
        <v>#N/A</v>
      </c>
      <c r="O1328">
        <f t="shared" si="46"/>
        <v>0.1</v>
      </c>
    </row>
    <row r="1329" spans="1:15" x14ac:dyDescent="0.25">
      <c r="A1329" s="1">
        <v>44076</v>
      </c>
      <c r="B1329" t="e">
        <f>NA()</f>
        <v>#N/A</v>
      </c>
      <c r="C1329" t="e">
        <f>NA()</f>
        <v>#N/A</v>
      </c>
      <c r="D1329" t="e">
        <f>NA()</f>
        <v>#N/A</v>
      </c>
      <c r="E1329" t="e">
        <f>NA()</f>
        <v>#N/A</v>
      </c>
      <c r="F1329" t="e">
        <f>NA()</f>
        <v>#N/A</v>
      </c>
      <c r="G1329" t="e">
        <f>NA()</f>
        <v>#N/A</v>
      </c>
      <c r="H1329" t="e">
        <f>NA()</f>
        <v>#N/A</v>
      </c>
      <c r="I1329" t="e">
        <f>NA()</f>
        <v>#N/A</v>
      </c>
      <c r="J1329" t="e">
        <f>NA()</f>
        <v>#N/A</v>
      </c>
      <c r="K1329" t="e">
        <f>NA()</f>
        <v>#N/A</v>
      </c>
      <c r="L1329" t="e">
        <f>NA()</f>
        <v>#N/A</v>
      </c>
      <c r="M1329" t="e">
        <f>NA()</f>
        <v>#N/A</v>
      </c>
      <c r="N1329" t="e">
        <f>NA()</f>
        <v>#N/A</v>
      </c>
      <c r="O1329">
        <f t="shared" si="46"/>
        <v>0.1</v>
      </c>
    </row>
    <row r="1330" spans="1:15" x14ac:dyDescent="0.25">
      <c r="A1330" s="1">
        <v>44075</v>
      </c>
      <c r="B1330" t="e">
        <f>NA()</f>
        <v>#N/A</v>
      </c>
      <c r="C1330" t="e">
        <f>NA()</f>
        <v>#N/A</v>
      </c>
      <c r="D1330" t="e">
        <f>NA()</f>
        <v>#N/A</v>
      </c>
      <c r="E1330" t="e">
        <f>NA()</f>
        <v>#N/A</v>
      </c>
      <c r="F1330" t="e">
        <f>NA()</f>
        <v>#N/A</v>
      </c>
      <c r="G1330" t="e">
        <f>NA()</f>
        <v>#N/A</v>
      </c>
      <c r="H1330" t="e">
        <f>NA()</f>
        <v>#N/A</v>
      </c>
      <c r="I1330" t="e">
        <f>NA()</f>
        <v>#N/A</v>
      </c>
      <c r="J1330" t="e">
        <f>NA()</f>
        <v>#N/A</v>
      </c>
      <c r="K1330" t="e">
        <f>NA()</f>
        <v>#N/A</v>
      </c>
      <c r="L1330" t="e">
        <f>NA()</f>
        <v>#N/A</v>
      </c>
      <c r="M1330" t="e">
        <f>NA()</f>
        <v>#N/A</v>
      </c>
      <c r="N1330" t="e">
        <f>NA()</f>
        <v>#N/A</v>
      </c>
      <c r="O1330">
        <f t="shared" si="46"/>
        <v>0.1</v>
      </c>
    </row>
    <row r="1331" spans="1:15" x14ac:dyDescent="0.25">
      <c r="A1331" s="1">
        <v>44074</v>
      </c>
      <c r="B1331" t="e">
        <f>NA()</f>
        <v>#N/A</v>
      </c>
      <c r="C1331" t="e">
        <f>NA()</f>
        <v>#N/A</v>
      </c>
      <c r="D1331">
        <f>0.4</f>
        <v>0.4</v>
      </c>
      <c r="E1331">
        <f>3.5</f>
        <v>3.5</v>
      </c>
      <c r="F1331">
        <f>6429</f>
        <v>6429</v>
      </c>
      <c r="G1331">
        <f>61.7</f>
        <v>61.7</v>
      </c>
      <c r="H1331">
        <f>-0.7</f>
        <v>-0.7</v>
      </c>
      <c r="I1331">
        <f>259.9</f>
        <v>259.89999999999998</v>
      </c>
      <c r="J1331">
        <f>1.3</f>
        <v>1.3</v>
      </c>
      <c r="K1331">
        <f>55.4</f>
        <v>55.4</v>
      </c>
      <c r="L1331">
        <f>1</f>
        <v>1</v>
      </c>
      <c r="M1331" t="e">
        <f>NA()</f>
        <v>#N/A</v>
      </c>
      <c r="N1331">
        <f>8.4</f>
        <v>8.4</v>
      </c>
      <c r="O1331">
        <f t="shared" si="46"/>
        <v>0.1</v>
      </c>
    </row>
    <row r="1332" spans="1:15" x14ac:dyDescent="0.25">
      <c r="A1332" s="1">
        <v>44071</v>
      </c>
      <c r="B1332">
        <f>-0.3</f>
        <v>-0.3</v>
      </c>
      <c r="C1332">
        <f>0</f>
        <v>0</v>
      </c>
      <c r="D1332" t="e">
        <f>NA()</f>
        <v>#N/A</v>
      </c>
      <c r="E1332" t="e">
        <f>NA()</f>
        <v>#N/A</v>
      </c>
      <c r="F1332" t="e">
        <f>NA()</f>
        <v>#N/A</v>
      </c>
      <c r="G1332" t="e">
        <f>NA()</f>
        <v>#N/A</v>
      </c>
      <c r="H1332" t="e">
        <f>NA()</f>
        <v>#N/A</v>
      </c>
      <c r="I1332" t="e">
        <f>NA()</f>
        <v>#N/A</v>
      </c>
      <c r="J1332" t="e">
        <f>NA()</f>
        <v>#N/A</v>
      </c>
      <c r="K1332" t="e">
        <f>NA()</f>
        <v>#N/A</v>
      </c>
      <c r="L1332" t="e">
        <f>NA()</f>
        <v>#N/A</v>
      </c>
      <c r="M1332" t="e">
        <f>NA()</f>
        <v>#N/A</v>
      </c>
      <c r="N1332" t="e">
        <f>NA()</f>
        <v>#N/A</v>
      </c>
      <c r="O1332">
        <f t="shared" si="46"/>
        <v>0.1</v>
      </c>
    </row>
    <row r="1333" spans="1:15" x14ac:dyDescent="0.25">
      <c r="A1333" s="1">
        <v>44070</v>
      </c>
      <c r="B1333" t="e">
        <f>NA()</f>
        <v>#N/A</v>
      </c>
      <c r="C1333" t="e">
        <f>NA()</f>
        <v>#N/A</v>
      </c>
      <c r="D1333" t="e">
        <f>NA()</f>
        <v>#N/A</v>
      </c>
      <c r="E1333" t="e">
        <f>NA()</f>
        <v>#N/A</v>
      </c>
      <c r="F1333" t="e">
        <f>NA()</f>
        <v>#N/A</v>
      </c>
      <c r="G1333" t="e">
        <f>NA()</f>
        <v>#N/A</v>
      </c>
      <c r="H1333" t="e">
        <f>NA()</f>
        <v>#N/A</v>
      </c>
      <c r="I1333" t="e">
        <f>NA()</f>
        <v>#N/A</v>
      </c>
      <c r="J1333" t="e">
        <f>NA()</f>
        <v>#N/A</v>
      </c>
      <c r="K1333" t="e">
        <f>NA()</f>
        <v>#N/A</v>
      </c>
      <c r="L1333" t="e">
        <f>NA()</f>
        <v>#N/A</v>
      </c>
      <c r="M1333" t="e">
        <f>NA()</f>
        <v>#N/A</v>
      </c>
      <c r="N1333" t="e">
        <f>NA()</f>
        <v>#N/A</v>
      </c>
      <c r="O1333">
        <f t="shared" si="46"/>
        <v>0.1</v>
      </c>
    </row>
    <row r="1334" spans="1:15" x14ac:dyDescent="0.25">
      <c r="A1334" s="1">
        <v>44069</v>
      </c>
      <c r="B1334" t="e">
        <f>NA()</f>
        <v>#N/A</v>
      </c>
      <c r="C1334" t="e">
        <f>NA()</f>
        <v>#N/A</v>
      </c>
      <c r="D1334" t="e">
        <f>NA()</f>
        <v>#N/A</v>
      </c>
      <c r="E1334" t="e">
        <f>NA()</f>
        <v>#N/A</v>
      </c>
      <c r="F1334" t="e">
        <f>NA()</f>
        <v>#N/A</v>
      </c>
      <c r="G1334" t="e">
        <f>NA()</f>
        <v>#N/A</v>
      </c>
      <c r="H1334" t="e">
        <f>NA()</f>
        <v>#N/A</v>
      </c>
      <c r="I1334" t="e">
        <f>NA()</f>
        <v>#N/A</v>
      </c>
      <c r="J1334" t="e">
        <f>NA()</f>
        <v>#N/A</v>
      </c>
      <c r="K1334" t="e">
        <f>NA()</f>
        <v>#N/A</v>
      </c>
      <c r="L1334" t="e">
        <f>NA()</f>
        <v>#N/A</v>
      </c>
      <c r="M1334" t="e">
        <f>NA()</f>
        <v>#N/A</v>
      </c>
      <c r="N1334" t="e">
        <f>NA()</f>
        <v>#N/A</v>
      </c>
      <c r="O1334">
        <f t="shared" si="46"/>
        <v>0.1</v>
      </c>
    </row>
    <row r="1335" spans="1:15" x14ac:dyDescent="0.25">
      <c r="A1335" s="1">
        <v>44068</v>
      </c>
      <c r="B1335" t="e">
        <f>NA()</f>
        <v>#N/A</v>
      </c>
      <c r="C1335" t="e">
        <f>NA()</f>
        <v>#N/A</v>
      </c>
      <c r="D1335" t="e">
        <f>NA()</f>
        <v>#N/A</v>
      </c>
      <c r="E1335" t="e">
        <f>NA()</f>
        <v>#N/A</v>
      </c>
      <c r="F1335" t="e">
        <f>NA()</f>
        <v>#N/A</v>
      </c>
      <c r="G1335" t="e">
        <f>NA()</f>
        <v>#N/A</v>
      </c>
      <c r="H1335" t="e">
        <f>NA()</f>
        <v>#N/A</v>
      </c>
      <c r="I1335" t="e">
        <f>NA()</f>
        <v>#N/A</v>
      </c>
      <c r="J1335" t="e">
        <f>NA()</f>
        <v>#N/A</v>
      </c>
      <c r="K1335" t="e">
        <f>NA()</f>
        <v>#N/A</v>
      </c>
      <c r="L1335" t="e">
        <f>NA()</f>
        <v>#N/A</v>
      </c>
      <c r="M1335" t="e">
        <f>NA()</f>
        <v>#N/A</v>
      </c>
      <c r="N1335" t="e">
        <f>NA()</f>
        <v>#N/A</v>
      </c>
      <c r="O1335">
        <f t="shared" si="46"/>
        <v>0.1</v>
      </c>
    </row>
    <row r="1336" spans="1:15" x14ac:dyDescent="0.25">
      <c r="A1336" s="1">
        <v>44067</v>
      </c>
      <c r="B1336" t="e">
        <f>NA()</f>
        <v>#N/A</v>
      </c>
      <c r="C1336" t="e">
        <f>NA()</f>
        <v>#N/A</v>
      </c>
      <c r="D1336" t="e">
        <f>NA()</f>
        <v>#N/A</v>
      </c>
      <c r="E1336" t="e">
        <f>NA()</f>
        <v>#N/A</v>
      </c>
      <c r="F1336" t="e">
        <f>NA()</f>
        <v>#N/A</v>
      </c>
      <c r="G1336" t="e">
        <f>NA()</f>
        <v>#N/A</v>
      </c>
      <c r="H1336" t="e">
        <f>NA()</f>
        <v>#N/A</v>
      </c>
      <c r="I1336" t="e">
        <f>NA()</f>
        <v>#N/A</v>
      </c>
      <c r="J1336" t="e">
        <f>NA()</f>
        <v>#N/A</v>
      </c>
      <c r="K1336" t="e">
        <f>NA()</f>
        <v>#N/A</v>
      </c>
      <c r="L1336" t="e">
        <f>NA()</f>
        <v>#N/A</v>
      </c>
      <c r="M1336" t="e">
        <f>NA()</f>
        <v>#N/A</v>
      </c>
      <c r="N1336" t="e">
        <f>NA()</f>
        <v>#N/A</v>
      </c>
      <c r="O1336">
        <f t="shared" si="46"/>
        <v>0.1</v>
      </c>
    </row>
    <row r="1337" spans="1:15" x14ac:dyDescent="0.25">
      <c r="A1337" s="1">
        <v>44064</v>
      </c>
      <c r="B1337">
        <f>-0.1</f>
        <v>-0.1</v>
      </c>
      <c r="C1337">
        <f>0</f>
        <v>0</v>
      </c>
      <c r="D1337" t="e">
        <f>NA()</f>
        <v>#N/A</v>
      </c>
      <c r="E1337" t="e">
        <f>NA()</f>
        <v>#N/A</v>
      </c>
      <c r="F1337" t="e">
        <f>NA()</f>
        <v>#N/A</v>
      </c>
      <c r="G1337" t="e">
        <f>NA()</f>
        <v>#N/A</v>
      </c>
      <c r="H1337" t="e">
        <f>NA()</f>
        <v>#N/A</v>
      </c>
      <c r="I1337" t="e">
        <f>NA()</f>
        <v>#N/A</v>
      </c>
      <c r="J1337" t="e">
        <f>NA()</f>
        <v>#N/A</v>
      </c>
      <c r="K1337" t="e">
        <f>NA()</f>
        <v>#N/A</v>
      </c>
      <c r="L1337" t="e">
        <f>NA()</f>
        <v>#N/A</v>
      </c>
      <c r="M1337" t="e">
        <f>NA()</f>
        <v>#N/A</v>
      </c>
      <c r="N1337" t="e">
        <f>NA()</f>
        <v>#N/A</v>
      </c>
      <c r="O1337">
        <f t="shared" si="46"/>
        <v>0.1</v>
      </c>
    </row>
    <row r="1338" spans="1:15" x14ac:dyDescent="0.25">
      <c r="A1338" s="1">
        <v>44063</v>
      </c>
      <c r="B1338" t="e">
        <f>NA()</f>
        <v>#N/A</v>
      </c>
      <c r="C1338" t="e">
        <f>NA()</f>
        <v>#N/A</v>
      </c>
      <c r="D1338" t="e">
        <f>NA()</f>
        <v>#N/A</v>
      </c>
      <c r="E1338" t="e">
        <f>NA()</f>
        <v>#N/A</v>
      </c>
      <c r="F1338" t="e">
        <f>NA()</f>
        <v>#N/A</v>
      </c>
      <c r="G1338" t="e">
        <f>NA()</f>
        <v>#N/A</v>
      </c>
      <c r="H1338" t="e">
        <f>NA()</f>
        <v>#N/A</v>
      </c>
      <c r="I1338" t="e">
        <f>NA()</f>
        <v>#N/A</v>
      </c>
      <c r="J1338" t="e">
        <f>NA()</f>
        <v>#N/A</v>
      </c>
      <c r="K1338" t="e">
        <f>NA()</f>
        <v>#N/A</v>
      </c>
      <c r="L1338" t="e">
        <f>NA()</f>
        <v>#N/A</v>
      </c>
      <c r="M1338" t="e">
        <f>NA()</f>
        <v>#N/A</v>
      </c>
      <c r="N1338" t="e">
        <f>NA()</f>
        <v>#N/A</v>
      </c>
      <c r="O1338">
        <f t="shared" si="46"/>
        <v>0.1</v>
      </c>
    </row>
    <row r="1339" spans="1:15" x14ac:dyDescent="0.25">
      <c r="A1339" s="1">
        <v>44062</v>
      </c>
      <c r="B1339" t="e">
        <f>NA()</f>
        <v>#N/A</v>
      </c>
      <c r="C1339" t="e">
        <f>NA()</f>
        <v>#N/A</v>
      </c>
      <c r="D1339" t="e">
        <f>NA()</f>
        <v>#N/A</v>
      </c>
      <c r="E1339" t="e">
        <f>NA()</f>
        <v>#N/A</v>
      </c>
      <c r="F1339" t="e">
        <f>NA()</f>
        <v>#N/A</v>
      </c>
      <c r="G1339" t="e">
        <f>NA()</f>
        <v>#N/A</v>
      </c>
      <c r="H1339" t="e">
        <f>NA()</f>
        <v>#N/A</v>
      </c>
      <c r="I1339" t="e">
        <f>NA()</f>
        <v>#N/A</v>
      </c>
      <c r="J1339" t="e">
        <f>NA()</f>
        <v>#N/A</v>
      </c>
      <c r="K1339" t="e">
        <f>NA()</f>
        <v>#N/A</v>
      </c>
      <c r="L1339" t="e">
        <f>NA()</f>
        <v>#N/A</v>
      </c>
      <c r="M1339" t="e">
        <f>NA()</f>
        <v>#N/A</v>
      </c>
      <c r="N1339" t="e">
        <f>NA()</f>
        <v>#N/A</v>
      </c>
      <c r="O1339">
        <f t="shared" si="46"/>
        <v>0.1</v>
      </c>
    </row>
    <row r="1340" spans="1:15" x14ac:dyDescent="0.25">
      <c r="A1340" s="1">
        <v>44061</v>
      </c>
      <c r="B1340" t="e">
        <f>NA()</f>
        <v>#N/A</v>
      </c>
      <c r="C1340" t="e">
        <f>NA()</f>
        <v>#N/A</v>
      </c>
      <c r="D1340" t="e">
        <f>NA()</f>
        <v>#N/A</v>
      </c>
      <c r="E1340" t="e">
        <f>NA()</f>
        <v>#N/A</v>
      </c>
      <c r="F1340" t="e">
        <f>NA()</f>
        <v>#N/A</v>
      </c>
      <c r="G1340" t="e">
        <f>NA()</f>
        <v>#N/A</v>
      </c>
      <c r="H1340" t="e">
        <f>NA()</f>
        <v>#N/A</v>
      </c>
      <c r="I1340" t="e">
        <f>NA()</f>
        <v>#N/A</v>
      </c>
      <c r="J1340" t="e">
        <f>NA()</f>
        <v>#N/A</v>
      </c>
      <c r="K1340" t="e">
        <f>NA()</f>
        <v>#N/A</v>
      </c>
      <c r="L1340" t="e">
        <f>NA()</f>
        <v>#N/A</v>
      </c>
      <c r="M1340" t="e">
        <f>NA()</f>
        <v>#N/A</v>
      </c>
      <c r="N1340" t="e">
        <f>NA()</f>
        <v>#N/A</v>
      </c>
      <c r="O1340">
        <f t="shared" si="46"/>
        <v>0.1</v>
      </c>
    </row>
    <row r="1341" spans="1:15" x14ac:dyDescent="0.25">
      <c r="A1341" s="1">
        <v>44060</v>
      </c>
      <c r="B1341" t="e">
        <f>NA()</f>
        <v>#N/A</v>
      </c>
      <c r="C1341" t="e">
        <f>NA()</f>
        <v>#N/A</v>
      </c>
      <c r="D1341" t="e">
        <f>NA()</f>
        <v>#N/A</v>
      </c>
      <c r="E1341" t="e">
        <f>NA()</f>
        <v>#N/A</v>
      </c>
      <c r="F1341" t="e">
        <f>NA()</f>
        <v>#N/A</v>
      </c>
      <c r="G1341" t="e">
        <f>NA()</f>
        <v>#N/A</v>
      </c>
      <c r="H1341" t="e">
        <f>NA()</f>
        <v>#N/A</v>
      </c>
      <c r="I1341" t="e">
        <f>NA()</f>
        <v>#N/A</v>
      </c>
      <c r="J1341" t="e">
        <f>NA()</f>
        <v>#N/A</v>
      </c>
      <c r="K1341" t="e">
        <f>NA()</f>
        <v>#N/A</v>
      </c>
      <c r="L1341" t="e">
        <f>NA()</f>
        <v>#N/A</v>
      </c>
      <c r="M1341" t="e">
        <f>NA()</f>
        <v>#N/A</v>
      </c>
      <c r="N1341" t="e">
        <f>NA()</f>
        <v>#N/A</v>
      </c>
      <c r="O1341">
        <f t="shared" si="46"/>
        <v>0.1</v>
      </c>
    </row>
    <row r="1342" spans="1:15" x14ac:dyDescent="0.25">
      <c r="A1342" s="1">
        <v>44057</v>
      </c>
      <c r="B1342">
        <f>-0.3</f>
        <v>-0.3</v>
      </c>
      <c r="C1342">
        <f>0</f>
        <v>0</v>
      </c>
      <c r="D1342" t="e">
        <f>NA()</f>
        <v>#N/A</v>
      </c>
      <c r="E1342" t="e">
        <f>NA()</f>
        <v>#N/A</v>
      </c>
      <c r="F1342" t="e">
        <f>NA()</f>
        <v>#N/A</v>
      </c>
      <c r="G1342" t="e">
        <f>NA()</f>
        <v>#N/A</v>
      </c>
      <c r="H1342" t="e">
        <f>NA()</f>
        <v>#N/A</v>
      </c>
      <c r="I1342" t="e">
        <f>NA()</f>
        <v>#N/A</v>
      </c>
      <c r="J1342" t="e">
        <f>NA()</f>
        <v>#N/A</v>
      </c>
      <c r="K1342" t="e">
        <f>NA()</f>
        <v>#N/A</v>
      </c>
      <c r="L1342" t="e">
        <f>NA()</f>
        <v>#N/A</v>
      </c>
      <c r="M1342" t="e">
        <f>NA()</f>
        <v>#N/A</v>
      </c>
      <c r="N1342" t="e">
        <f>NA()</f>
        <v>#N/A</v>
      </c>
      <c r="O1342">
        <f t="shared" si="46"/>
        <v>0.1</v>
      </c>
    </row>
    <row r="1343" spans="1:15" x14ac:dyDescent="0.25">
      <c r="A1343" s="1">
        <v>44056</v>
      </c>
      <c r="B1343" t="e">
        <f>NA()</f>
        <v>#N/A</v>
      </c>
      <c r="C1343" t="e">
        <f>NA()</f>
        <v>#N/A</v>
      </c>
      <c r="D1343" t="e">
        <f>NA()</f>
        <v>#N/A</v>
      </c>
      <c r="E1343" t="e">
        <f>NA()</f>
        <v>#N/A</v>
      </c>
      <c r="F1343" t="e">
        <f>NA()</f>
        <v>#N/A</v>
      </c>
      <c r="G1343" t="e">
        <f>NA()</f>
        <v>#N/A</v>
      </c>
      <c r="H1343" t="e">
        <f>NA()</f>
        <v>#N/A</v>
      </c>
      <c r="I1343" t="e">
        <f>NA()</f>
        <v>#N/A</v>
      </c>
      <c r="J1343" t="e">
        <f>NA()</f>
        <v>#N/A</v>
      </c>
      <c r="K1343" t="e">
        <f>NA()</f>
        <v>#N/A</v>
      </c>
      <c r="L1343" t="e">
        <f>NA()</f>
        <v>#N/A</v>
      </c>
      <c r="M1343" t="e">
        <f>NA()</f>
        <v>#N/A</v>
      </c>
      <c r="N1343" t="e">
        <f>NA()</f>
        <v>#N/A</v>
      </c>
      <c r="O1343">
        <f t="shared" si="46"/>
        <v>0.1</v>
      </c>
    </row>
    <row r="1344" spans="1:15" x14ac:dyDescent="0.25">
      <c r="A1344" s="1">
        <v>44055</v>
      </c>
      <c r="B1344" t="e">
        <f>NA()</f>
        <v>#N/A</v>
      </c>
      <c r="C1344" t="e">
        <f>NA()</f>
        <v>#N/A</v>
      </c>
      <c r="D1344" t="e">
        <f>NA()</f>
        <v>#N/A</v>
      </c>
      <c r="E1344" t="e">
        <f>NA()</f>
        <v>#N/A</v>
      </c>
      <c r="F1344" t="e">
        <f>NA()</f>
        <v>#N/A</v>
      </c>
      <c r="G1344" t="e">
        <f>NA()</f>
        <v>#N/A</v>
      </c>
      <c r="H1344" t="e">
        <f>NA()</f>
        <v>#N/A</v>
      </c>
      <c r="I1344" t="e">
        <f>NA()</f>
        <v>#N/A</v>
      </c>
      <c r="J1344" t="e">
        <f>NA()</f>
        <v>#N/A</v>
      </c>
      <c r="K1344" t="e">
        <f>NA()</f>
        <v>#N/A</v>
      </c>
      <c r="L1344" t="e">
        <f>NA()</f>
        <v>#N/A</v>
      </c>
      <c r="M1344" t="e">
        <f>NA()</f>
        <v>#N/A</v>
      </c>
      <c r="N1344" t="e">
        <f>NA()</f>
        <v>#N/A</v>
      </c>
      <c r="O1344">
        <f t="shared" si="46"/>
        <v>0.1</v>
      </c>
    </row>
    <row r="1345" spans="1:15" x14ac:dyDescent="0.25">
      <c r="A1345" s="1">
        <v>44054</v>
      </c>
      <c r="B1345" t="e">
        <f>NA()</f>
        <v>#N/A</v>
      </c>
      <c r="C1345" t="e">
        <f>NA()</f>
        <v>#N/A</v>
      </c>
      <c r="D1345" t="e">
        <f>NA()</f>
        <v>#N/A</v>
      </c>
      <c r="E1345" t="e">
        <f>NA()</f>
        <v>#N/A</v>
      </c>
      <c r="F1345" t="e">
        <f>NA()</f>
        <v>#N/A</v>
      </c>
      <c r="G1345" t="e">
        <f>NA()</f>
        <v>#N/A</v>
      </c>
      <c r="H1345" t="e">
        <f>NA()</f>
        <v>#N/A</v>
      </c>
      <c r="I1345" t="e">
        <f>NA()</f>
        <v>#N/A</v>
      </c>
      <c r="J1345" t="e">
        <f>NA()</f>
        <v>#N/A</v>
      </c>
      <c r="K1345" t="e">
        <f>NA()</f>
        <v>#N/A</v>
      </c>
      <c r="L1345" t="e">
        <f>NA()</f>
        <v>#N/A</v>
      </c>
      <c r="M1345" t="e">
        <f>NA()</f>
        <v>#N/A</v>
      </c>
      <c r="N1345" t="e">
        <f>NA()</f>
        <v>#N/A</v>
      </c>
      <c r="O1345">
        <f t="shared" si="46"/>
        <v>0.1</v>
      </c>
    </row>
    <row r="1346" spans="1:15" x14ac:dyDescent="0.25">
      <c r="A1346" s="1">
        <v>44053</v>
      </c>
      <c r="B1346" t="e">
        <f>NA()</f>
        <v>#N/A</v>
      </c>
      <c r="C1346" t="e">
        <f>NA()</f>
        <v>#N/A</v>
      </c>
      <c r="D1346" t="e">
        <f>NA()</f>
        <v>#N/A</v>
      </c>
      <c r="E1346" t="e">
        <f>NA()</f>
        <v>#N/A</v>
      </c>
      <c r="F1346" t="e">
        <f>NA()</f>
        <v>#N/A</v>
      </c>
      <c r="G1346" t="e">
        <f>NA()</f>
        <v>#N/A</v>
      </c>
      <c r="H1346" t="e">
        <f>NA()</f>
        <v>#N/A</v>
      </c>
      <c r="I1346" t="e">
        <f>NA()</f>
        <v>#N/A</v>
      </c>
      <c r="J1346" t="e">
        <f>NA()</f>
        <v>#N/A</v>
      </c>
      <c r="K1346" t="e">
        <f>NA()</f>
        <v>#N/A</v>
      </c>
      <c r="L1346" t="e">
        <f>NA()</f>
        <v>#N/A</v>
      </c>
      <c r="M1346" t="e">
        <f>NA()</f>
        <v>#N/A</v>
      </c>
      <c r="N1346" t="e">
        <f>NA()</f>
        <v>#N/A</v>
      </c>
      <c r="O1346">
        <f t="shared" si="46"/>
        <v>0.1</v>
      </c>
    </row>
    <row r="1347" spans="1:15" x14ac:dyDescent="0.25">
      <c r="A1347" s="1">
        <v>44050</v>
      </c>
      <c r="B1347">
        <f>-0.2</f>
        <v>-0.2</v>
      </c>
      <c r="C1347">
        <f>0</f>
        <v>0</v>
      </c>
      <c r="D1347" t="e">
        <f>NA()</f>
        <v>#N/A</v>
      </c>
      <c r="E1347" t="e">
        <f>NA()</f>
        <v>#N/A</v>
      </c>
      <c r="F1347" t="e">
        <f>NA()</f>
        <v>#N/A</v>
      </c>
      <c r="G1347" t="e">
        <f>NA()</f>
        <v>#N/A</v>
      </c>
      <c r="H1347" t="e">
        <f>NA()</f>
        <v>#N/A</v>
      </c>
      <c r="I1347" t="e">
        <f>NA()</f>
        <v>#N/A</v>
      </c>
      <c r="J1347" t="e">
        <f>NA()</f>
        <v>#N/A</v>
      </c>
      <c r="K1347" t="e">
        <f>NA()</f>
        <v>#N/A</v>
      </c>
      <c r="L1347" t="e">
        <f>NA()</f>
        <v>#N/A</v>
      </c>
      <c r="M1347" t="e">
        <f>NA()</f>
        <v>#N/A</v>
      </c>
      <c r="N1347" t="e">
        <f>NA()</f>
        <v>#N/A</v>
      </c>
      <c r="O1347">
        <f t="shared" si="46"/>
        <v>0.1</v>
      </c>
    </row>
    <row r="1348" spans="1:15" x14ac:dyDescent="0.25">
      <c r="A1348" s="1">
        <v>44049</v>
      </c>
      <c r="B1348" t="e">
        <f>NA()</f>
        <v>#N/A</v>
      </c>
      <c r="C1348" t="e">
        <f>NA()</f>
        <v>#N/A</v>
      </c>
      <c r="D1348" t="e">
        <f>NA()</f>
        <v>#N/A</v>
      </c>
      <c r="E1348" t="e">
        <f>NA()</f>
        <v>#N/A</v>
      </c>
      <c r="F1348" t="e">
        <f>NA()</f>
        <v>#N/A</v>
      </c>
      <c r="G1348" t="e">
        <f>NA()</f>
        <v>#N/A</v>
      </c>
      <c r="H1348" t="e">
        <f>NA()</f>
        <v>#N/A</v>
      </c>
      <c r="I1348" t="e">
        <f>NA()</f>
        <v>#N/A</v>
      </c>
      <c r="J1348" t="e">
        <f>NA()</f>
        <v>#N/A</v>
      </c>
      <c r="K1348" t="e">
        <f>NA()</f>
        <v>#N/A</v>
      </c>
      <c r="L1348" t="e">
        <f>NA()</f>
        <v>#N/A</v>
      </c>
      <c r="M1348" t="e">
        <f>NA()</f>
        <v>#N/A</v>
      </c>
      <c r="N1348" t="e">
        <f>NA()</f>
        <v>#N/A</v>
      </c>
      <c r="O1348">
        <f t="shared" si="46"/>
        <v>0.1</v>
      </c>
    </row>
    <row r="1349" spans="1:15" x14ac:dyDescent="0.25">
      <c r="A1349" s="1">
        <v>44048</v>
      </c>
      <c r="B1349" t="e">
        <f>NA()</f>
        <v>#N/A</v>
      </c>
      <c r="C1349" t="e">
        <f>NA()</f>
        <v>#N/A</v>
      </c>
      <c r="D1349" t="e">
        <f>NA()</f>
        <v>#N/A</v>
      </c>
      <c r="E1349" t="e">
        <f>NA()</f>
        <v>#N/A</v>
      </c>
      <c r="F1349" t="e">
        <f>NA()</f>
        <v>#N/A</v>
      </c>
      <c r="G1349" t="e">
        <f>NA()</f>
        <v>#N/A</v>
      </c>
      <c r="H1349" t="e">
        <f>NA()</f>
        <v>#N/A</v>
      </c>
      <c r="I1349" t="e">
        <f>NA()</f>
        <v>#N/A</v>
      </c>
      <c r="J1349" t="e">
        <f>NA()</f>
        <v>#N/A</v>
      </c>
      <c r="K1349" t="e">
        <f>NA()</f>
        <v>#N/A</v>
      </c>
      <c r="L1349" t="e">
        <f>NA()</f>
        <v>#N/A</v>
      </c>
      <c r="M1349" t="e">
        <f>NA()</f>
        <v>#N/A</v>
      </c>
      <c r="N1349" t="e">
        <f>NA()</f>
        <v>#N/A</v>
      </c>
      <c r="O1349">
        <f t="shared" si="46"/>
        <v>0.1</v>
      </c>
    </row>
    <row r="1350" spans="1:15" x14ac:dyDescent="0.25">
      <c r="A1350" s="1">
        <v>44047</v>
      </c>
      <c r="B1350" t="e">
        <f>NA()</f>
        <v>#N/A</v>
      </c>
      <c r="C1350" t="e">
        <f>NA()</f>
        <v>#N/A</v>
      </c>
      <c r="D1350" t="e">
        <f>NA()</f>
        <v>#N/A</v>
      </c>
      <c r="E1350" t="e">
        <f>NA()</f>
        <v>#N/A</v>
      </c>
      <c r="F1350" t="e">
        <f>NA()</f>
        <v>#N/A</v>
      </c>
      <c r="G1350" t="e">
        <f>NA()</f>
        <v>#N/A</v>
      </c>
      <c r="H1350" t="e">
        <f>NA()</f>
        <v>#N/A</v>
      </c>
      <c r="I1350" t="e">
        <f>NA()</f>
        <v>#N/A</v>
      </c>
      <c r="J1350" t="e">
        <f>NA()</f>
        <v>#N/A</v>
      </c>
      <c r="K1350" t="e">
        <f>NA()</f>
        <v>#N/A</v>
      </c>
      <c r="L1350" t="e">
        <f>NA()</f>
        <v>#N/A</v>
      </c>
      <c r="M1350" t="e">
        <f>NA()</f>
        <v>#N/A</v>
      </c>
      <c r="N1350" t="e">
        <f>NA()</f>
        <v>#N/A</v>
      </c>
      <c r="O1350">
        <f t="shared" si="46"/>
        <v>0.1</v>
      </c>
    </row>
    <row r="1351" spans="1:15" x14ac:dyDescent="0.25">
      <c r="A1351" s="1">
        <v>44046</v>
      </c>
      <c r="B1351" t="e">
        <f>NA()</f>
        <v>#N/A</v>
      </c>
      <c r="C1351" t="e">
        <f>NA()</f>
        <v>#N/A</v>
      </c>
      <c r="D1351" t="e">
        <f>NA()</f>
        <v>#N/A</v>
      </c>
      <c r="E1351" t="e">
        <f>NA()</f>
        <v>#N/A</v>
      </c>
      <c r="F1351" t="e">
        <f>NA()</f>
        <v>#N/A</v>
      </c>
      <c r="G1351" t="e">
        <f>NA()</f>
        <v>#N/A</v>
      </c>
      <c r="H1351" t="e">
        <f>NA()</f>
        <v>#N/A</v>
      </c>
      <c r="I1351" t="e">
        <f>NA()</f>
        <v>#N/A</v>
      </c>
      <c r="J1351" t="e">
        <f>NA()</f>
        <v>#N/A</v>
      </c>
      <c r="K1351" t="e">
        <f>NA()</f>
        <v>#N/A</v>
      </c>
      <c r="L1351" t="e">
        <f>NA()</f>
        <v>#N/A</v>
      </c>
      <c r="M1351" t="e">
        <f>NA()</f>
        <v>#N/A</v>
      </c>
      <c r="N1351" t="e">
        <f>NA()</f>
        <v>#N/A</v>
      </c>
      <c r="O1351">
        <f t="shared" si="46"/>
        <v>0.1</v>
      </c>
    </row>
    <row r="1352" spans="1:15" x14ac:dyDescent="0.25">
      <c r="A1352" s="1">
        <v>44043</v>
      </c>
      <c r="B1352">
        <f>-0.1</f>
        <v>-0.1</v>
      </c>
      <c r="C1352">
        <f>0</f>
        <v>0</v>
      </c>
      <c r="D1352">
        <f>0</f>
        <v>0</v>
      </c>
      <c r="E1352">
        <f>3.8</f>
        <v>3.8</v>
      </c>
      <c r="F1352">
        <f>6530</f>
        <v>6530</v>
      </c>
      <c r="G1352">
        <f>61.5</f>
        <v>61.5</v>
      </c>
      <c r="H1352">
        <f>-1.3</f>
        <v>-1.3</v>
      </c>
      <c r="I1352">
        <f>259.1</f>
        <v>259.10000000000002</v>
      </c>
      <c r="J1352">
        <f>1</f>
        <v>1</v>
      </c>
      <c r="K1352">
        <f>53.8</f>
        <v>53.8</v>
      </c>
      <c r="L1352">
        <f>3.6</f>
        <v>3.6</v>
      </c>
      <c r="M1352" t="e">
        <f>NA()</f>
        <v>#N/A</v>
      </c>
      <c r="N1352">
        <f>10.2</f>
        <v>10.199999999999999</v>
      </c>
      <c r="O1352">
        <f t="shared" si="46"/>
        <v>0.1</v>
      </c>
    </row>
    <row r="1353" spans="1:15" x14ac:dyDescent="0.25">
      <c r="A1353" s="1">
        <v>44042</v>
      </c>
      <c r="B1353" t="e">
        <f>NA()</f>
        <v>#N/A</v>
      </c>
      <c r="C1353" t="e">
        <f>NA()</f>
        <v>#N/A</v>
      </c>
      <c r="D1353" t="e">
        <f>NA()</f>
        <v>#N/A</v>
      </c>
      <c r="E1353" t="e">
        <f>NA()</f>
        <v>#N/A</v>
      </c>
      <c r="F1353" t="e">
        <f>NA()</f>
        <v>#N/A</v>
      </c>
      <c r="G1353" t="e">
        <f>NA()</f>
        <v>#N/A</v>
      </c>
      <c r="H1353" t="e">
        <f>NA()</f>
        <v>#N/A</v>
      </c>
      <c r="I1353" t="e">
        <f>NA()</f>
        <v>#N/A</v>
      </c>
      <c r="J1353" t="e">
        <f>NA()</f>
        <v>#N/A</v>
      </c>
      <c r="K1353" t="e">
        <f>NA()</f>
        <v>#N/A</v>
      </c>
      <c r="L1353" t="e">
        <f>NA()</f>
        <v>#N/A</v>
      </c>
      <c r="M1353" t="e">
        <f>NA()</f>
        <v>#N/A</v>
      </c>
      <c r="N1353" t="e">
        <f>NA()</f>
        <v>#N/A</v>
      </c>
      <c r="O1353">
        <f t="shared" ref="O1353:O1384" si="47">0.1</f>
        <v>0.1</v>
      </c>
    </row>
    <row r="1354" spans="1:15" x14ac:dyDescent="0.25">
      <c r="A1354" s="1">
        <v>44041</v>
      </c>
      <c r="B1354" t="e">
        <f>NA()</f>
        <v>#N/A</v>
      </c>
      <c r="C1354" t="e">
        <f>NA()</f>
        <v>#N/A</v>
      </c>
      <c r="D1354" t="e">
        <f>NA()</f>
        <v>#N/A</v>
      </c>
      <c r="E1354" t="e">
        <f>NA()</f>
        <v>#N/A</v>
      </c>
      <c r="F1354" t="e">
        <f>NA()</f>
        <v>#N/A</v>
      </c>
      <c r="G1354" t="e">
        <f>NA()</f>
        <v>#N/A</v>
      </c>
      <c r="H1354" t="e">
        <f>NA()</f>
        <v>#N/A</v>
      </c>
      <c r="I1354" t="e">
        <f>NA()</f>
        <v>#N/A</v>
      </c>
      <c r="J1354" t="e">
        <f>NA()</f>
        <v>#N/A</v>
      </c>
      <c r="K1354" t="e">
        <f>NA()</f>
        <v>#N/A</v>
      </c>
      <c r="L1354" t="e">
        <f>NA()</f>
        <v>#N/A</v>
      </c>
      <c r="M1354" t="e">
        <f>NA()</f>
        <v>#N/A</v>
      </c>
      <c r="N1354" t="e">
        <f>NA()</f>
        <v>#N/A</v>
      </c>
      <c r="O1354">
        <f t="shared" si="47"/>
        <v>0.1</v>
      </c>
    </row>
    <row r="1355" spans="1:15" x14ac:dyDescent="0.25">
      <c r="A1355" s="1">
        <v>44040</v>
      </c>
      <c r="B1355" t="e">
        <f>NA()</f>
        <v>#N/A</v>
      </c>
      <c r="C1355" t="e">
        <f>NA()</f>
        <v>#N/A</v>
      </c>
      <c r="D1355" t="e">
        <f>NA()</f>
        <v>#N/A</v>
      </c>
      <c r="E1355" t="e">
        <f>NA()</f>
        <v>#N/A</v>
      </c>
      <c r="F1355" t="e">
        <f>NA()</f>
        <v>#N/A</v>
      </c>
      <c r="G1355" t="e">
        <f>NA()</f>
        <v>#N/A</v>
      </c>
      <c r="H1355" t="e">
        <f>NA()</f>
        <v>#N/A</v>
      </c>
      <c r="I1355" t="e">
        <f>NA()</f>
        <v>#N/A</v>
      </c>
      <c r="J1355" t="e">
        <f>NA()</f>
        <v>#N/A</v>
      </c>
      <c r="K1355" t="e">
        <f>NA()</f>
        <v>#N/A</v>
      </c>
      <c r="L1355" t="e">
        <f>NA()</f>
        <v>#N/A</v>
      </c>
      <c r="M1355" t="e">
        <f>NA()</f>
        <v>#N/A</v>
      </c>
      <c r="N1355" t="e">
        <f>NA()</f>
        <v>#N/A</v>
      </c>
      <c r="O1355">
        <f t="shared" si="47"/>
        <v>0.1</v>
      </c>
    </row>
    <row r="1356" spans="1:15" x14ac:dyDescent="0.25">
      <c r="A1356" s="1">
        <v>44039</v>
      </c>
      <c r="B1356" t="e">
        <f>NA()</f>
        <v>#N/A</v>
      </c>
      <c r="C1356" t="e">
        <f>NA()</f>
        <v>#N/A</v>
      </c>
      <c r="D1356" t="e">
        <f>NA()</f>
        <v>#N/A</v>
      </c>
      <c r="E1356" t="e">
        <f>NA()</f>
        <v>#N/A</v>
      </c>
      <c r="F1356" t="e">
        <f>NA()</f>
        <v>#N/A</v>
      </c>
      <c r="G1356" t="e">
        <f>NA()</f>
        <v>#N/A</v>
      </c>
      <c r="H1356" t="e">
        <f>NA()</f>
        <v>#N/A</v>
      </c>
      <c r="I1356" t="e">
        <f>NA()</f>
        <v>#N/A</v>
      </c>
      <c r="J1356" t="e">
        <f>NA()</f>
        <v>#N/A</v>
      </c>
      <c r="K1356" t="e">
        <f>NA()</f>
        <v>#N/A</v>
      </c>
      <c r="L1356" t="e">
        <f>NA()</f>
        <v>#N/A</v>
      </c>
      <c r="M1356" t="e">
        <f>NA()</f>
        <v>#N/A</v>
      </c>
      <c r="N1356" t="e">
        <f>NA()</f>
        <v>#N/A</v>
      </c>
      <c r="O1356">
        <f t="shared" si="47"/>
        <v>0.1</v>
      </c>
    </row>
    <row r="1357" spans="1:15" x14ac:dyDescent="0.25">
      <c r="A1357" s="1">
        <v>44036</v>
      </c>
      <c r="B1357">
        <f>-0.2</f>
        <v>-0.2</v>
      </c>
      <c r="C1357">
        <f>0</f>
        <v>0</v>
      </c>
      <c r="D1357" t="e">
        <f>NA()</f>
        <v>#N/A</v>
      </c>
      <c r="E1357" t="e">
        <f>NA()</f>
        <v>#N/A</v>
      </c>
      <c r="F1357" t="e">
        <f>NA()</f>
        <v>#N/A</v>
      </c>
      <c r="G1357" t="e">
        <f>NA()</f>
        <v>#N/A</v>
      </c>
      <c r="H1357" t="e">
        <f>NA()</f>
        <v>#N/A</v>
      </c>
      <c r="I1357" t="e">
        <f>NA()</f>
        <v>#N/A</v>
      </c>
      <c r="J1357" t="e">
        <f>NA()</f>
        <v>#N/A</v>
      </c>
      <c r="K1357" t="e">
        <f>NA()</f>
        <v>#N/A</v>
      </c>
      <c r="L1357" t="e">
        <f>NA()</f>
        <v>#N/A</v>
      </c>
      <c r="M1357" t="e">
        <f>NA()</f>
        <v>#N/A</v>
      </c>
      <c r="N1357" t="e">
        <f>NA()</f>
        <v>#N/A</v>
      </c>
      <c r="O1357">
        <f t="shared" si="47"/>
        <v>0.1</v>
      </c>
    </row>
    <row r="1358" spans="1:15" x14ac:dyDescent="0.25">
      <c r="A1358" s="1">
        <v>44035</v>
      </c>
      <c r="B1358" t="e">
        <f>NA()</f>
        <v>#N/A</v>
      </c>
      <c r="C1358" t="e">
        <f>NA()</f>
        <v>#N/A</v>
      </c>
      <c r="D1358" t="e">
        <f>NA()</f>
        <v>#N/A</v>
      </c>
      <c r="E1358" t="e">
        <f>NA()</f>
        <v>#N/A</v>
      </c>
      <c r="F1358" t="e">
        <f>NA()</f>
        <v>#N/A</v>
      </c>
      <c r="G1358" t="e">
        <f>NA()</f>
        <v>#N/A</v>
      </c>
      <c r="H1358" t="e">
        <f>NA()</f>
        <v>#N/A</v>
      </c>
      <c r="I1358" t="e">
        <f>NA()</f>
        <v>#N/A</v>
      </c>
      <c r="J1358" t="e">
        <f>NA()</f>
        <v>#N/A</v>
      </c>
      <c r="K1358" t="e">
        <f>NA()</f>
        <v>#N/A</v>
      </c>
      <c r="L1358" t="e">
        <f>NA()</f>
        <v>#N/A</v>
      </c>
      <c r="M1358" t="e">
        <f>NA()</f>
        <v>#N/A</v>
      </c>
      <c r="N1358" t="e">
        <f>NA()</f>
        <v>#N/A</v>
      </c>
      <c r="O1358">
        <f t="shared" si="47"/>
        <v>0.1</v>
      </c>
    </row>
    <row r="1359" spans="1:15" x14ac:dyDescent="0.25">
      <c r="A1359" s="1">
        <v>44034</v>
      </c>
      <c r="B1359" t="e">
        <f>NA()</f>
        <v>#N/A</v>
      </c>
      <c r="C1359" t="e">
        <f>NA()</f>
        <v>#N/A</v>
      </c>
      <c r="D1359" t="e">
        <f>NA()</f>
        <v>#N/A</v>
      </c>
      <c r="E1359" t="e">
        <f>NA()</f>
        <v>#N/A</v>
      </c>
      <c r="F1359" t="e">
        <f>NA()</f>
        <v>#N/A</v>
      </c>
      <c r="G1359" t="e">
        <f>NA()</f>
        <v>#N/A</v>
      </c>
      <c r="H1359" t="e">
        <f>NA()</f>
        <v>#N/A</v>
      </c>
      <c r="I1359" t="e">
        <f>NA()</f>
        <v>#N/A</v>
      </c>
      <c r="J1359" t="e">
        <f>NA()</f>
        <v>#N/A</v>
      </c>
      <c r="K1359" t="e">
        <f>NA()</f>
        <v>#N/A</v>
      </c>
      <c r="L1359" t="e">
        <f>NA()</f>
        <v>#N/A</v>
      </c>
      <c r="M1359" t="e">
        <f>NA()</f>
        <v>#N/A</v>
      </c>
      <c r="N1359" t="e">
        <f>NA()</f>
        <v>#N/A</v>
      </c>
      <c r="O1359">
        <f t="shared" si="47"/>
        <v>0.1</v>
      </c>
    </row>
    <row r="1360" spans="1:15" x14ac:dyDescent="0.25">
      <c r="A1360" s="1">
        <v>44033</v>
      </c>
      <c r="B1360" t="e">
        <f>NA()</f>
        <v>#N/A</v>
      </c>
      <c r="C1360" t="e">
        <f>NA()</f>
        <v>#N/A</v>
      </c>
      <c r="D1360" t="e">
        <f>NA()</f>
        <v>#N/A</v>
      </c>
      <c r="E1360" t="e">
        <f>NA()</f>
        <v>#N/A</v>
      </c>
      <c r="F1360" t="e">
        <f>NA()</f>
        <v>#N/A</v>
      </c>
      <c r="G1360" t="e">
        <f>NA()</f>
        <v>#N/A</v>
      </c>
      <c r="H1360" t="e">
        <f>NA()</f>
        <v>#N/A</v>
      </c>
      <c r="I1360" t="e">
        <f>NA()</f>
        <v>#N/A</v>
      </c>
      <c r="J1360" t="e">
        <f>NA()</f>
        <v>#N/A</v>
      </c>
      <c r="K1360" t="e">
        <f>NA()</f>
        <v>#N/A</v>
      </c>
      <c r="L1360" t="e">
        <f>NA()</f>
        <v>#N/A</v>
      </c>
      <c r="M1360" t="e">
        <f>NA()</f>
        <v>#N/A</v>
      </c>
      <c r="N1360" t="e">
        <f>NA()</f>
        <v>#N/A</v>
      </c>
      <c r="O1360">
        <f t="shared" si="47"/>
        <v>0.1</v>
      </c>
    </row>
    <row r="1361" spans="1:15" x14ac:dyDescent="0.25">
      <c r="A1361" s="1">
        <v>44032</v>
      </c>
      <c r="B1361" t="e">
        <f>NA()</f>
        <v>#N/A</v>
      </c>
      <c r="C1361" t="e">
        <f>NA()</f>
        <v>#N/A</v>
      </c>
      <c r="D1361" t="e">
        <f>NA()</f>
        <v>#N/A</v>
      </c>
      <c r="E1361" t="e">
        <f>NA()</f>
        <v>#N/A</v>
      </c>
      <c r="F1361" t="e">
        <f>NA()</f>
        <v>#N/A</v>
      </c>
      <c r="G1361" t="e">
        <f>NA()</f>
        <v>#N/A</v>
      </c>
      <c r="H1361" t="e">
        <f>NA()</f>
        <v>#N/A</v>
      </c>
      <c r="I1361" t="e">
        <f>NA()</f>
        <v>#N/A</v>
      </c>
      <c r="J1361" t="e">
        <f>NA()</f>
        <v>#N/A</v>
      </c>
      <c r="K1361" t="e">
        <f>NA()</f>
        <v>#N/A</v>
      </c>
      <c r="L1361" t="e">
        <f>NA()</f>
        <v>#N/A</v>
      </c>
      <c r="M1361" t="e">
        <f>NA()</f>
        <v>#N/A</v>
      </c>
      <c r="N1361" t="e">
        <f>NA()</f>
        <v>#N/A</v>
      </c>
      <c r="O1361">
        <f t="shared" si="47"/>
        <v>0.1</v>
      </c>
    </row>
    <row r="1362" spans="1:15" x14ac:dyDescent="0.25">
      <c r="A1362" s="1">
        <v>44029</v>
      </c>
      <c r="B1362">
        <f>0.1</f>
        <v>0.1</v>
      </c>
      <c r="C1362">
        <f>0</f>
        <v>0</v>
      </c>
      <c r="D1362" t="e">
        <f>NA()</f>
        <v>#N/A</v>
      </c>
      <c r="E1362" t="e">
        <f>NA()</f>
        <v>#N/A</v>
      </c>
      <c r="F1362" t="e">
        <f>NA()</f>
        <v>#N/A</v>
      </c>
      <c r="G1362" t="e">
        <f>NA()</f>
        <v>#N/A</v>
      </c>
      <c r="H1362" t="e">
        <f>NA()</f>
        <v>#N/A</v>
      </c>
      <c r="I1362" t="e">
        <f>NA()</f>
        <v>#N/A</v>
      </c>
      <c r="J1362" t="e">
        <f>NA()</f>
        <v>#N/A</v>
      </c>
      <c r="K1362" t="e">
        <f>NA()</f>
        <v>#N/A</v>
      </c>
      <c r="L1362" t="e">
        <f>NA()</f>
        <v>#N/A</v>
      </c>
      <c r="M1362" t="e">
        <f>NA()</f>
        <v>#N/A</v>
      </c>
      <c r="N1362" t="e">
        <f>NA()</f>
        <v>#N/A</v>
      </c>
      <c r="O1362">
        <f t="shared" si="47"/>
        <v>0.1</v>
      </c>
    </row>
    <row r="1363" spans="1:15" x14ac:dyDescent="0.25">
      <c r="A1363" s="1">
        <v>44028</v>
      </c>
      <c r="B1363" t="e">
        <f>NA()</f>
        <v>#N/A</v>
      </c>
      <c r="C1363" t="e">
        <f>NA()</f>
        <v>#N/A</v>
      </c>
      <c r="D1363" t="e">
        <f>NA()</f>
        <v>#N/A</v>
      </c>
      <c r="E1363" t="e">
        <f>NA()</f>
        <v>#N/A</v>
      </c>
      <c r="F1363" t="e">
        <f>NA()</f>
        <v>#N/A</v>
      </c>
      <c r="G1363" t="e">
        <f>NA()</f>
        <v>#N/A</v>
      </c>
      <c r="H1363" t="e">
        <f>NA()</f>
        <v>#N/A</v>
      </c>
      <c r="I1363" t="e">
        <f>NA()</f>
        <v>#N/A</v>
      </c>
      <c r="J1363" t="e">
        <f>NA()</f>
        <v>#N/A</v>
      </c>
      <c r="K1363" t="e">
        <f>NA()</f>
        <v>#N/A</v>
      </c>
      <c r="L1363" t="e">
        <f>NA()</f>
        <v>#N/A</v>
      </c>
      <c r="M1363" t="e">
        <f>NA()</f>
        <v>#N/A</v>
      </c>
      <c r="N1363" t="e">
        <f>NA()</f>
        <v>#N/A</v>
      </c>
      <c r="O1363">
        <f t="shared" si="47"/>
        <v>0.1</v>
      </c>
    </row>
    <row r="1364" spans="1:15" x14ac:dyDescent="0.25">
      <c r="A1364" s="1">
        <v>44027</v>
      </c>
      <c r="B1364" t="e">
        <f>NA()</f>
        <v>#N/A</v>
      </c>
      <c r="C1364" t="e">
        <f>NA()</f>
        <v>#N/A</v>
      </c>
      <c r="D1364" t="e">
        <f>NA()</f>
        <v>#N/A</v>
      </c>
      <c r="E1364" t="e">
        <f>NA()</f>
        <v>#N/A</v>
      </c>
      <c r="F1364" t="e">
        <f>NA()</f>
        <v>#N/A</v>
      </c>
      <c r="G1364" t="e">
        <f>NA()</f>
        <v>#N/A</v>
      </c>
      <c r="H1364" t="e">
        <f>NA()</f>
        <v>#N/A</v>
      </c>
      <c r="I1364" t="e">
        <f>NA()</f>
        <v>#N/A</v>
      </c>
      <c r="J1364" t="e">
        <f>NA()</f>
        <v>#N/A</v>
      </c>
      <c r="K1364" t="e">
        <f>NA()</f>
        <v>#N/A</v>
      </c>
      <c r="L1364" t="e">
        <f>NA()</f>
        <v>#N/A</v>
      </c>
      <c r="M1364" t="e">
        <f>NA()</f>
        <v>#N/A</v>
      </c>
      <c r="N1364" t="e">
        <f>NA()</f>
        <v>#N/A</v>
      </c>
      <c r="O1364">
        <f t="shared" si="47"/>
        <v>0.1</v>
      </c>
    </row>
    <row r="1365" spans="1:15" x14ac:dyDescent="0.25">
      <c r="A1365" s="1">
        <v>44026</v>
      </c>
      <c r="B1365" t="e">
        <f>NA()</f>
        <v>#N/A</v>
      </c>
      <c r="C1365" t="e">
        <f>NA()</f>
        <v>#N/A</v>
      </c>
      <c r="D1365" t="e">
        <f>NA()</f>
        <v>#N/A</v>
      </c>
      <c r="E1365" t="e">
        <f>NA()</f>
        <v>#N/A</v>
      </c>
      <c r="F1365" t="e">
        <f>NA()</f>
        <v>#N/A</v>
      </c>
      <c r="G1365" t="e">
        <f>NA()</f>
        <v>#N/A</v>
      </c>
      <c r="H1365" t="e">
        <f>NA()</f>
        <v>#N/A</v>
      </c>
      <c r="I1365" t="e">
        <f>NA()</f>
        <v>#N/A</v>
      </c>
      <c r="J1365" t="e">
        <f>NA()</f>
        <v>#N/A</v>
      </c>
      <c r="K1365" t="e">
        <f>NA()</f>
        <v>#N/A</v>
      </c>
      <c r="L1365" t="e">
        <f>NA()</f>
        <v>#N/A</v>
      </c>
      <c r="M1365" t="e">
        <f>NA()</f>
        <v>#N/A</v>
      </c>
      <c r="N1365" t="e">
        <f>NA()</f>
        <v>#N/A</v>
      </c>
      <c r="O1365">
        <f t="shared" si="47"/>
        <v>0.1</v>
      </c>
    </row>
    <row r="1366" spans="1:15" x14ac:dyDescent="0.25">
      <c r="A1366" s="1">
        <v>44025</v>
      </c>
      <c r="B1366" t="e">
        <f>NA()</f>
        <v>#N/A</v>
      </c>
      <c r="C1366" t="e">
        <f>NA()</f>
        <v>#N/A</v>
      </c>
      <c r="D1366" t="e">
        <f>NA()</f>
        <v>#N/A</v>
      </c>
      <c r="E1366" t="e">
        <f>NA()</f>
        <v>#N/A</v>
      </c>
      <c r="F1366" t="e">
        <f>NA()</f>
        <v>#N/A</v>
      </c>
      <c r="G1366" t="e">
        <f>NA()</f>
        <v>#N/A</v>
      </c>
      <c r="H1366" t="e">
        <f>NA()</f>
        <v>#N/A</v>
      </c>
      <c r="I1366" t="e">
        <f>NA()</f>
        <v>#N/A</v>
      </c>
      <c r="J1366" t="e">
        <f>NA()</f>
        <v>#N/A</v>
      </c>
      <c r="K1366" t="e">
        <f>NA()</f>
        <v>#N/A</v>
      </c>
      <c r="L1366" t="e">
        <f>NA()</f>
        <v>#N/A</v>
      </c>
      <c r="M1366" t="e">
        <f>NA()</f>
        <v>#N/A</v>
      </c>
      <c r="N1366" t="e">
        <f>NA()</f>
        <v>#N/A</v>
      </c>
      <c r="O1366">
        <f t="shared" si="47"/>
        <v>0.1</v>
      </c>
    </row>
    <row r="1367" spans="1:15" x14ac:dyDescent="0.25">
      <c r="A1367" s="1">
        <v>44022</v>
      </c>
      <c r="B1367">
        <f>0.1</f>
        <v>0.1</v>
      </c>
      <c r="C1367">
        <f>0</f>
        <v>0</v>
      </c>
      <c r="D1367" t="e">
        <f>NA()</f>
        <v>#N/A</v>
      </c>
      <c r="E1367" t="e">
        <f>NA()</f>
        <v>#N/A</v>
      </c>
      <c r="F1367" t="e">
        <f>NA()</f>
        <v>#N/A</v>
      </c>
      <c r="G1367" t="e">
        <f>NA()</f>
        <v>#N/A</v>
      </c>
      <c r="H1367" t="e">
        <f>NA()</f>
        <v>#N/A</v>
      </c>
      <c r="I1367" t="e">
        <f>NA()</f>
        <v>#N/A</v>
      </c>
      <c r="J1367" t="e">
        <f>NA()</f>
        <v>#N/A</v>
      </c>
      <c r="K1367" t="e">
        <f>NA()</f>
        <v>#N/A</v>
      </c>
      <c r="L1367" t="e">
        <f>NA()</f>
        <v>#N/A</v>
      </c>
      <c r="M1367" t="e">
        <f>NA()</f>
        <v>#N/A</v>
      </c>
      <c r="N1367" t="e">
        <f>NA()</f>
        <v>#N/A</v>
      </c>
      <c r="O1367">
        <f t="shared" si="47"/>
        <v>0.1</v>
      </c>
    </row>
    <row r="1368" spans="1:15" x14ac:dyDescent="0.25">
      <c r="A1368" s="1">
        <v>44021</v>
      </c>
      <c r="B1368" t="e">
        <f>NA()</f>
        <v>#N/A</v>
      </c>
      <c r="C1368" t="e">
        <f>NA()</f>
        <v>#N/A</v>
      </c>
      <c r="D1368" t="e">
        <f>NA()</f>
        <v>#N/A</v>
      </c>
      <c r="E1368" t="e">
        <f>NA()</f>
        <v>#N/A</v>
      </c>
      <c r="F1368" t="e">
        <f>NA()</f>
        <v>#N/A</v>
      </c>
      <c r="G1368" t="e">
        <f>NA()</f>
        <v>#N/A</v>
      </c>
      <c r="H1368" t="e">
        <f>NA()</f>
        <v>#N/A</v>
      </c>
      <c r="I1368" t="e">
        <f>NA()</f>
        <v>#N/A</v>
      </c>
      <c r="J1368" t="e">
        <f>NA()</f>
        <v>#N/A</v>
      </c>
      <c r="K1368" t="e">
        <f>NA()</f>
        <v>#N/A</v>
      </c>
      <c r="L1368" t="e">
        <f>NA()</f>
        <v>#N/A</v>
      </c>
      <c r="M1368" t="e">
        <f>NA()</f>
        <v>#N/A</v>
      </c>
      <c r="N1368" t="e">
        <f>NA()</f>
        <v>#N/A</v>
      </c>
      <c r="O1368">
        <f t="shared" si="47"/>
        <v>0.1</v>
      </c>
    </row>
    <row r="1369" spans="1:15" x14ac:dyDescent="0.25">
      <c r="A1369" s="1">
        <v>44020</v>
      </c>
      <c r="B1369" t="e">
        <f>NA()</f>
        <v>#N/A</v>
      </c>
      <c r="C1369" t="e">
        <f>NA()</f>
        <v>#N/A</v>
      </c>
      <c r="D1369" t="e">
        <f>NA()</f>
        <v>#N/A</v>
      </c>
      <c r="E1369" t="e">
        <f>NA()</f>
        <v>#N/A</v>
      </c>
      <c r="F1369" t="e">
        <f>NA()</f>
        <v>#N/A</v>
      </c>
      <c r="G1369" t="e">
        <f>NA()</f>
        <v>#N/A</v>
      </c>
      <c r="H1369" t="e">
        <f>NA()</f>
        <v>#N/A</v>
      </c>
      <c r="I1369" t="e">
        <f>NA()</f>
        <v>#N/A</v>
      </c>
      <c r="J1369" t="e">
        <f>NA()</f>
        <v>#N/A</v>
      </c>
      <c r="K1369" t="e">
        <f>NA()</f>
        <v>#N/A</v>
      </c>
      <c r="L1369" t="e">
        <f>NA()</f>
        <v>#N/A</v>
      </c>
      <c r="M1369" t="e">
        <f>NA()</f>
        <v>#N/A</v>
      </c>
      <c r="N1369" t="e">
        <f>NA()</f>
        <v>#N/A</v>
      </c>
      <c r="O1369">
        <f t="shared" si="47"/>
        <v>0.1</v>
      </c>
    </row>
    <row r="1370" spans="1:15" x14ac:dyDescent="0.25">
      <c r="A1370" s="1">
        <v>44019</v>
      </c>
      <c r="B1370" t="e">
        <f>NA()</f>
        <v>#N/A</v>
      </c>
      <c r="C1370" t="e">
        <f>NA()</f>
        <v>#N/A</v>
      </c>
      <c r="D1370" t="e">
        <f>NA()</f>
        <v>#N/A</v>
      </c>
      <c r="E1370" t="e">
        <f>NA()</f>
        <v>#N/A</v>
      </c>
      <c r="F1370" t="e">
        <f>NA()</f>
        <v>#N/A</v>
      </c>
      <c r="G1370" t="e">
        <f>NA()</f>
        <v>#N/A</v>
      </c>
      <c r="H1370" t="e">
        <f>NA()</f>
        <v>#N/A</v>
      </c>
      <c r="I1370" t="e">
        <f>NA()</f>
        <v>#N/A</v>
      </c>
      <c r="J1370" t="e">
        <f>NA()</f>
        <v>#N/A</v>
      </c>
      <c r="K1370" t="e">
        <f>NA()</f>
        <v>#N/A</v>
      </c>
      <c r="L1370" t="e">
        <f>NA()</f>
        <v>#N/A</v>
      </c>
      <c r="M1370" t="e">
        <f>NA()</f>
        <v>#N/A</v>
      </c>
      <c r="N1370" t="e">
        <f>NA()</f>
        <v>#N/A</v>
      </c>
      <c r="O1370">
        <f t="shared" si="47"/>
        <v>0.1</v>
      </c>
    </row>
    <row r="1371" spans="1:15" x14ac:dyDescent="0.25">
      <c r="A1371" s="1">
        <v>44018</v>
      </c>
      <c r="B1371" t="e">
        <f>NA()</f>
        <v>#N/A</v>
      </c>
      <c r="C1371" t="e">
        <f>NA()</f>
        <v>#N/A</v>
      </c>
      <c r="D1371" t="e">
        <f>NA()</f>
        <v>#N/A</v>
      </c>
      <c r="E1371" t="e">
        <f>NA()</f>
        <v>#N/A</v>
      </c>
      <c r="F1371" t="e">
        <f>NA()</f>
        <v>#N/A</v>
      </c>
      <c r="G1371" t="e">
        <f>NA()</f>
        <v>#N/A</v>
      </c>
      <c r="H1371" t="e">
        <f>NA()</f>
        <v>#N/A</v>
      </c>
      <c r="I1371" t="e">
        <f>NA()</f>
        <v>#N/A</v>
      </c>
      <c r="J1371" t="e">
        <f>NA()</f>
        <v>#N/A</v>
      </c>
      <c r="K1371" t="e">
        <f>NA()</f>
        <v>#N/A</v>
      </c>
      <c r="L1371" t="e">
        <f>NA()</f>
        <v>#N/A</v>
      </c>
      <c r="M1371" t="e">
        <f>NA()</f>
        <v>#N/A</v>
      </c>
      <c r="N1371" t="e">
        <f>NA()</f>
        <v>#N/A</v>
      </c>
      <c r="O1371">
        <f t="shared" si="47"/>
        <v>0.1</v>
      </c>
    </row>
    <row r="1372" spans="1:15" x14ac:dyDescent="0.25">
      <c r="A1372" s="1">
        <v>44015</v>
      </c>
      <c r="B1372">
        <f>0.4</f>
        <v>0.4</v>
      </c>
      <c r="C1372">
        <f>0</f>
        <v>0</v>
      </c>
      <c r="D1372" t="e">
        <f>NA()</f>
        <v>#N/A</v>
      </c>
      <c r="E1372" t="e">
        <f>NA()</f>
        <v>#N/A</v>
      </c>
      <c r="F1372" t="e">
        <f>NA()</f>
        <v>#N/A</v>
      </c>
      <c r="G1372" t="e">
        <f>NA()</f>
        <v>#N/A</v>
      </c>
      <c r="H1372" t="e">
        <f>NA()</f>
        <v>#N/A</v>
      </c>
      <c r="I1372" t="e">
        <f>NA()</f>
        <v>#N/A</v>
      </c>
      <c r="J1372" t="e">
        <f>NA()</f>
        <v>#N/A</v>
      </c>
      <c r="K1372" t="e">
        <f>NA()</f>
        <v>#N/A</v>
      </c>
      <c r="L1372" t="e">
        <f>NA()</f>
        <v>#N/A</v>
      </c>
      <c r="M1372" t="e">
        <f>NA()</f>
        <v>#N/A</v>
      </c>
      <c r="N1372" t="e">
        <f>NA()</f>
        <v>#N/A</v>
      </c>
      <c r="O1372">
        <f t="shared" si="47"/>
        <v>0.1</v>
      </c>
    </row>
    <row r="1373" spans="1:15" x14ac:dyDescent="0.25">
      <c r="A1373" s="1">
        <v>44014</v>
      </c>
      <c r="B1373" t="e">
        <f>NA()</f>
        <v>#N/A</v>
      </c>
      <c r="C1373" t="e">
        <f>NA()</f>
        <v>#N/A</v>
      </c>
      <c r="D1373" t="e">
        <f>NA()</f>
        <v>#N/A</v>
      </c>
      <c r="E1373" t="e">
        <f>NA()</f>
        <v>#N/A</v>
      </c>
      <c r="F1373" t="e">
        <f>NA()</f>
        <v>#N/A</v>
      </c>
      <c r="G1373" t="e">
        <f>NA()</f>
        <v>#N/A</v>
      </c>
      <c r="H1373" t="e">
        <f>NA()</f>
        <v>#N/A</v>
      </c>
      <c r="I1373" t="e">
        <f>NA()</f>
        <v>#N/A</v>
      </c>
      <c r="J1373" t="e">
        <f>NA()</f>
        <v>#N/A</v>
      </c>
      <c r="K1373" t="e">
        <f>NA()</f>
        <v>#N/A</v>
      </c>
      <c r="L1373" t="e">
        <f>NA()</f>
        <v>#N/A</v>
      </c>
      <c r="M1373" t="e">
        <f>NA()</f>
        <v>#N/A</v>
      </c>
      <c r="N1373" t="e">
        <f>NA()</f>
        <v>#N/A</v>
      </c>
      <c r="O1373">
        <f t="shared" si="47"/>
        <v>0.1</v>
      </c>
    </row>
    <row r="1374" spans="1:15" x14ac:dyDescent="0.25">
      <c r="A1374" s="1">
        <v>44013</v>
      </c>
      <c r="B1374" t="e">
        <f>NA()</f>
        <v>#N/A</v>
      </c>
      <c r="C1374" t="e">
        <f>NA()</f>
        <v>#N/A</v>
      </c>
      <c r="D1374" t="e">
        <f>NA()</f>
        <v>#N/A</v>
      </c>
      <c r="E1374" t="e">
        <f>NA()</f>
        <v>#N/A</v>
      </c>
      <c r="F1374" t="e">
        <f>NA()</f>
        <v>#N/A</v>
      </c>
      <c r="G1374" t="e">
        <f>NA()</f>
        <v>#N/A</v>
      </c>
      <c r="H1374" t="e">
        <f>NA()</f>
        <v>#N/A</v>
      </c>
      <c r="I1374" t="e">
        <f>NA()</f>
        <v>#N/A</v>
      </c>
      <c r="J1374" t="e">
        <f>NA()</f>
        <v>#N/A</v>
      </c>
      <c r="K1374" t="e">
        <f>NA()</f>
        <v>#N/A</v>
      </c>
      <c r="L1374" t="e">
        <f>NA()</f>
        <v>#N/A</v>
      </c>
      <c r="M1374" t="e">
        <f>NA()</f>
        <v>#N/A</v>
      </c>
      <c r="N1374" t="e">
        <f>NA()</f>
        <v>#N/A</v>
      </c>
      <c r="O1374">
        <f t="shared" si="47"/>
        <v>0.1</v>
      </c>
    </row>
    <row r="1375" spans="1:15" x14ac:dyDescent="0.25">
      <c r="A1375" s="1">
        <v>44012</v>
      </c>
      <c r="B1375" t="e">
        <f>NA()</f>
        <v>#N/A</v>
      </c>
      <c r="C1375" t="e">
        <f>NA()</f>
        <v>#N/A</v>
      </c>
      <c r="D1375">
        <f>-1.1</f>
        <v>-1.1000000000000001</v>
      </c>
      <c r="E1375">
        <f>4.3</f>
        <v>4.3</v>
      </c>
      <c r="F1375">
        <f>6129</f>
        <v>6129</v>
      </c>
      <c r="G1375">
        <f>61.5</f>
        <v>61.5</v>
      </c>
      <c r="H1375">
        <f>-2.5</f>
        <v>-2.5</v>
      </c>
      <c r="I1375">
        <f>257.8</f>
        <v>257.8</v>
      </c>
      <c r="J1375">
        <f>0.6</f>
        <v>0.6</v>
      </c>
      <c r="K1375">
        <f>52.6</f>
        <v>52.6</v>
      </c>
      <c r="L1375">
        <f>6.6</f>
        <v>6.6</v>
      </c>
      <c r="M1375">
        <f>-28</f>
        <v>-28</v>
      </c>
      <c r="N1375">
        <f>11</f>
        <v>11</v>
      </c>
      <c r="O1375">
        <f t="shared" si="47"/>
        <v>0.1</v>
      </c>
    </row>
    <row r="1376" spans="1:15" x14ac:dyDescent="0.25">
      <c r="A1376" s="1">
        <v>44011</v>
      </c>
      <c r="B1376" t="e">
        <f>NA()</f>
        <v>#N/A</v>
      </c>
      <c r="C1376" t="e">
        <f>NA()</f>
        <v>#N/A</v>
      </c>
      <c r="D1376" t="e">
        <f>NA()</f>
        <v>#N/A</v>
      </c>
      <c r="E1376" t="e">
        <f>NA()</f>
        <v>#N/A</v>
      </c>
      <c r="F1376" t="e">
        <f>NA()</f>
        <v>#N/A</v>
      </c>
      <c r="G1376" t="e">
        <f>NA()</f>
        <v>#N/A</v>
      </c>
      <c r="H1376" t="e">
        <f>NA()</f>
        <v>#N/A</v>
      </c>
      <c r="I1376" t="e">
        <f>NA()</f>
        <v>#N/A</v>
      </c>
      <c r="J1376" t="e">
        <f>NA()</f>
        <v>#N/A</v>
      </c>
      <c r="K1376" t="e">
        <f>NA()</f>
        <v>#N/A</v>
      </c>
      <c r="L1376" t="e">
        <f>NA()</f>
        <v>#N/A</v>
      </c>
      <c r="M1376" t="e">
        <f>NA()</f>
        <v>#N/A</v>
      </c>
      <c r="N1376" t="e">
        <f>NA()</f>
        <v>#N/A</v>
      </c>
      <c r="O1376">
        <f t="shared" si="47"/>
        <v>0.1</v>
      </c>
    </row>
    <row r="1377" spans="1:15" x14ac:dyDescent="0.25">
      <c r="A1377" s="1">
        <v>44008</v>
      </c>
      <c r="B1377">
        <f>0.5</f>
        <v>0.5</v>
      </c>
      <c r="C1377">
        <f>0</f>
        <v>0</v>
      </c>
      <c r="D1377" t="e">
        <f>NA()</f>
        <v>#N/A</v>
      </c>
      <c r="E1377" t="e">
        <f>NA()</f>
        <v>#N/A</v>
      </c>
      <c r="F1377" t="e">
        <f>NA()</f>
        <v>#N/A</v>
      </c>
      <c r="G1377" t="e">
        <f>NA()</f>
        <v>#N/A</v>
      </c>
      <c r="H1377" t="e">
        <f>NA()</f>
        <v>#N/A</v>
      </c>
      <c r="I1377" t="e">
        <f>NA()</f>
        <v>#N/A</v>
      </c>
      <c r="J1377" t="e">
        <f>NA()</f>
        <v>#N/A</v>
      </c>
      <c r="K1377" t="e">
        <f>NA()</f>
        <v>#N/A</v>
      </c>
      <c r="L1377" t="e">
        <f>NA()</f>
        <v>#N/A</v>
      </c>
      <c r="M1377" t="e">
        <f>NA()</f>
        <v>#N/A</v>
      </c>
      <c r="N1377" t="e">
        <f>NA()</f>
        <v>#N/A</v>
      </c>
      <c r="O1377">
        <f t="shared" si="47"/>
        <v>0.1</v>
      </c>
    </row>
    <row r="1378" spans="1:15" x14ac:dyDescent="0.25">
      <c r="A1378" s="1">
        <v>44007</v>
      </c>
      <c r="B1378" t="e">
        <f>NA()</f>
        <v>#N/A</v>
      </c>
      <c r="C1378" t="e">
        <f>NA()</f>
        <v>#N/A</v>
      </c>
      <c r="D1378" t="e">
        <f>NA()</f>
        <v>#N/A</v>
      </c>
      <c r="E1378" t="e">
        <f>NA()</f>
        <v>#N/A</v>
      </c>
      <c r="F1378" t="e">
        <f>NA()</f>
        <v>#N/A</v>
      </c>
      <c r="G1378" t="e">
        <f>NA()</f>
        <v>#N/A</v>
      </c>
      <c r="H1378" t="e">
        <f>NA()</f>
        <v>#N/A</v>
      </c>
      <c r="I1378" t="e">
        <f>NA()</f>
        <v>#N/A</v>
      </c>
      <c r="J1378" t="e">
        <f>NA()</f>
        <v>#N/A</v>
      </c>
      <c r="K1378" t="e">
        <f>NA()</f>
        <v>#N/A</v>
      </c>
      <c r="L1378" t="e">
        <f>NA()</f>
        <v>#N/A</v>
      </c>
      <c r="M1378" t="e">
        <f>NA()</f>
        <v>#N/A</v>
      </c>
      <c r="N1378" t="e">
        <f>NA()</f>
        <v>#N/A</v>
      </c>
      <c r="O1378">
        <f t="shared" si="47"/>
        <v>0.1</v>
      </c>
    </row>
    <row r="1379" spans="1:15" x14ac:dyDescent="0.25">
      <c r="A1379" s="1">
        <v>44006</v>
      </c>
      <c r="B1379" t="e">
        <f>NA()</f>
        <v>#N/A</v>
      </c>
      <c r="C1379" t="e">
        <f>NA()</f>
        <v>#N/A</v>
      </c>
      <c r="D1379" t="e">
        <f>NA()</f>
        <v>#N/A</v>
      </c>
      <c r="E1379" t="e">
        <f>NA()</f>
        <v>#N/A</v>
      </c>
      <c r="F1379" t="e">
        <f>NA()</f>
        <v>#N/A</v>
      </c>
      <c r="G1379" t="e">
        <f>NA()</f>
        <v>#N/A</v>
      </c>
      <c r="H1379" t="e">
        <f>NA()</f>
        <v>#N/A</v>
      </c>
      <c r="I1379" t="e">
        <f>NA()</f>
        <v>#N/A</v>
      </c>
      <c r="J1379" t="e">
        <f>NA()</f>
        <v>#N/A</v>
      </c>
      <c r="K1379" t="e">
        <f>NA()</f>
        <v>#N/A</v>
      </c>
      <c r="L1379" t="e">
        <f>NA()</f>
        <v>#N/A</v>
      </c>
      <c r="M1379" t="e">
        <f>NA()</f>
        <v>#N/A</v>
      </c>
      <c r="N1379" t="e">
        <f>NA()</f>
        <v>#N/A</v>
      </c>
      <c r="O1379">
        <f t="shared" si="47"/>
        <v>0.1</v>
      </c>
    </row>
    <row r="1380" spans="1:15" x14ac:dyDescent="0.25">
      <c r="A1380" s="1">
        <v>44005</v>
      </c>
      <c r="B1380" t="e">
        <f>NA()</f>
        <v>#N/A</v>
      </c>
      <c r="C1380" t="e">
        <f>NA()</f>
        <v>#N/A</v>
      </c>
      <c r="D1380" t="e">
        <f>NA()</f>
        <v>#N/A</v>
      </c>
      <c r="E1380" t="e">
        <f>NA()</f>
        <v>#N/A</v>
      </c>
      <c r="F1380" t="e">
        <f>NA()</f>
        <v>#N/A</v>
      </c>
      <c r="G1380" t="e">
        <f>NA()</f>
        <v>#N/A</v>
      </c>
      <c r="H1380" t="e">
        <f>NA()</f>
        <v>#N/A</v>
      </c>
      <c r="I1380" t="e">
        <f>NA()</f>
        <v>#N/A</v>
      </c>
      <c r="J1380" t="e">
        <f>NA()</f>
        <v>#N/A</v>
      </c>
      <c r="K1380" t="e">
        <f>NA()</f>
        <v>#N/A</v>
      </c>
      <c r="L1380" t="e">
        <f>NA()</f>
        <v>#N/A</v>
      </c>
      <c r="M1380" t="e">
        <f>NA()</f>
        <v>#N/A</v>
      </c>
      <c r="N1380" t="e">
        <f>NA()</f>
        <v>#N/A</v>
      </c>
      <c r="O1380">
        <f t="shared" si="47"/>
        <v>0.1</v>
      </c>
    </row>
    <row r="1381" spans="1:15" x14ac:dyDescent="0.25">
      <c r="A1381" s="1">
        <v>44004</v>
      </c>
      <c r="B1381" t="e">
        <f>NA()</f>
        <v>#N/A</v>
      </c>
      <c r="C1381" t="e">
        <f>NA()</f>
        <v>#N/A</v>
      </c>
      <c r="D1381" t="e">
        <f>NA()</f>
        <v>#N/A</v>
      </c>
      <c r="E1381" t="e">
        <f>NA()</f>
        <v>#N/A</v>
      </c>
      <c r="F1381" t="e">
        <f>NA()</f>
        <v>#N/A</v>
      </c>
      <c r="G1381" t="e">
        <f>NA()</f>
        <v>#N/A</v>
      </c>
      <c r="H1381" t="e">
        <f>NA()</f>
        <v>#N/A</v>
      </c>
      <c r="I1381" t="e">
        <f>NA()</f>
        <v>#N/A</v>
      </c>
      <c r="J1381" t="e">
        <f>NA()</f>
        <v>#N/A</v>
      </c>
      <c r="K1381" t="e">
        <f>NA()</f>
        <v>#N/A</v>
      </c>
      <c r="L1381" t="e">
        <f>NA()</f>
        <v>#N/A</v>
      </c>
      <c r="M1381" t="e">
        <f>NA()</f>
        <v>#N/A</v>
      </c>
      <c r="N1381" t="e">
        <f>NA()</f>
        <v>#N/A</v>
      </c>
      <c r="O1381">
        <f t="shared" si="47"/>
        <v>0.1</v>
      </c>
    </row>
    <row r="1382" spans="1:15" x14ac:dyDescent="0.25">
      <c r="A1382" s="1">
        <v>44001</v>
      </c>
      <c r="B1382">
        <f>0.5</f>
        <v>0.5</v>
      </c>
      <c r="C1382">
        <f>0</f>
        <v>0</v>
      </c>
      <c r="D1382" t="e">
        <f>NA()</f>
        <v>#N/A</v>
      </c>
      <c r="E1382" t="e">
        <f>NA()</f>
        <v>#N/A</v>
      </c>
      <c r="F1382" t="e">
        <f>NA()</f>
        <v>#N/A</v>
      </c>
      <c r="G1382" t="e">
        <f>NA()</f>
        <v>#N/A</v>
      </c>
      <c r="H1382" t="e">
        <f>NA()</f>
        <v>#N/A</v>
      </c>
      <c r="I1382" t="e">
        <f>NA()</f>
        <v>#N/A</v>
      </c>
      <c r="J1382" t="e">
        <f>NA()</f>
        <v>#N/A</v>
      </c>
      <c r="K1382" t="e">
        <f>NA()</f>
        <v>#N/A</v>
      </c>
      <c r="L1382" t="e">
        <f>NA()</f>
        <v>#N/A</v>
      </c>
      <c r="M1382" t="e">
        <f>NA()</f>
        <v>#N/A</v>
      </c>
      <c r="N1382" t="e">
        <f>NA()</f>
        <v>#N/A</v>
      </c>
      <c r="O1382">
        <f t="shared" si="47"/>
        <v>0.1</v>
      </c>
    </row>
    <row r="1383" spans="1:15" x14ac:dyDescent="0.25">
      <c r="A1383" s="1">
        <v>44000</v>
      </c>
      <c r="B1383" t="e">
        <f>NA()</f>
        <v>#N/A</v>
      </c>
      <c r="C1383" t="e">
        <f>NA()</f>
        <v>#N/A</v>
      </c>
      <c r="D1383" t="e">
        <f>NA()</f>
        <v>#N/A</v>
      </c>
      <c r="E1383" t="e">
        <f>NA()</f>
        <v>#N/A</v>
      </c>
      <c r="F1383" t="e">
        <f>NA()</f>
        <v>#N/A</v>
      </c>
      <c r="G1383" t="e">
        <f>NA()</f>
        <v>#N/A</v>
      </c>
      <c r="H1383" t="e">
        <f>NA()</f>
        <v>#N/A</v>
      </c>
      <c r="I1383" t="e">
        <f>NA()</f>
        <v>#N/A</v>
      </c>
      <c r="J1383" t="e">
        <f>NA()</f>
        <v>#N/A</v>
      </c>
      <c r="K1383" t="e">
        <f>NA()</f>
        <v>#N/A</v>
      </c>
      <c r="L1383" t="e">
        <f>NA()</f>
        <v>#N/A</v>
      </c>
      <c r="M1383" t="e">
        <f>NA()</f>
        <v>#N/A</v>
      </c>
      <c r="N1383" t="e">
        <f>NA()</f>
        <v>#N/A</v>
      </c>
      <c r="O1383">
        <f t="shared" si="47"/>
        <v>0.1</v>
      </c>
    </row>
    <row r="1384" spans="1:15" x14ac:dyDescent="0.25">
      <c r="A1384" s="1">
        <v>43999</v>
      </c>
      <c r="B1384" t="e">
        <f>NA()</f>
        <v>#N/A</v>
      </c>
      <c r="C1384" t="e">
        <f>NA()</f>
        <v>#N/A</v>
      </c>
      <c r="D1384" t="e">
        <f>NA()</f>
        <v>#N/A</v>
      </c>
      <c r="E1384" t="e">
        <f>NA()</f>
        <v>#N/A</v>
      </c>
      <c r="F1384" t="e">
        <f>NA()</f>
        <v>#N/A</v>
      </c>
      <c r="G1384" t="e">
        <f>NA()</f>
        <v>#N/A</v>
      </c>
      <c r="H1384" t="e">
        <f>NA()</f>
        <v>#N/A</v>
      </c>
      <c r="I1384" t="e">
        <f>NA()</f>
        <v>#N/A</v>
      </c>
      <c r="J1384" t="e">
        <f>NA()</f>
        <v>#N/A</v>
      </c>
      <c r="K1384" t="e">
        <f>NA()</f>
        <v>#N/A</v>
      </c>
      <c r="L1384" t="e">
        <f>NA()</f>
        <v>#N/A</v>
      </c>
      <c r="M1384" t="e">
        <f>NA()</f>
        <v>#N/A</v>
      </c>
      <c r="N1384" t="e">
        <f>NA()</f>
        <v>#N/A</v>
      </c>
      <c r="O1384">
        <f t="shared" si="47"/>
        <v>0.1</v>
      </c>
    </row>
    <row r="1385" spans="1:15" x14ac:dyDescent="0.25">
      <c r="A1385" s="1">
        <v>43998</v>
      </c>
      <c r="B1385" t="e">
        <f>NA()</f>
        <v>#N/A</v>
      </c>
      <c r="C1385" t="e">
        <f>NA()</f>
        <v>#N/A</v>
      </c>
      <c r="D1385" t="e">
        <f>NA()</f>
        <v>#N/A</v>
      </c>
      <c r="E1385" t="e">
        <f>NA()</f>
        <v>#N/A</v>
      </c>
      <c r="F1385" t="e">
        <f>NA()</f>
        <v>#N/A</v>
      </c>
      <c r="G1385" t="e">
        <f>NA()</f>
        <v>#N/A</v>
      </c>
      <c r="H1385" t="e">
        <f>NA()</f>
        <v>#N/A</v>
      </c>
      <c r="I1385" t="e">
        <f>NA()</f>
        <v>#N/A</v>
      </c>
      <c r="J1385" t="e">
        <f>NA()</f>
        <v>#N/A</v>
      </c>
      <c r="K1385" t="e">
        <f>NA()</f>
        <v>#N/A</v>
      </c>
      <c r="L1385" t="e">
        <f>NA()</f>
        <v>#N/A</v>
      </c>
      <c r="M1385" t="e">
        <f>NA()</f>
        <v>#N/A</v>
      </c>
      <c r="N1385" t="e">
        <f>NA()</f>
        <v>#N/A</v>
      </c>
      <c r="O1385">
        <f t="shared" ref="O1385:O1396" si="48">0.1</f>
        <v>0.1</v>
      </c>
    </row>
    <row r="1386" spans="1:15" x14ac:dyDescent="0.25">
      <c r="A1386" s="1">
        <v>43997</v>
      </c>
      <c r="B1386" t="e">
        <f>NA()</f>
        <v>#N/A</v>
      </c>
      <c r="C1386" t="e">
        <f>NA()</f>
        <v>#N/A</v>
      </c>
      <c r="D1386" t="e">
        <f>NA()</f>
        <v>#N/A</v>
      </c>
      <c r="E1386" t="e">
        <f>NA()</f>
        <v>#N/A</v>
      </c>
      <c r="F1386" t="e">
        <f>NA()</f>
        <v>#N/A</v>
      </c>
      <c r="G1386" t="e">
        <f>NA()</f>
        <v>#N/A</v>
      </c>
      <c r="H1386" t="e">
        <f>NA()</f>
        <v>#N/A</v>
      </c>
      <c r="I1386" t="e">
        <f>NA()</f>
        <v>#N/A</v>
      </c>
      <c r="J1386" t="e">
        <f>NA()</f>
        <v>#N/A</v>
      </c>
      <c r="K1386" t="e">
        <f>NA()</f>
        <v>#N/A</v>
      </c>
      <c r="L1386" t="e">
        <f>NA()</f>
        <v>#N/A</v>
      </c>
      <c r="M1386" t="e">
        <f>NA()</f>
        <v>#N/A</v>
      </c>
      <c r="N1386" t="e">
        <f>NA()</f>
        <v>#N/A</v>
      </c>
      <c r="O1386">
        <f t="shared" si="48"/>
        <v>0.1</v>
      </c>
    </row>
    <row r="1387" spans="1:15" x14ac:dyDescent="0.25">
      <c r="A1387" s="1">
        <v>43994</v>
      </c>
      <c r="B1387">
        <f>0.3</f>
        <v>0.3</v>
      </c>
      <c r="C1387">
        <f>0</f>
        <v>0</v>
      </c>
      <c r="D1387" t="e">
        <f>NA()</f>
        <v>#N/A</v>
      </c>
      <c r="E1387" t="e">
        <f>NA()</f>
        <v>#N/A</v>
      </c>
      <c r="F1387" t="e">
        <f>NA()</f>
        <v>#N/A</v>
      </c>
      <c r="G1387" t="e">
        <f>NA()</f>
        <v>#N/A</v>
      </c>
      <c r="H1387" t="e">
        <f>NA()</f>
        <v>#N/A</v>
      </c>
      <c r="I1387" t="e">
        <f>NA()</f>
        <v>#N/A</v>
      </c>
      <c r="J1387" t="e">
        <f>NA()</f>
        <v>#N/A</v>
      </c>
      <c r="K1387" t="e">
        <f>NA()</f>
        <v>#N/A</v>
      </c>
      <c r="L1387" t="e">
        <f>NA()</f>
        <v>#N/A</v>
      </c>
      <c r="M1387" t="e">
        <f>NA()</f>
        <v>#N/A</v>
      </c>
      <c r="N1387" t="e">
        <f>NA()</f>
        <v>#N/A</v>
      </c>
      <c r="O1387">
        <f t="shared" si="48"/>
        <v>0.1</v>
      </c>
    </row>
    <row r="1388" spans="1:15" x14ac:dyDescent="0.25">
      <c r="A1388" s="1">
        <v>43993</v>
      </c>
      <c r="B1388" t="e">
        <f>NA()</f>
        <v>#N/A</v>
      </c>
      <c r="C1388" t="e">
        <f>NA()</f>
        <v>#N/A</v>
      </c>
      <c r="D1388" t="e">
        <f>NA()</f>
        <v>#N/A</v>
      </c>
      <c r="E1388" t="e">
        <f>NA()</f>
        <v>#N/A</v>
      </c>
      <c r="F1388" t="e">
        <f>NA()</f>
        <v>#N/A</v>
      </c>
      <c r="G1388" t="e">
        <f>NA()</f>
        <v>#N/A</v>
      </c>
      <c r="H1388" t="e">
        <f>NA()</f>
        <v>#N/A</v>
      </c>
      <c r="I1388" t="e">
        <f>NA()</f>
        <v>#N/A</v>
      </c>
      <c r="J1388" t="e">
        <f>NA()</f>
        <v>#N/A</v>
      </c>
      <c r="K1388" t="e">
        <f>NA()</f>
        <v>#N/A</v>
      </c>
      <c r="L1388" t="e">
        <f>NA()</f>
        <v>#N/A</v>
      </c>
      <c r="M1388" t="e">
        <f>NA()</f>
        <v>#N/A</v>
      </c>
      <c r="N1388" t="e">
        <f>NA()</f>
        <v>#N/A</v>
      </c>
      <c r="O1388">
        <f t="shared" si="48"/>
        <v>0.1</v>
      </c>
    </row>
    <row r="1389" spans="1:15" x14ac:dyDescent="0.25">
      <c r="A1389" s="1">
        <v>43992</v>
      </c>
      <c r="B1389" t="e">
        <f>NA()</f>
        <v>#N/A</v>
      </c>
      <c r="C1389" t="e">
        <f>NA()</f>
        <v>#N/A</v>
      </c>
      <c r="D1389" t="e">
        <f>NA()</f>
        <v>#N/A</v>
      </c>
      <c r="E1389" t="e">
        <f>NA()</f>
        <v>#N/A</v>
      </c>
      <c r="F1389" t="e">
        <f>NA()</f>
        <v>#N/A</v>
      </c>
      <c r="G1389" t="e">
        <f>NA()</f>
        <v>#N/A</v>
      </c>
      <c r="H1389" t="e">
        <f>NA()</f>
        <v>#N/A</v>
      </c>
      <c r="I1389" t="e">
        <f>NA()</f>
        <v>#N/A</v>
      </c>
      <c r="J1389" t="e">
        <f>NA()</f>
        <v>#N/A</v>
      </c>
      <c r="K1389" t="e">
        <f>NA()</f>
        <v>#N/A</v>
      </c>
      <c r="L1389" t="e">
        <f>NA()</f>
        <v>#N/A</v>
      </c>
      <c r="M1389" t="e">
        <f>NA()</f>
        <v>#N/A</v>
      </c>
      <c r="N1389" t="e">
        <f>NA()</f>
        <v>#N/A</v>
      </c>
      <c r="O1389">
        <f t="shared" si="48"/>
        <v>0.1</v>
      </c>
    </row>
    <row r="1390" spans="1:15" x14ac:dyDescent="0.25">
      <c r="A1390" s="1">
        <v>43991</v>
      </c>
      <c r="B1390" t="e">
        <f>NA()</f>
        <v>#N/A</v>
      </c>
      <c r="C1390" t="e">
        <f>NA()</f>
        <v>#N/A</v>
      </c>
      <c r="D1390" t="e">
        <f>NA()</f>
        <v>#N/A</v>
      </c>
      <c r="E1390" t="e">
        <f>NA()</f>
        <v>#N/A</v>
      </c>
      <c r="F1390" t="e">
        <f>NA()</f>
        <v>#N/A</v>
      </c>
      <c r="G1390" t="e">
        <f>NA()</f>
        <v>#N/A</v>
      </c>
      <c r="H1390" t="e">
        <f>NA()</f>
        <v>#N/A</v>
      </c>
      <c r="I1390" t="e">
        <f>NA()</f>
        <v>#N/A</v>
      </c>
      <c r="J1390" t="e">
        <f>NA()</f>
        <v>#N/A</v>
      </c>
      <c r="K1390" t="e">
        <f>NA()</f>
        <v>#N/A</v>
      </c>
      <c r="L1390" t="e">
        <f>NA()</f>
        <v>#N/A</v>
      </c>
      <c r="M1390" t="e">
        <f>NA()</f>
        <v>#N/A</v>
      </c>
      <c r="N1390" t="e">
        <f>NA()</f>
        <v>#N/A</v>
      </c>
      <c r="O1390">
        <f t="shared" si="48"/>
        <v>0.1</v>
      </c>
    </row>
    <row r="1391" spans="1:15" x14ac:dyDescent="0.25">
      <c r="A1391" s="1">
        <v>43990</v>
      </c>
      <c r="B1391" t="e">
        <f>NA()</f>
        <v>#N/A</v>
      </c>
      <c r="C1391" t="e">
        <f>NA()</f>
        <v>#N/A</v>
      </c>
      <c r="D1391" t="e">
        <f>NA()</f>
        <v>#N/A</v>
      </c>
      <c r="E1391" t="e">
        <f>NA()</f>
        <v>#N/A</v>
      </c>
      <c r="F1391" t="e">
        <f>NA()</f>
        <v>#N/A</v>
      </c>
      <c r="G1391" t="e">
        <f>NA()</f>
        <v>#N/A</v>
      </c>
      <c r="H1391" t="e">
        <f>NA()</f>
        <v>#N/A</v>
      </c>
      <c r="I1391" t="e">
        <f>NA()</f>
        <v>#N/A</v>
      </c>
      <c r="J1391" t="e">
        <f>NA()</f>
        <v>#N/A</v>
      </c>
      <c r="K1391" t="e">
        <f>NA()</f>
        <v>#N/A</v>
      </c>
      <c r="L1391" t="e">
        <f>NA()</f>
        <v>#N/A</v>
      </c>
      <c r="M1391" t="e">
        <f>NA()</f>
        <v>#N/A</v>
      </c>
      <c r="N1391" t="e">
        <f>NA()</f>
        <v>#N/A</v>
      </c>
      <c r="O1391">
        <f t="shared" si="48"/>
        <v>0.1</v>
      </c>
    </row>
    <row r="1392" spans="1:15" x14ac:dyDescent="0.25">
      <c r="A1392" s="1">
        <v>43987</v>
      </c>
      <c r="B1392">
        <f>-0.1</f>
        <v>-0.1</v>
      </c>
      <c r="C1392">
        <f>0</f>
        <v>0</v>
      </c>
      <c r="D1392" t="e">
        <f>NA()</f>
        <v>#N/A</v>
      </c>
      <c r="E1392" t="e">
        <f>NA()</f>
        <v>#N/A</v>
      </c>
      <c r="F1392" t="e">
        <f>NA()</f>
        <v>#N/A</v>
      </c>
      <c r="G1392" t="e">
        <f>NA()</f>
        <v>#N/A</v>
      </c>
      <c r="H1392" t="e">
        <f>NA()</f>
        <v>#N/A</v>
      </c>
      <c r="I1392" t="e">
        <f>NA()</f>
        <v>#N/A</v>
      </c>
      <c r="J1392" t="e">
        <f>NA()</f>
        <v>#N/A</v>
      </c>
      <c r="K1392" t="e">
        <f>NA()</f>
        <v>#N/A</v>
      </c>
      <c r="L1392" t="e">
        <f>NA()</f>
        <v>#N/A</v>
      </c>
      <c r="M1392" t="e">
        <f>NA()</f>
        <v>#N/A</v>
      </c>
      <c r="N1392" t="e">
        <f>NA()</f>
        <v>#N/A</v>
      </c>
      <c r="O1392">
        <f t="shared" si="48"/>
        <v>0.1</v>
      </c>
    </row>
    <row r="1393" spans="1:15" x14ac:dyDescent="0.25">
      <c r="A1393" s="1">
        <v>43986</v>
      </c>
      <c r="B1393" t="e">
        <f>NA()</f>
        <v>#N/A</v>
      </c>
      <c r="C1393" t="e">
        <f>NA()</f>
        <v>#N/A</v>
      </c>
      <c r="D1393" t="e">
        <f>NA()</f>
        <v>#N/A</v>
      </c>
      <c r="E1393" t="e">
        <f>NA()</f>
        <v>#N/A</v>
      </c>
      <c r="F1393" t="e">
        <f>NA()</f>
        <v>#N/A</v>
      </c>
      <c r="G1393" t="e">
        <f>NA()</f>
        <v>#N/A</v>
      </c>
      <c r="H1393" t="e">
        <f>NA()</f>
        <v>#N/A</v>
      </c>
      <c r="I1393" t="e">
        <f>NA()</f>
        <v>#N/A</v>
      </c>
      <c r="J1393" t="e">
        <f>NA()</f>
        <v>#N/A</v>
      </c>
      <c r="K1393" t="e">
        <f>NA()</f>
        <v>#N/A</v>
      </c>
      <c r="L1393" t="e">
        <f>NA()</f>
        <v>#N/A</v>
      </c>
      <c r="M1393" t="e">
        <f>NA()</f>
        <v>#N/A</v>
      </c>
      <c r="N1393" t="e">
        <f>NA()</f>
        <v>#N/A</v>
      </c>
      <c r="O1393">
        <f t="shared" si="48"/>
        <v>0.1</v>
      </c>
    </row>
    <row r="1394" spans="1:15" x14ac:dyDescent="0.25">
      <c r="A1394" s="1">
        <v>43985</v>
      </c>
      <c r="B1394" t="e">
        <f>NA()</f>
        <v>#N/A</v>
      </c>
      <c r="C1394" t="e">
        <f>NA()</f>
        <v>#N/A</v>
      </c>
      <c r="D1394" t="e">
        <f>NA()</f>
        <v>#N/A</v>
      </c>
      <c r="E1394" t="e">
        <f>NA()</f>
        <v>#N/A</v>
      </c>
      <c r="F1394" t="e">
        <f>NA()</f>
        <v>#N/A</v>
      </c>
      <c r="G1394" t="e">
        <f>NA()</f>
        <v>#N/A</v>
      </c>
      <c r="H1394" t="e">
        <f>NA()</f>
        <v>#N/A</v>
      </c>
      <c r="I1394" t="e">
        <f>NA()</f>
        <v>#N/A</v>
      </c>
      <c r="J1394" t="e">
        <f>NA()</f>
        <v>#N/A</v>
      </c>
      <c r="K1394" t="e">
        <f>NA()</f>
        <v>#N/A</v>
      </c>
      <c r="L1394" t="e">
        <f>NA()</f>
        <v>#N/A</v>
      </c>
      <c r="M1394" t="e">
        <f>NA()</f>
        <v>#N/A</v>
      </c>
      <c r="N1394" t="e">
        <f>NA()</f>
        <v>#N/A</v>
      </c>
      <c r="O1394">
        <f t="shared" si="48"/>
        <v>0.1</v>
      </c>
    </row>
    <row r="1395" spans="1:15" x14ac:dyDescent="0.25">
      <c r="A1395" s="1">
        <v>43984</v>
      </c>
      <c r="B1395" t="e">
        <f>NA()</f>
        <v>#N/A</v>
      </c>
      <c r="C1395" t="e">
        <f>NA()</f>
        <v>#N/A</v>
      </c>
      <c r="D1395" t="e">
        <f>NA()</f>
        <v>#N/A</v>
      </c>
      <c r="E1395" t="e">
        <f>NA()</f>
        <v>#N/A</v>
      </c>
      <c r="F1395" t="e">
        <f>NA()</f>
        <v>#N/A</v>
      </c>
      <c r="G1395" t="e">
        <f>NA()</f>
        <v>#N/A</v>
      </c>
      <c r="H1395" t="e">
        <f>NA()</f>
        <v>#N/A</v>
      </c>
      <c r="I1395" t="e">
        <f>NA()</f>
        <v>#N/A</v>
      </c>
      <c r="J1395" t="e">
        <f>NA()</f>
        <v>#N/A</v>
      </c>
      <c r="K1395" t="e">
        <f>NA()</f>
        <v>#N/A</v>
      </c>
      <c r="L1395" t="e">
        <f>NA()</f>
        <v>#N/A</v>
      </c>
      <c r="M1395" t="e">
        <f>NA()</f>
        <v>#N/A</v>
      </c>
      <c r="N1395" t="e">
        <f>NA()</f>
        <v>#N/A</v>
      </c>
      <c r="O1395">
        <f t="shared" si="48"/>
        <v>0.1</v>
      </c>
    </row>
    <row r="1396" spans="1:15" x14ac:dyDescent="0.25">
      <c r="A1396" s="1">
        <v>43983</v>
      </c>
      <c r="B1396" t="e">
        <f>NA()</f>
        <v>#N/A</v>
      </c>
      <c r="C1396" t="e">
        <f>NA()</f>
        <v>#N/A</v>
      </c>
      <c r="D1396" t="e">
        <f>NA()</f>
        <v>#N/A</v>
      </c>
      <c r="E1396" t="e">
        <f>NA()</f>
        <v>#N/A</v>
      </c>
      <c r="F1396" t="e">
        <f>NA()</f>
        <v>#N/A</v>
      </c>
      <c r="G1396" t="e">
        <f>NA()</f>
        <v>#N/A</v>
      </c>
      <c r="H1396" t="e">
        <f>NA()</f>
        <v>#N/A</v>
      </c>
      <c r="I1396" t="e">
        <f>NA()</f>
        <v>#N/A</v>
      </c>
      <c r="J1396" t="e">
        <f>NA()</f>
        <v>#N/A</v>
      </c>
      <c r="K1396" t="e">
        <f>NA()</f>
        <v>#N/A</v>
      </c>
      <c r="L1396" t="e">
        <f>NA()</f>
        <v>#N/A</v>
      </c>
      <c r="M1396" t="e">
        <f>NA()</f>
        <v>#N/A</v>
      </c>
      <c r="N1396" t="e">
        <f>NA()</f>
        <v>#N/A</v>
      </c>
      <c r="O1396">
        <f t="shared" si="48"/>
        <v>0.1</v>
      </c>
    </row>
    <row r="1397" spans="1:15" x14ac:dyDescent="0.25">
      <c r="A1397" s="1">
        <v>43982</v>
      </c>
      <c r="B1397" t="e">
        <f>NA()</f>
        <v>#N/A</v>
      </c>
      <c r="C1397" t="e">
        <f>NA()</f>
        <v>#N/A</v>
      </c>
      <c r="D1397">
        <f>-1.1</f>
        <v>-1.1000000000000001</v>
      </c>
      <c r="E1397">
        <f>6.4</f>
        <v>6.4</v>
      </c>
      <c r="F1397">
        <f>5612</f>
        <v>5612</v>
      </c>
      <c r="G1397">
        <f>60.8</f>
        <v>60.8</v>
      </c>
      <c r="H1397">
        <f>-7.5</f>
        <v>-7.5</v>
      </c>
      <c r="I1397">
        <f>256.4</f>
        <v>256.39999999999998</v>
      </c>
      <c r="J1397">
        <f>0.1</f>
        <v>0.1</v>
      </c>
      <c r="K1397">
        <f>43.5</f>
        <v>43.5</v>
      </c>
      <c r="L1397">
        <f>1.6</f>
        <v>1.6</v>
      </c>
      <c r="M1397" t="e">
        <f>NA()</f>
        <v>#N/A</v>
      </c>
      <c r="N1397">
        <f>13.2</f>
        <v>13.2</v>
      </c>
      <c r="O1397" t="e">
        <f>NA()</f>
        <v>#N/A</v>
      </c>
    </row>
    <row r="1398" spans="1:15" x14ac:dyDescent="0.25">
      <c r="A1398" s="1">
        <v>43980</v>
      </c>
      <c r="B1398">
        <f>0.2</f>
        <v>0.2</v>
      </c>
      <c r="C1398">
        <f>0</f>
        <v>0</v>
      </c>
      <c r="D1398" t="e">
        <f>NA()</f>
        <v>#N/A</v>
      </c>
      <c r="E1398" t="e">
        <f>NA()</f>
        <v>#N/A</v>
      </c>
      <c r="F1398" t="e">
        <f>NA()</f>
        <v>#N/A</v>
      </c>
      <c r="G1398" t="e">
        <f>NA()</f>
        <v>#N/A</v>
      </c>
      <c r="H1398" t="e">
        <f>NA()</f>
        <v>#N/A</v>
      </c>
      <c r="I1398" t="e">
        <f>NA()</f>
        <v>#N/A</v>
      </c>
      <c r="J1398" t="e">
        <f>NA()</f>
        <v>#N/A</v>
      </c>
      <c r="K1398" t="e">
        <f>NA()</f>
        <v>#N/A</v>
      </c>
      <c r="L1398" t="e">
        <f>NA()</f>
        <v>#N/A</v>
      </c>
      <c r="M1398" t="e">
        <f>NA()</f>
        <v>#N/A</v>
      </c>
      <c r="N1398" t="e">
        <f>NA()</f>
        <v>#N/A</v>
      </c>
      <c r="O1398">
        <f t="shared" ref="O1398:O1418" si="49">0.1</f>
        <v>0.1</v>
      </c>
    </row>
    <row r="1399" spans="1:15" x14ac:dyDescent="0.25">
      <c r="A1399" s="1">
        <v>43979</v>
      </c>
      <c r="B1399" t="e">
        <f>NA()</f>
        <v>#N/A</v>
      </c>
      <c r="C1399" t="e">
        <f>NA()</f>
        <v>#N/A</v>
      </c>
      <c r="D1399" t="e">
        <f>NA()</f>
        <v>#N/A</v>
      </c>
      <c r="E1399" t="e">
        <f>NA()</f>
        <v>#N/A</v>
      </c>
      <c r="F1399" t="e">
        <f>NA()</f>
        <v>#N/A</v>
      </c>
      <c r="G1399" t="e">
        <f>NA()</f>
        <v>#N/A</v>
      </c>
      <c r="H1399" t="e">
        <f>NA()</f>
        <v>#N/A</v>
      </c>
      <c r="I1399" t="e">
        <f>NA()</f>
        <v>#N/A</v>
      </c>
      <c r="J1399" t="e">
        <f>NA()</f>
        <v>#N/A</v>
      </c>
      <c r="K1399" t="e">
        <f>NA()</f>
        <v>#N/A</v>
      </c>
      <c r="L1399" t="e">
        <f>NA()</f>
        <v>#N/A</v>
      </c>
      <c r="M1399" t="e">
        <f>NA()</f>
        <v>#N/A</v>
      </c>
      <c r="N1399" t="e">
        <f>NA()</f>
        <v>#N/A</v>
      </c>
      <c r="O1399">
        <f t="shared" si="49"/>
        <v>0.1</v>
      </c>
    </row>
    <row r="1400" spans="1:15" x14ac:dyDescent="0.25">
      <c r="A1400" s="1">
        <v>43978</v>
      </c>
      <c r="B1400" t="e">
        <f>NA()</f>
        <v>#N/A</v>
      </c>
      <c r="C1400" t="e">
        <f>NA()</f>
        <v>#N/A</v>
      </c>
      <c r="D1400" t="e">
        <f>NA()</f>
        <v>#N/A</v>
      </c>
      <c r="E1400" t="e">
        <f>NA()</f>
        <v>#N/A</v>
      </c>
      <c r="F1400" t="e">
        <f>NA()</f>
        <v>#N/A</v>
      </c>
      <c r="G1400" t="e">
        <f>NA()</f>
        <v>#N/A</v>
      </c>
      <c r="H1400" t="e">
        <f>NA()</f>
        <v>#N/A</v>
      </c>
      <c r="I1400" t="e">
        <f>NA()</f>
        <v>#N/A</v>
      </c>
      <c r="J1400" t="e">
        <f>NA()</f>
        <v>#N/A</v>
      </c>
      <c r="K1400" t="e">
        <f>NA()</f>
        <v>#N/A</v>
      </c>
      <c r="L1400" t="e">
        <f>NA()</f>
        <v>#N/A</v>
      </c>
      <c r="M1400" t="e">
        <f>NA()</f>
        <v>#N/A</v>
      </c>
      <c r="N1400" t="e">
        <f>NA()</f>
        <v>#N/A</v>
      </c>
      <c r="O1400">
        <f t="shared" si="49"/>
        <v>0.1</v>
      </c>
    </row>
    <row r="1401" spans="1:15" x14ac:dyDescent="0.25">
      <c r="A1401" s="1">
        <v>43977</v>
      </c>
      <c r="B1401" t="e">
        <f>NA()</f>
        <v>#N/A</v>
      </c>
      <c r="C1401" t="e">
        <f>NA()</f>
        <v>#N/A</v>
      </c>
      <c r="D1401" t="e">
        <f>NA()</f>
        <v>#N/A</v>
      </c>
      <c r="E1401" t="e">
        <f>NA()</f>
        <v>#N/A</v>
      </c>
      <c r="F1401" t="e">
        <f>NA()</f>
        <v>#N/A</v>
      </c>
      <c r="G1401" t="e">
        <f>NA()</f>
        <v>#N/A</v>
      </c>
      <c r="H1401" t="e">
        <f>NA()</f>
        <v>#N/A</v>
      </c>
      <c r="I1401" t="e">
        <f>NA()</f>
        <v>#N/A</v>
      </c>
      <c r="J1401" t="e">
        <f>NA()</f>
        <v>#N/A</v>
      </c>
      <c r="K1401" t="e">
        <f>NA()</f>
        <v>#N/A</v>
      </c>
      <c r="L1401" t="e">
        <f>NA()</f>
        <v>#N/A</v>
      </c>
      <c r="M1401" t="e">
        <f>NA()</f>
        <v>#N/A</v>
      </c>
      <c r="N1401" t="e">
        <f>NA()</f>
        <v>#N/A</v>
      </c>
      <c r="O1401">
        <f t="shared" si="49"/>
        <v>0.1</v>
      </c>
    </row>
    <row r="1402" spans="1:15" x14ac:dyDescent="0.25">
      <c r="A1402" s="1">
        <v>43973</v>
      </c>
      <c r="B1402">
        <f>0.4</f>
        <v>0.4</v>
      </c>
      <c r="C1402">
        <f>0</f>
        <v>0</v>
      </c>
      <c r="D1402" t="e">
        <f>NA()</f>
        <v>#N/A</v>
      </c>
      <c r="E1402" t="e">
        <f>NA()</f>
        <v>#N/A</v>
      </c>
      <c r="F1402" t="e">
        <f>NA()</f>
        <v>#N/A</v>
      </c>
      <c r="G1402" t="e">
        <f>NA()</f>
        <v>#N/A</v>
      </c>
      <c r="H1402" t="e">
        <f>NA()</f>
        <v>#N/A</v>
      </c>
      <c r="I1402" t="e">
        <f>NA()</f>
        <v>#N/A</v>
      </c>
      <c r="J1402" t="e">
        <f>NA()</f>
        <v>#N/A</v>
      </c>
      <c r="K1402" t="e">
        <f>NA()</f>
        <v>#N/A</v>
      </c>
      <c r="L1402" t="e">
        <f>NA()</f>
        <v>#N/A</v>
      </c>
      <c r="M1402" t="e">
        <f>NA()</f>
        <v>#N/A</v>
      </c>
      <c r="N1402" t="e">
        <f>NA()</f>
        <v>#N/A</v>
      </c>
      <c r="O1402">
        <f t="shared" si="49"/>
        <v>0.1</v>
      </c>
    </row>
    <row r="1403" spans="1:15" x14ac:dyDescent="0.25">
      <c r="A1403" s="1">
        <v>43972</v>
      </c>
      <c r="B1403" t="e">
        <f>NA()</f>
        <v>#N/A</v>
      </c>
      <c r="C1403" t="e">
        <f>NA()</f>
        <v>#N/A</v>
      </c>
      <c r="D1403" t="e">
        <f>NA()</f>
        <v>#N/A</v>
      </c>
      <c r="E1403" t="e">
        <f>NA()</f>
        <v>#N/A</v>
      </c>
      <c r="F1403" t="e">
        <f>NA()</f>
        <v>#N/A</v>
      </c>
      <c r="G1403" t="e">
        <f>NA()</f>
        <v>#N/A</v>
      </c>
      <c r="H1403" t="e">
        <f>NA()</f>
        <v>#N/A</v>
      </c>
      <c r="I1403" t="e">
        <f>NA()</f>
        <v>#N/A</v>
      </c>
      <c r="J1403" t="e">
        <f>NA()</f>
        <v>#N/A</v>
      </c>
      <c r="K1403" t="e">
        <f>NA()</f>
        <v>#N/A</v>
      </c>
      <c r="L1403" t="e">
        <f>NA()</f>
        <v>#N/A</v>
      </c>
      <c r="M1403" t="e">
        <f>NA()</f>
        <v>#N/A</v>
      </c>
      <c r="N1403" t="e">
        <f>NA()</f>
        <v>#N/A</v>
      </c>
      <c r="O1403">
        <f t="shared" si="49"/>
        <v>0.1</v>
      </c>
    </row>
    <row r="1404" spans="1:15" x14ac:dyDescent="0.25">
      <c r="A1404" s="1">
        <v>43971</v>
      </c>
      <c r="B1404" t="e">
        <f>NA()</f>
        <v>#N/A</v>
      </c>
      <c r="C1404" t="e">
        <f>NA()</f>
        <v>#N/A</v>
      </c>
      <c r="D1404" t="e">
        <f>NA()</f>
        <v>#N/A</v>
      </c>
      <c r="E1404" t="e">
        <f>NA()</f>
        <v>#N/A</v>
      </c>
      <c r="F1404" t="e">
        <f>NA()</f>
        <v>#N/A</v>
      </c>
      <c r="G1404" t="e">
        <f>NA()</f>
        <v>#N/A</v>
      </c>
      <c r="H1404" t="e">
        <f>NA()</f>
        <v>#N/A</v>
      </c>
      <c r="I1404" t="e">
        <f>NA()</f>
        <v>#N/A</v>
      </c>
      <c r="J1404" t="e">
        <f>NA()</f>
        <v>#N/A</v>
      </c>
      <c r="K1404" t="e">
        <f>NA()</f>
        <v>#N/A</v>
      </c>
      <c r="L1404" t="e">
        <f>NA()</f>
        <v>#N/A</v>
      </c>
      <c r="M1404" t="e">
        <f>NA()</f>
        <v>#N/A</v>
      </c>
      <c r="N1404" t="e">
        <f>NA()</f>
        <v>#N/A</v>
      </c>
      <c r="O1404">
        <f t="shared" si="49"/>
        <v>0.1</v>
      </c>
    </row>
    <row r="1405" spans="1:15" x14ac:dyDescent="0.25">
      <c r="A1405" s="1">
        <v>43970</v>
      </c>
      <c r="B1405" t="e">
        <f>NA()</f>
        <v>#N/A</v>
      </c>
      <c r="C1405" t="e">
        <f>NA()</f>
        <v>#N/A</v>
      </c>
      <c r="D1405" t="e">
        <f>NA()</f>
        <v>#N/A</v>
      </c>
      <c r="E1405" t="e">
        <f>NA()</f>
        <v>#N/A</v>
      </c>
      <c r="F1405" t="e">
        <f>NA()</f>
        <v>#N/A</v>
      </c>
      <c r="G1405" t="e">
        <f>NA()</f>
        <v>#N/A</v>
      </c>
      <c r="H1405" t="e">
        <f>NA()</f>
        <v>#N/A</v>
      </c>
      <c r="I1405" t="e">
        <f>NA()</f>
        <v>#N/A</v>
      </c>
      <c r="J1405" t="e">
        <f>NA()</f>
        <v>#N/A</v>
      </c>
      <c r="K1405" t="e">
        <f>NA()</f>
        <v>#N/A</v>
      </c>
      <c r="L1405" t="e">
        <f>NA()</f>
        <v>#N/A</v>
      </c>
      <c r="M1405" t="e">
        <f>NA()</f>
        <v>#N/A</v>
      </c>
      <c r="N1405" t="e">
        <f>NA()</f>
        <v>#N/A</v>
      </c>
      <c r="O1405">
        <f t="shared" si="49"/>
        <v>0.1</v>
      </c>
    </row>
    <row r="1406" spans="1:15" x14ac:dyDescent="0.25">
      <c r="A1406" s="1">
        <v>43969</v>
      </c>
      <c r="B1406" t="e">
        <f>NA()</f>
        <v>#N/A</v>
      </c>
      <c r="C1406" t="e">
        <f>NA()</f>
        <v>#N/A</v>
      </c>
      <c r="D1406" t="e">
        <f>NA()</f>
        <v>#N/A</v>
      </c>
      <c r="E1406" t="e">
        <f>NA()</f>
        <v>#N/A</v>
      </c>
      <c r="F1406" t="e">
        <f>NA()</f>
        <v>#N/A</v>
      </c>
      <c r="G1406" t="e">
        <f>NA()</f>
        <v>#N/A</v>
      </c>
      <c r="H1406" t="e">
        <f>NA()</f>
        <v>#N/A</v>
      </c>
      <c r="I1406" t="e">
        <f>NA()</f>
        <v>#N/A</v>
      </c>
      <c r="J1406" t="e">
        <f>NA()</f>
        <v>#N/A</v>
      </c>
      <c r="K1406" t="e">
        <f>NA()</f>
        <v>#N/A</v>
      </c>
      <c r="L1406" t="e">
        <f>NA()</f>
        <v>#N/A</v>
      </c>
      <c r="M1406" t="e">
        <f>NA()</f>
        <v>#N/A</v>
      </c>
      <c r="N1406" t="e">
        <f>NA()</f>
        <v>#N/A</v>
      </c>
      <c r="O1406">
        <f t="shared" si="49"/>
        <v>0.1</v>
      </c>
    </row>
    <row r="1407" spans="1:15" x14ac:dyDescent="0.25">
      <c r="A1407" s="1">
        <v>43966</v>
      </c>
      <c r="B1407">
        <f>0.9</f>
        <v>0.9</v>
      </c>
      <c r="C1407">
        <f>0</f>
        <v>0</v>
      </c>
      <c r="D1407" t="e">
        <f>NA()</f>
        <v>#N/A</v>
      </c>
      <c r="E1407" t="e">
        <f>NA()</f>
        <v>#N/A</v>
      </c>
      <c r="F1407" t="e">
        <f>NA()</f>
        <v>#N/A</v>
      </c>
      <c r="G1407" t="e">
        <f>NA()</f>
        <v>#N/A</v>
      </c>
      <c r="H1407" t="e">
        <f>NA()</f>
        <v>#N/A</v>
      </c>
      <c r="I1407" t="e">
        <f>NA()</f>
        <v>#N/A</v>
      </c>
      <c r="J1407" t="e">
        <f>NA()</f>
        <v>#N/A</v>
      </c>
      <c r="K1407" t="e">
        <f>NA()</f>
        <v>#N/A</v>
      </c>
      <c r="L1407" t="e">
        <f>NA()</f>
        <v>#N/A</v>
      </c>
      <c r="M1407" t="e">
        <f>NA()</f>
        <v>#N/A</v>
      </c>
      <c r="N1407" t="e">
        <f>NA()</f>
        <v>#N/A</v>
      </c>
      <c r="O1407">
        <f t="shared" si="49"/>
        <v>0.1</v>
      </c>
    </row>
    <row r="1408" spans="1:15" x14ac:dyDescent="0.25">
      <c r="A1408" s="1">
        <v>43965</v>
      </c>
      <c r="B1408" t="e">
        <f>NA()</f>
        <v>#N/A</v>
      </c>
      <c r="C1408" t="e">
        <f>NA()</f>
        <v>#N/A</v>
      </c>
      <c r="D1408" t="e">
        <f>NA()</f>
        <v>#N/A</v>
      </c>
      <c r="E1408" t="e">
        <f>NA()</f>
        <v>#N/A</v>
      </c>
      <c r="F1408" t="e">
        <f>NA()</f>
        <v>#N/A</v>
      </c>
      <c r="G1408" t="e">
        <f>NA()</f>
        <v>#N/A</v>
      </c>
      <c r="H1408" t="e">
        <f>NA()</f>
        <v>#N/A</v>
      </c>
      <c r="I1408" t="e">
        <f>NA()</f>
        <v>#N/A</v>
      </c>
      <c r="J1408" t="e">
        <f>NA()</f>
        <v>#N/A</v>
      </c>
      <c r="K1408" t="e">
        <f>NA()</f>
        <v>#N/A</v>
      </c>
      <c r="L1408" t="e">
        <f>NA()</f>
        <v>#N/A</v>
      </c>
      <c r="M1408" t="e">
        <f>NA()</f>
        <v>#N/A</v>
      </c>
      <c r="N1408" t="e">
        <f>NA()</f>
        <v>#N/A</v>
      </c>
      <c r="O1408">
        <f t="shared" si="49"/>
        <v>0.1</v>
      </c>
    </row>
    <row r="1409" spans="1:15" x14ac:dyDescent="0.25">
      <c r="A1409" s="1">
        <v>43964</v>
      </c>
      <c r="B1409" t="e">
        <f>NA()</f>
        <v>#N/A</v>
      </c>
      <c r="C1409" t="e">
        <f>NA()</f>
        <v>#N/A</v>
      </c>
      <c r="D1409" t="e">
        <f>NA()</f>
        <v>#N/A</v>
      </c>
      <c r="E1409" t="e">
        <f>NA()</f>
        <v>#N/A</v>
      </c>
      <c r="F1409" t="e">
        <f>NA()</f>
        <v>#N/A</v>
      </c>
      <c r="G1409" t="e">
        <f>NA()</f>
        <v>#N/A</v>
      </c>
      <c r="H1409" t="e">
        <f>NA()</f>
        <v>#N/A</v>
      </c>
      <c r="I1409" t="e">
        <f>NA()</f>
        <v>#N/A</v>
      </c>
      <c r="J1409" t="e">
        <f>NA()</f>
        <v>#N/A</v>
      </c>
      <c r="K1409" t="e">
        <f>NA()</f>
        <v>#N/A</v>
      </c>
      <c r="L1409" t="e">
        <f>NA()</f>
        <v>#N/A</v>
      </c>
      <c r="M1409" t="e">
        <f>NA()</f>
        <v>#N/A</v>
      </c>
      <c r="N1409" t="e">
        <f>NA()</f>
        <v>#N/A</v>
      </c>
      <c r="O1409">
        <f t="shared" si="49"/>
        <v>0.1</v>
      </c>
    </row>
    <row r="1410" spans="1:15" x14ac:dyDescent="0.25">
      <c r="A1410" s="1">
        <v>43963</v>
      </c>
      <c r="B1410" t="e">
        <f>NA()</f>
        <v>#N/A</v>
      </c>
      <c r="C1410" t="e">
        <f>NA()</f>
        <v>#N/A</v>
      </c>
      <c r="D1410" t="e">
        <f>NA()</f>
        <v>#N/A</v>
      </c>
      <c r="E1410" t="e">
        <f>NA()</f>
        <v>#N/A</v>
      </c>
      <c r="F1410" t="e">
        <f>NA()</f>
        <v>#N/A</v>
      </c>
      <c r="G1410" t="e">
        <f>NA()</f>
        <v>#N/A</v>
      </c>
      <c r="H1410" t="e">
        <f>NA()</f>
        <v>#N/A</v>
      </c>
      <c r="I1410" t="e">
        <f>NA()</f>
        <v>#N/A</v>
      </c>
      <c r="J1410" t="e">
        <f>NA()</f>
        <v>#N/A</v>
      </c>
      <c r="K1410" t="e">
        <f>NA()</f>
        <v>#N/A</v>
      </c>
      <c r="L1410" t="e">
        <f>NA()</f>
        <v>#N/A</v>
      </c>
      <c r="M1410" t="e">
        <f>NA()</f>
        <v>#N/A</v>
      </c>
      <c r="N1410" t="e">
        <f>NA()</f>
        <v>#N/A</v>
      </c>
      <c r="O1410">
        <f t="shared" si="49"/>
        <v>0.1</v>
      </c>
    </row>
    <row r="1411" spans="1:15" x14ac:dyDescent="0.25">
      <c r="A1411" s="1">
        <v>43962</v>
      </c>
      <c r="B1411" t="e">
        <f>NA()</f>
        <v>#N/A</v>
      </c>
      <c r="C1411" t="e">
        <f>NA()</f>
        <v>#N/A</v>
      </c>
      <c r="D1411" t="e">
        <f>NA()</f>
        <v>#N/A</v>
      </c>
      <c r="E1411" t="e">
        <f>NA()</f>
        <v>#N/A</v>
      </c>
      <c r="F1411" t="e">
        <f>NA()</f>
        <v>#N/A</v>
      </c>
      <c r="G1411" t="e">
        <f>NA()</f>
        <v>#N/A</v>
      </c>
      <c r="H1411" t="e">
        <f>NA()</f>
        <v>#N/A</v>
      </c>
      <c r="I1411" t="e">
        <f>NA()</f>
        <v>#N/A</v>
      </c>
      <c r="J1411" t="e">
        <f>NA()</f>
        <v>#N/A</v>
      </c>
      <c r="K1411" t="e">
        <f>NA()</f>
        <v>#N/A</v>
      </c>
      <c r="L1411" t="e">
        <f>NA()</f>
        <v>#N/A</v>
      </c>
      <c r="M1411" t="e">
        <f>NA()</f>
        <v>#N/A</v>
      </c>
      <c r="N1411" t="e">
        <f>NA()</f>
        <v>#N/A</v>
      </c>
      <c r="O1411">
        <f t="shared" si="49"/>
        <v>0.1</v>
      </c>
    </row>
    <row r="1412" spans="1:15" x14ac:dyDescent="0.25">
      <c r="A1412" s="1">
        <v>43959</v>
      </c>
      <c r="B1412">
        <f>0.9</f>
        <v>0.9</v>
      </c>
      <c r="C1412">
        <f>0</f>
        <v>0</v>
      </c>
      <c r="D1412" t="e">
        <f>NA()</f>
        <v>#N/A</v>
      </c>
      <c r="E1412" t="e">
        <f>NA()</f>
        <v>#N/A</v>
      </c>
      <c r="F1412" t="e">
        <f>NA()</f>
        <v>#N/A</v>
      </c>
      <c r="G1412" t="e">
        <f>NA()</f>
        <v>#N/A</v>
      </c>
      <c r="H1412" t="e">
        <f>NA()</f>
        <v>#N/A</v>
      </c>
      <c r="I1412" t="e">
        <f>NA()</f>
        <v>#N/A</v>
      </c>
      <c r="J1412" t="e">
        <f>NA()</f>
        <v>#N/A</v>
      </c>
      <c r="K1412" t="e">
        <f>NA()</f>
        <v>#N/A</v>
      </c>
      <c r="L1412" t="e">
        <f>NA()</f>
        <v>#N/A</v>
      </c>
      <c r="M1412" t="e">
        <f>NA()</f>
        <v>#N/A</v>
      </c>
      <c r="N1412" t="e">
        <f>NA()</f>
        <v>#N/A</v>
      </c>
      <c r="O1412">
        <f t="shared" si="49"/>
        <v>0.1</v>
      </c>
    </row>
    <row r="1413" spans="1:15" x14ac:dyDescent="0.25">
      <c r="A1413" s="1">
        <v>43958</v>
      </c>
      <c r="B1413" t="e">
        <f>NA()</f>
        <v>#N/A</v>
      </c>
      <c r="C1413" t="e">
        <f>NA()</f>
        <v>#N/A</v>
      </c>
      <c r="D1413" t="e">
        <f>NA()</f>
        <v>#N/A</v>
      </c>
      <c r="E1413" t="e">
        <f>NA()</f>
        <v>#N/A</v>
      </c>
      <c r="F1413" t="e">
        <f>NA()</f>
        <v>#N/A</v>
      </c>
      <c r="G1413" t="e">
        <f>NA()</f>
        <v>#N/A</v>
      </c>
      <c r="H1413" t="e">
        <f>NA()</f>
        <v>#N/A</v>
      </c>
      <c r="I1413" t="e">
        <f>NA()</f>
        <v>#N/A</v>
      </c>
      <c r="J1413" t="e">
        <f>NA()</f>
        <v>#N/A</v>
      </c>
      <c r="K1413" t="e">
        <f>NA()</f>
        <v>#N/A</v>
      </c>
      <c r="L1413" t="e">
        <f>NA()</f>
        <v>#N/A</v>
      </c>
      <c r="M1413" t="e">
        <f>NA()</f>
        <v>#N/A</v>
      </c>
      <c r="N1413" t="e">
        <f>NA()</f>
        <v>#N/A</v>
      </c>
      <c r="O1413">
        <f t="shared" si="49"/>
        <v>0.1</v>
      </c>
    </row>
    <row r="1414" spans="1:15" x14ac:dyDescent="0.25">
      <c r="A1414" s="1">
        <v>43957</v>
      </c>
      <c r="B1414" t="e">
        <f>NA()</f>
        <v>#N/A</v>
      </c>
      <c r="C1414" t="e">
        <f>NA()</f>
        <v>#N/A</v>
      </c>
      <c r="D1414" t="e">
        <f>NA()</f>
        <v>#N/A</v>
      </c>
      <c r="E1414" t="e">
        <f>NA()</f>
        <v>#N/A</v>
      </c>
      <c r="F1414" t="e">
        <f>NA()</f>
        <v>#N/A</v>
      </c>
      <c r="G1414" t="e">
        <f>NA()</f>
        <v>#N/A</v>
      </c>
      <c r="H1414" t="e">
        <f>NA()</f>
        <v>#N/A</v>
      </c>
      <c r="I1414" t="e">
        <f>NA()</f>
        <v>#N/A</v>
      </c>
      <c r="J1414" t="e">
        <f>NA()</f>
        <v>#N/A</v>
      </c>
      <c r="K1414" t="e">
        <f>NA()</f>
        <v>#N/A</v>
      </c>
      <c r="L1414" t="e">
        <f>NA()</f>
        <v>#N/A</v>
      </c>
      <c r="M1414" t="e">
        <f>NA()</f>
        <v>#N/A</v>
      </c>
      <c r="N1414" t="e">
        <f>NA()</f>
        <v>#N/A</v>
      </c>
      <c r="O1414">
        <f t="shared" si="49"/>
        <v>0.1</v>
      </c>
    </row>
    <row r="1415" spans="1:15" x14ac:dyDescent="0.25">
      <c r="A1415" s="1">
        <v>43956</v>
      </c>
      <c r="B1415" t="e">
        <f>NA()</f>
        <v>#N/A</v>
      </c>
      <c r="C1415" t="e">
        <f>NA()</f>
        <v>#N/A</v>
      </c>
      <c r="D1415" t="e">
        <f>NA()</f>
        <v>#N/A</v>
      </c>
      <c r="E1415" t="e">
        <f>NA()</f>
        <v>#N/A</v>
      </c>
      <c r="F1415" t="e">
        <f>NA()</f>
        <v>#N/A</v>
      </c>
      <c r="G1415" t="e">
        <f>NA()</f>
        <v>#N/A</v>
      </c>
      <c r="H1415" t="e">
        <f>NA()</f>
        <v>#N/A</v>
      </c>
      <c r="I1415" t="e">
        <f>NA()</f>
        <v>#N/A</v>
      </c>
      <c r="J1415" t="e">
        <f>NA()</f>
        <v>#N/A</v>
      </c>
      <c r="K1415" t="e">
        <f>NA()</f>
        <v>#N/A</v>
      </c>
      <c r="L1415" t="e">
        <f>NA()</f>
        <v>#N/A</v>
      </c>
      <c r="M1415" t="e">
        <f>NA()</f>
        <v>#N/A</v>
      </c>
      <c r="N1415" t="e">
        <f>NA()</f>
        <v>#N/A</v>
      </c>
      <c r="O1415">
        <f t="shared" si="49"/>
        <v>0.1</v>
      </c>
    </row>
    <row r="1416" spans="1:15" x14ac:dyDescent="0.25">
      <c r="A1416" s="1">
        <v>43955</v>
      </c>
      <c r="B1416" t="e">
        <f>NA()</f>
        <v>#N/A</v>
      </c>
      <c r="C1416" t="e">
        <f>NA()</f>
        <v>#N/A</v>
      </c>
      <c r="D1416" t="e">
        <f>NA()</f>
        <v>#N/A</v>
      </c>
      <c r="E1416" t="e">
        <f>NA()</f>
        <v>#N/A</v>
      </c>
      <c r="F1416" t="e">
        <f>NA()</f>
        <v>#N/A</v>
      </c>
      <c r="G1416" t="e">
        <f>NA()</f>
        <v>#N/A</v>
      </c>
      <c r="H1416" t="e">
        <f>NA()</f>
        <v>#N/A</v>
      </c>
      <c r="I1416" t="e">
        <f>NA()</f>
        <v>#N/A</v>
      </c>
      <c r="J1416" t="e">
        <f>NA()</f>
        <v>#N/A</v>
      </c>
      <c r="K1416" t="e">
        <f>NA()</f>
        <v>#N/A</v>
      </c>
      <c r="L1416" t="e">
        <f>NA()</f>
        <v>#N/A</v>
      </c>
      <c r="M1416" t="e">
        <f>NA()</f>
        <v>#N/A</v>
      </c>
      <c r="N1416" t="e">
        <f>NA()</f>
        <v>#N/A</v>
      </c>
      <c r="O1416">
        <f t="shared" si="49"/>
        <v>0.1</v>
      </c>
    </row>
    <row r="1417" spans="1:15" x14ac:dyDescent="0.25">
      <c r="A1417" s="1">
        <v>43952</v>
      </c>
      <c r="B1417">
        <f>1.2</f>
        <v>1.2</v>
      </c>
      <c r="C1417">
        <f>0</f>
        <v>0</v>
      </c>
      <c r="D1417" t="e">
        <f>NA()</f>
        <v>#N/A</v>
      </c>
      <c r="E1417" t="e">
        <f>NA()</f>
        <v>#N/A</v>
      </c>
      <c r="F1417" t="e">
        <f>NA()</f>
        <v>#N/A</v>
      </c>
      <c r="G1417" t="e">
        <f>NA()</f>
        <v>#N/A</v>
      </c>
      <c r="H1417" t="e">
        <f>NA()</f>
        <v>#N/A</v>
      </c>
      <c r="I1417" t="e">
        <f>NA()</f>
        <v>#N/A</v>
      </c>
      <c r="J1417" t="e">
        <f>NA()</f>
        <v>#N/A</v>
      </c>
      <c r="K1417" t="e">
        <f>NA()</f>
        <v>#N/A</v>
      </c>
      <c r="L1417" t="e">
        <f>NA()</f>
        <v>#N/A</v>
      </c>
      <c r="M1417" t="e">
        <f>NA()</f>
        <v>#N/A</v>
      </c>
      <c r="N1417" t="e">
        <f>NA()</f>
        <v>#N/A</v>
      </c>
      <c r="O1417">
        <f t="shared" si="49"/>
        <v>0.1</v>
      </c>
    </row>
    <row r="1418" spans="1:15" x14ac:dyDescent="0.25">
      <c r="A1418" s="1">
        <v>43951</v>
      </c>
      <c r="B1418" t="e">
        <f>NA()</f>
        <v>#N/A</v>
      </c>
      <c r="C1418" t="e">
        <f>NA()</f>
        <v>#N/A</v>
      </c>
      <c r="D1418">
        <f>4.5</f>
        <v>4.5</v>
      </c>
      <c r="E1418">
        <f>7.7</f>
        <v>7.7</v>
      </c>
      <c r="F1418">
        <f>4606</f>
        <v>4606</v>
      </c>
      <c r="G1418">
        <f>60.1</f>
        <v>60.1</v>
      </c>
      <c r="H1418">
        <f>-14.3</f>
        <v>-14.3</v>
      </c>
      <c r="I1418">
        <f>256.4</f>
        <v>256.39999999999998</v>
      </c>
      <c r="J1418">
        <f>0.3</f>
        <v>0.3</v>
      </c>
      <c r="K1418">
        <f>41.8</f>
        <v>41.8</v>
      </c>
      <c r="L1418">
        <f>-13.2</f>
        <v>-13.2</v>
      </c>
      <c r="M1418" t="e">
        <f>NA()</f>
        <v>#N/A</v>
      </c>
      <c r="N1418">
        <f>14.8</f>
        <v>14.8</v>
      </c>
      <c r="O1418">
        <f t="shared" si="49"/>
        <v>0.1</v>
      </c>
    </row>
    <row r="1419" spans="1:15" x14ac:dyDescent="0.25">
      <c r="A1419" s="1">
        <v>43950</v>
      </c>
      <c r="B1419" t="e">
        <f>NA()</f>
        <v>#N/A</v>
      </c>
      <c r="C1419" t="e">
        <f>NA()</f>
        <v>#N/A</v>
      </c>
      <c r="D1419" t="e">
        <f>NA()</f>
        <v>#N/A</v>
      </c>
      <c r="E1419" t="e">
        <f>NA()</f>
        <v>#N/A</v>
      </c>
      <c r="F1419" t="e">
        <f>NA()</f>
        <v>#N/A</v>
      </c>
      <c r="G1419" t="e">
        <f>NA()</f>
        <v>#N/A</v>
      </c>
      <c r="H1419" t="e">
        <f>NA()</f>
        <v>#N/A</v>
      </c>
      <c r="I1419" t="e">
        <f>NA()</f>
        <v>#N/A</v>
      </c>
      <c r="J1419" t="e">
        <f>NA()</f>
        <v>#N/A</v>
      </c>
      <c r="K1419" t="e">
        <f>NA()</f>
        <v>#N/A</v>
      </c>
      <c r="L1419" t="e">
        <f>NA()</f>
        <v>#N/A</v>
      </c>
      <c r="M1419" t="e">
        <f>NA()</f>
        <v>#N/A</v>
      </c>
      <c r="N1419" t="e">
        <f>NA()</f>
        <v>#N/A</v>
      </c>
      <c r="O1419">
        <f>0</f>
        <v>0</v>
      </c>
    </row>
    <row r="1420" spans="1:15" x14ac:dyDescent="0.25">
      <c r="A1420" s="1">
        <v>43949</v>
      </c>
      <c r="B1420" t="e">
        <f>NA()</f>
        <v>#N/A</v>
      </c>
      <c r="C1420" t="e">
        <f>NA()</f>
        <v>#N/A</v>
      </c>
      <c r="D1420" t="e">
        <f>NA()</f>
        <v>#N/A</v>
      </c>
      <c r="E1420" t="e">
        <f>NA()</f>
        <v>#N/A</v>
      </c>
      <c r="F1420" t="e">
        <f>NA()</f>
        <v>#N/A</v>
      </c>
      <c r="G1420" t="e">
        <f>NA()</f>
        <v>#N/A</v>
      </c>
      <c r="H1420" t="e">
        <f>NA()</f>
        <v>#N/A</v>
      </c>
      <c r="I1420" t="e">
        <f>NA()</f>
        <v>#N/A</v>
      </c>
      <c r="J1420" t="e">
        <f>NA()</f>
        <v>#N/A</v>
      </c>
      <c r="K1420" t="e">
        <f>NA()</f>
        <v>#N/A</v>
      </c>
      <c r="L1420" t="e">
        <f>NA()</f>
        <v>#N/A</v>
      </c>
      <c r="M1420" t="e">
        <f>NA()</f>
        <v>#N/A</v>
      </c>
      <c r="N1420" t="e">
        <f>NA()</f>
        <v>#N/A</v>
      </c>
      <c r="O1420">
        <f>0</f>
        <v>0</v>
      </c>
    </row>
    <row r="1421" spans="1:15" x14ac:dyDescent="0.25">
      <c r="A1421" s="1">
        <v>43948</v>
      </c>
      <c r="B1421" t="e">
        <f>NA()</f>
        <v>#N/A</v>
      </c>
      <c r="C1421" t="e">
        <f>NA()</f>
        <v>#N/A</v>
      </c>
      <c r="D1421" t="e">
        <f>NA()</f>
        <v>#N/A</v>
      </c>
      <c r="E1421" t="e">
        <f>NA()</f>
        <v>#N/A</v>
      </c>
      <c r="F1421" t="e">
        <f>NA()</f>
        <v>#N/A</v>
      </c>
      <c r="G1421" t="e">
        <f>NA()</f>
        <v>#N/A</v>
      </c>
      <c r="H1421" t="e">
        <f>NA()</f>
        <v>#N/A</v>
      </c>
      <c r="I1421" t="e">
        <f>NA()</f>
        <v>#N/A</v>
      </c>
      <c r="J1421" t="e">
        <f>NA()</f>
        <v>#N/A</v>
      </c>
      <c r="K1421" t="e">
        <f>NA()</f>
        <v>#N/A</v>
      </c>
      <c r="L1421" t="e">
        <f>NA()</f>
        <v>#N/A</v>
      </c>
      <c r="M1421" t="e">
        <f>NA()</f>
        <v>#N/A</v>
      </c>
      <c r="N1421" t="e">
        <f>NA()</f>
        <v>#N/A</v>
      </c>
      <c r="O1421">
        <f>0</f>
        <v>0</v>
      </c>
    </row>
    <row r="1422" spans="1:15" x14ac:dyDescent="0.25">
      <c r="A1422" s="1">
        <v>43945</v>
      </c>
      <c r="B1422">
        <f>2.4</f>
        <v>2.4</v>
      </c>
      <c r="C1422">
        <f>0</f>
        <v>0</v>
      </c>
      <c r="D1422" t="e">
        <f>NA()</f>
        <v>#N/A</v>
      </c>
      <c r="E1422" t="e">
        <f>NA()</f>
        <v>#N/A</v>
      </c>
      <c r="F1422" t="e">
        <f>NA()</f>
        <v>#N/A</v>
      </c>
      <c r="G1422" t="e">
        <f>NA()</f>
        <v>#N/A</v>
      </c>
      <c r="H1422" t="e">
        <f>NA()</f>
        <v>#N/A</v>
      </c>
      <c r="I1422" t="e">
        <f>NA()</f>
        <v>#N/A</v>
      </c>
      <c r="J1422" t="e">
        <f>NA()</f>
        <v>#N/A</v>
      </c>
      <c r="K1422" t="e">
        <f>NA()</f>
        <v>#N/A</v>
      </c>
      <c r="L1422" t="e">
        <f>NA()</f>
        <v>#N/A</v>
      </c>
      <c r="M1422" t="e">
        <f>NA()</f>
        <v>#N/A</v>
      </c>
      <c r="N1422" t="e">
        <f>NA()</f>
        <v>#N/A</v>
      </c>
      <c r="O1422">
        <f>0.1</f>
        <v>0.1</v>
      </c>
    </row>
    <row r="1423" spans="1:15" x14ac:dyDescent="0.25">
      <c r="A1423" s="1">
        <v>43944</v>
      </c>
      <c r="B1423" t="e">
        <f>NA()</f>
        <v>#N/A</v>
      </c>
      <c r="C1423" t="e">
        <f>NA()</f>
        <v>#N/A</v>
      </c>
      <c r="D1423" t="e">
        <f>NA()</f>
        <v>#N/A</v>
      </c>
      <c r="E1423" t="e">
        <f>NA()</f>
        <v>#N/A</v>
      </c>
      <c r="F1423" t="e">
        <f>NA()</f>
        <v>#N/A</v>
      </c>
      <c r="G1423" t="e">
        <f>NA()</f>
        <v>#N/A</v>
      </c>
      <c r="H1423" t="e">
        <f>NA()</f>
        <v>#N/A</v>
      </c>
      <c r="I1423" t="e">
        <f>NA()</f>
        <v>#N/A</v>
      </c>
      <c r="J1423" t="e">
        <f>NA()</f>
        <v>#N/A</v>
      </c>
      <c r="K1423" t="e">
        <f>NA()</f>
        <v>#N/A</v>
      </c>
      <c r="L1423" t="e">
        <f>NA()</f>
        <v>#N/A</v>
      </c>
      <c r="M1423" t="e">
        <f>NA()</f>
        <v>#N/A</v>
      </c>
      <c r="N1423" t="e">
        <f>NA()</f>
        <v>#N/A</v>
      </c>
      <c r="O1423">
        <f>0</f>
        <v>0</v>
      </c>
    </row>
    <row r="1424" spans="1:15" x14ac:dyDescent="0.25">
      <c r="A1424" s="1">
        <v>43943</v>
      </c>
      <c r="B1424" t="e">
        <f>NA()</f>
        <v>#N/A</v>
      </c>
      <c r="C1424" t="e">
        <f>NA()</f>
        <v>#N/A</v>
      </c>
      <c r="D1424" t="e">
        <f>NA()</f>
        <v>#N/A</v>
      </c>
      <c r="E1424" t="e">
        <f>NA()</f>
        <v>#N/A</v>
      </c>
      <c r="F1424" t="e">
        <f>NA()</f>
        <v>#N/A</v>
      </c>
      <c r="G1424" t="e">
        <f>NA()</f>
        <v>#N/A</v>
      </c>
      <c r="H1424" t="e">
        <f>NA()</f>
        <v>#N/A</v>
      </c>
      <c r="I1424" t="e">
        <f>NA()</f>
        <v>#N/A</v>
      </c>
      <c r="J1424" t="e">
        <f>NA()</f>
        <v>#N/A</v>
      </c>
      <c r="K1424" t="e">
        <f>NA()</f>
        <v>#N/A</v>
      </c>
      <c r="L1424" t="e">
        <f>NA()</f>
        <v>#N/A</v>
      </c>
      <c r="M1424" t="e">
        <f>NA()</f>
        <v>#N/A</v>
      </c>
      <c r="N1424" t="e">
        <f>NA()</f>
        <v>#N/A</v>
      </c>
      <c r="O1424">
        <f t="shared" ref="O1424:O1445" si="50">0.1</f>
        <v>0.1</v>
      </c>
    </row>
    <row r="1425" spans="1:15" x14ac:dyDescent="0.25">
      <c r="A1425" s="1">
        <v>43942</v>
      </c>
      <c r="B1425" t="e">
        <f>NA()</f>
        <v>#N/A</v>
      </c>
      <c r="C1425" t="e">
        <f>NA()</f>
        <v>#N/A</v>
      </c>
      <c r="D1425" t="e">
        <f>NA()</f>
        <v>#N/A</v>
      </c>
      <c r="E1425" t="e">
        <f>NA()</f>
        <v>#N/A</v>
      </c>
      <c r="F1425" t="e">
        <f>NA()</f>
        <v>#N/A</v>
      </c>
      <c r="G1425" t="e">
        <f>NA()</f>
        <v>#N/A</v>
      </c>
      <c r="H1425" t="e">
        <f>NA()</f>
        <v>#N/A</v>
      </c>
      <c r="I1425" t="e">
        <f>NA()</f>
        <v>#N/A</v>
      </c>
      <c r="J1425" t="e">
        <f>NA()</f>
        <v>#N/A</v>
      </c>
      <c r="K1425" t="e">
        <f>NA()</f>
        <v>#N/A</v>
      </c>
      <c r="L1425" t="e">
        <f>NA()</f>
        <v>#N/A</v>
      </c>
      <c r="M1425" t="e">
        <f>NA()</f>
        <v>#N/A</v>
      </c>
      <c r="N1425" t="e">
        <f>NA()</f>
        <v>#N/A</v>
      </c>
      <c r="O1425">
        <f t="shared" si="50"/>
        <v>0.1</v>
      </c>
    </row>
    <row r="1426" spans="1:15" x14ac:dyDescent="0.25">
      <c r="A1426" s="1">
        <v>43941</v>
      </c>
      <c r="B1426" t="e">
        <f>NA()</f>
        <v>#N/A</v>
      </c>
      <c r="C1426" t="e">
        <f>NA()</f>
        <v>#N/A</v>
      </c>
      <c r="D1426" t="e">
        <f>NA()</f>
        <v>#N/A</v>
      </c>
      <c r="E1426" t="e">
        <f>NA()</f>
        <v>#N/A</v>
      </c>
      <c r="F1426" t="e">
        <f>NA()</f>
        <v>#N/A</v>
      </c>
      <c r="G1426" t="e">
        <f>NA()</f>
        <v>#N/A</v>
      </c>
      <c r="H1426" t="e">
        <f>NA()</f>
        <v>#N/A</v>
      </c>
      <c r="I1426" t="e">
        <f>NA()</f>
        <v>#N/A</v>
      </c>
      <c r="J1426" t="e">
        <f>NA()</f>
        <v>#N/A</v>
      </c>
      <c r="K1426" t="e">
        <f>NA()</f>
        <v>#N/A</v>
      </c>
      <c r="L1426" t="e">
        <f>NA()</f>
        <v>#N/A</v>
      </c>
      <c r="M1426" t="e">
        <f>NA()</f>
        <v>#N/A</v>
      </c>
      <c r="N1426" t="e">
        <f>NA()</f>
        <v>#N/A</v>
      </c>
      <c r="O1426">
        <f t="shared" si="50"/>
        <v>0.1</v>
      </c>
    </row>
    <row r="1427" spans="1:15" x14ac:dyDescent="0.25">
      <c r="A1427" s="1">
        <v>43938</v>
      </c>
      <c r="B1427">
        <f>1.9</f>
        <v>1.9</v>
      </c>
      <c r="C1427">
        <f>0</f>
        <v>0</v>
      </c>
      <c r="D1427" t="e">
        <f>NA()</f>
        <v>#N/A</v>
      </c>
      <c r="E1427" t="e">
        <f>NA()</f>
        <v>#N/A</v>
      </c>
      <c r="F1427" t="e">
        <f>NA()</f>
        <v>#N/A</v>
      </c>
      <c r="G1427" t="e">
        <f>NA()</f>
        <v>#N/A</v>
      </c>
      <c r="H1427" t="e">
        <f>NA()</f>
        <v>#N/A</v>
      </c>
      <c r="I1427" t="e">
        <f>NA()</f>
        <v>#N/A</v>
      </c>
      <c r="J1427" t="e">
        <f>NA()</f>
        <v>#N/A</v>
      </c>
      <c r="K1427" t="e">
        <f>NA()</f>
        <v>#N/A</v>
      </c>
      <c r="L1427" t="e">
        <f>NA()</f>
        <v>#N/A</v>
      </c>
      <c r="M1427" t="e">
        <f>NA()</f>
        <v>#N/A</v>
      </c>
      <c r="N1427" t="e">
        <f>NA()</f>
        <v>#N/A</v>
      </c>
      <c r="O1427">
        <f t="shared" si="50"/>
        <v>0.1</v>
      </c>
    </row>
    <row r="1428" spans="1:15" x14ac:dyDescent="0.25">
      <c r="A1428" s="1">
        <v>43937</v>
      </c>
      <c r="B1428" t="e">
        <f>NA()</f>
        <v>#N/A</v>
      </c>
      <c r="C1428" t="e">
        <f>NA()</f>
        <v>#N/A</v>
      </c>
      <c r="D1428" t="e">
        <f>NA()</f>
        <v>#N/A</v>
      </c>
      <c r="E1428" t="e">
        <f>NA()</f>
        <v>#N/A</v>
      </c>
      <c r="F1428" t="e">
        <f>NA()</f>
        <v>#N/A</v>
      </c>
      <c r="G1428" t="e">
        <f>NA()</f>
        <v>#N/A</v>
      </c>
      <c r="H1428" t="e">
        <f>NA()</f>
        <v>#N/A</v>
      </c>
      <c r="I1428" t="e">
        <f>NA()</f>
        <v>#N/A</v>
      </c>
      <c r="J1428" t="e">
        <f>NA()</f>
        <v>#N/A</v>
      </c>
      <c r="K1428" t="e">
        <f>NA()</f>
        <v>#N/A</v>
      </c>
      <c r="L1428" t="e">
        <f>NA()</f>
        <v>#N/A</v>
      </c>
      <c r="M1428" t="e">
        <f>NA()</f>
        <v>#N/A</v>
      </c>
      <c r="N1428" t="e">
        <f>NA()</f>
        <v>#N/A</v>
      </c>
      <c r="O1428">
        <f t="shared" si="50"/>
        <v>0.1</v>
      </c>
    </row>
    <row r="1429" spans="1:15" x14ac:dyDescent="0.25">
      <c r="A1429" s="1">
        <v>43936</v>
      </c>
      <c r="B1429" t="e">
        <f>NA()</f>
        <v>#N/A</v>
      </c>
      <c r="C1429" t="e">
        <f>NA()</f>
        <v>#N/A</v>
      </c>
      <c r="D1429" t="e">
        <f>NA()</f>
        <v>#N/A</v>
      </c>
      <c r="E1429" t="e">
        <f>NA()</f>
        <v>#N/A</v>
      </c>
      <c r="F1429" t="e">
        <f>NA()</f>
        <v>#N/A</v>
      </c>
      <c r="G1429" t="e">
        <f>NA()</f>
        <v>#N/A</v>
      </c>
      <c r="H1429" t="e">
        <f>NA()</f>
        <v>#N/A</v>
      </c>
      <c r="I1429" t="e">
        <f>NA()</f>
        <v>#N/A</v>
      </c>
      <c r="J1429" t="e">
        <f>NA()</f>
        <v>#N/A</v>
      </c>
      <c r="K1429" t="e">
        <f>NA()</f>
        <v>#N/A</v>
      </c>
      <c r="L1429" t="e">
        <f>NA()</f>
        <v>#N/A</v>
      </c>
      <c r="M1429" t="e">
        <f>NA()</f>
        <v>#N/A</v>
      </c>
      <c r="N1429" t="e">
        <f>NA()</f>
        <v>#N/A</v>
      </c>
      <c r="O1429">
        <f t="shared" si="50"/>
        <v>0.1</v>
      </c>
    </row>
    <row r="1430" spans="1:15" x14ac:dyDescent="0.25">
      <c r="A1430" s="1">
        <v>43935</v>
      </c>
      <c r="B1430" t="e">
        <f>NA()</f>
        <v>#N/A</v>
      </c>
      <c r="C1430" t="e">
        <f>NA()</f>
        <v>#N/A</v>
      </c>
      <c r="D1430" t="e">
        <f>NA()</f>
        <v>#N/A</v>
      </c>
      <c r="E1430" t="e">
        <f>NA()</f>
        <v>#N/A</v>
      </c>
      <c r="F1430" t="e">
        <f>NA()</f>
        <v>#N/A</v>
      </c>
      <c r="G1430" t="e">
        <f>NA()</f>
        <v>#N/A</v>
      </c>
      <c r="H1430" t="e">
        <f>NA()</f>
        <v>#N/A</v>
      </c>
      <c r="I1430" t="e">
        <f>NA()</f>
        <v>#N/A</v>
      </c>
      <c r="J1430" t="e">
        <f>NA()</f>
        <v>#N/A</v>
      </c>
      <c r="K1430" t="e">
        <f>NA()</f>
        <v>#N/A</v>
      </c>
      <c r="L1430" t="e">
        <f>NA()</f>
        <v>#N/A</v>
      </c>
      <c r="M1430" t="e">
        <f>NA()</f>
        <v>#N/A</v>
      </c>
      <c r="N1430" t="e">
        <f>NA()</f>
        <v>#N/A</v>
      </c>
      <c r="O1430">
        <f t="shared" si="50"/>
        <v>0.1</v>
      </c>
    </row>
    <row r="1431" spans="1:15" x14ac:dyDescent="0.25">
      <c r="A1431" s="1">
        <v>43934</v>
      </c>
      <c r="B1431" t="e">
        <f>NA()</f>
        <v>#N/A</v>
      </c>
      <c r="C1431" t="e">
        <f>NA()</f>
        <v>#N/A</v>
      </c>
      <c r="D1431" t="e">
        <f>NA()</f>
        <v>#N/A</v>
      </c>
      <c r="E1431" t="e">
        <f>NA()</f>
        <v>#N/A</v>
      </c>
      <c r="F1431" t="e">
        <f>NA()</f>
        <v>#N/A</v>
      </c>
      <c r="G1431" t="e">
        <f>NA()</f>
        <v>#N/A</v>
      </c>
      <c r="H1431" t="e">
        <f>NA()</f>
        <v>#N/A</v>
      </c>
      <c r="I1431" t="e">
        <f>NA()</f>
        <v>#N/A</v>
      </c>
      <c r="J1431" t="e">
        <f>NA()</f>
        <v>#N/A</v>
      </c>
      <c r="K1431" t="e">
        <f>NA()</f>
        <v>#N/A</v>
      </c>
      <c r="L1431" t="e">
        <f>NA()</f>
        <v>#N/A</v>
      </c>
      <c r="M1431" t="e">
        <f>NA()</f>
        <v>#N/A</v>
      </c>
      <c r="N1431" t="e">
        <f>NA()</f>
        <v>#N/A</v>
      </c>
      <c r="O1431">
        <f t="shared" si="50"/>
        <v>0.1</v>
      </c>
    </row>
    <row r="1432" spans="1:15" x14ac:dyDescent="0.25">
      <c r="A1432" s="1">
        <v>43931</v>
      </c>
      <c r="B1432">
        <f>2.6</f>
        <v>2.6</v>
      </c>
      <c r="C1432">
        <f>0</f>
        <v>0</v>
      </c>
      <c r="D1432" t="e">
        <f>NA()</f>
        <v>#N/A</v>
      </c>
      <c r="E1432" t="e">
        <f>NA()</f>
        <v>#N/A</v>
      </c>
      <c r="F1432" t="e">
        <f>NA()</f>
        <v>#N/A</v>
      </c>
      <c r="G1432" t="e">
        <f>NA()</f>
        <v>#N/A</v>
      </c>
      <c r="H1432" t="e">
        <f>NA()</f>
        <v>#N/A</v>
      </c>
      <c r="I1432" t="e">
        <f>NA()</f>
        <v>#N/A</v>
      </c>
      <c r="J1432" t="e">
        <f>NA()</f>
        <v>#N/A</v>
      </c>
      <c r="K1432" t="e">
        <f>NA()</f>
        <v>#N/A</v>
      </c>
      <c r="L1432" t="e">
        <f>NA()</f>
        <v>#N/A</v>
      </c>
      <c r="M1432" t="e">
        <f>NA()</f>
        <v>#N/A</v>
      </c>
      <c r="N1432" t="e">
        <f>NA()</f>
        <v>#N/A</v>
      </c>
      <c r="O1432">
        <f t="shared" si="50"/>
        <v>0.1</v>
      </c>
    </row>
    <row r="1433" spans="1:15" x14ac:dyDescent="0.25">
      <c r="A1433" s="1">
        <v>43930</v>
      </c>
      <c r="B1433" t="e">
        <f>NA()</f>
        <v>#N/A</v>
      </c>
      <c r="C1433" t="e">
        <f>NA()</f>
        <v>#N/A</v>
      </c>
      <c r="D1433" t="e">
        <f>NA()</f>
        <v>#N/A</v>
      </c>
      <c r="E1433" t="e">
        <f>NA()</f>
        <v>#N/A</v>
      </c>
      <c r="F1433" t="e">
        <f>NA()</f>
        <v>#N/A</v>
      </c>
      <c r="G1433" t="e">
        <f>NA()</f>
        <v>#N/A</v>
      </c>
      <c r="H1433" t="e">
        <f>NA()</f>
        <v>#N/A</v>
      </c>
      <c r="I1433" t="e">
        <f>NA()</f>
        <v>#N/A</v>
      </c>
      <c r="J1433" t="e">
        <f>NA()</f>
        <v>#N/A</v>
      </c>
      <c r="K1433" t="e">
        <f>NA()</f>
        <v>#N/A</v>
      </c>
      <c r="L1433" t="e">
        <f>NA()</f>
        <v>#N/A</v>
      </c>
      <c r="M1433" t="e">
        <f>NA()</f>
        <v>#N/A</v>
      </c>
      <c r="N1433" t="e">
        <f>NA()</f>
        <v>#N/A</v>
      </c>
      <c r="O1433">
        <f t="shared" si="50"/>
        <v>0.1</v>
      </c>
    </row>
    <row r="1434" spans="1:15" x14ac:dyDescent="0.25">
      <c r="A1434" s="1">
        <v>43929</v>
      </c>
      <c r="B1434" t="e">
        <f>NA()</f>
        <v>#N/A</v>
      </c>
      <c r="C1434" t="e">
        <f>NA()</f>
        <v>#N/A</v>
      </c>
      <c r="D1434" t="e">
        <f>NA()</f>
        <v>#N/A</v>
      </c>
      <c r="E1434" t="e">
        <f>NA()</f>
        <v>#N/A</v>
      </c>
      <c r="F1434" t="e">
        <f>NA()</f>
        <v>#N/A</v>
      </c>
      <c r="G1434" t="e">
        <f>NA()</f>
        <v>#N/A</v>
      </c>
      <c r="H1434" t="e">
        <f>NA()</f>
        <v>#N/A</v>
      </c>
      <c r="I1434" t="e">
        <f>NA()</f>
        <v>#N/A</v>
      </c>
      <c r="J1434" t="e">
        <f>NA()</f>
        <v>#N/A</v>
      </c>
      <c r="K1434" t="e">
        <f>NA()</f>
        <v>#N/A</v>
      </c>
      <c r="L1434" t="e">
        <f>NA()</f>
        <v>#N/A</v>
      </c>
      <c r="M1434" t="e">
        <f>NA()</f>
        <v>#N/A</v>
      </c>
      <c r="N1434" t="e">
        <f>NA()</f>
        <v>#N/A</v>
      </c>
      <c r="O1434">
        <f t="shared" si="50"/>
        <v>0.1</v>
      </c>
    </row>
    <row r="1435" spans="1:15" x14ac:dyDescent="0.25">
      <c r="A1435" s="1">
        <v>43928</v>
      </c>
      <c r="B1435" t="e">
        <f>NA()</f>
        <v>#N/A</v>
      </c>
      <c r="C1435" t="e">
        <f>NA()</f>
        <v>#N/A</v>
      </c>
      <c r="D1435" t="e">
        <f>NA()</f>
        <v>#N/A</v>
      </c>
      <c r="E1435" t="e">
        <f>NA()</f>
        <v>#N/A</v>
      </c>
      <c r="F1435" t="e">
        <f>NA()</f>
        <v>#N/A</v>
      </c>
      <c r="G1435" t="e">
        <f>NA()</f>
        <v>#N/A</v>
      </c>
      <c r="H1435" t="e">
        <f>NA()</f>
        <v>#N/A</v>
      </c>
      <c r="I1435" t="e">
        <f>NA()</f>
        <v>#N/A</v>
      </c>
      <c r="J1435" t="e">
        <f>NA()</f>
        <v>#N/A</v>
      </c>
      <c r="K1435" t="e">
        <f>NA()</f>
        <v>#N/A</v>
      </c>
      <c r="L1435" t="e">
        <f>NA()</f>
        <v>#N/A</v>
      </c>
      <c r="M1435" t="e">
        <f>NA()</f>
        <v>#N/A</v>
      </c>
      <c r="N1435" t="e">
        <f>NA()</f>
        <v>#N/A</v>
      </c>
      <c r="O1435">
        <f t="shared" si="50"/>
        <v>0.1</v>
      </c>
    </row>
    <row r="1436" spans="1:15" x14ac:dyDescent="0.25">
      <c r="A1436" s="1">
        <v>43927</v>
      </c>
      <c r="B1436" t="e">
        <f>NA()</f>
        <v>#N/A</v>
      </c>
      <c r="C1436" t="e">
        <f>NA()</f>
        <v>#N/A</v>
      </c>
      <c r="D1436" t="e">
        <f>NA()</f>
        <v>#N/A</v>
      </c>
      <c r="E1436" t="e">
        <f>NA()</f>
        <v>#N/A</v>
      </c>
      <c r="F1436" t="e">
        <f>NA()</f>
        <v>#N/A</v>
      </c>
      <c r="G1436" t="e">
        <f>NA()</f>
        <v>#N/A</v>
      </c>
      <c r="H1436" t="e">
        <f>NA()</f>
        <v>#N/A</v>
      </c>
      <c r="I1436" t="e">
        <f>NA()</f>
        <v>#N/A</v>
      </c>
      <c r="J1436" t="e">
        <f>NA()</f>
        <v>#N/A</v>
      </c>
      <c r="K1436" t="e">
        <f>NA()</f>
        <v>#N/A</v>
      </c>
      <c r="L1436" t="e">
        <f>NA()</f>
        <v>#N/A</v>
      </c>
      <c r="M1436" t="e">
        <f>NA()</f>
        <v>#N/A</v>
      </c>
      <c r="N1436" t="e">
        <f>NA()</f>
        <v>#N/A</v>
      </c>
      <c r="O1436">
        <f t="shared" si="50"/>
        <v>0.1</v>
      </c>
    </row>
    <row r="1437" spans="1:15" x14ac:dyDescent="0.25">
      <c r="A1437" s="1">
        <v>43924</v>
      </c>
      <c r="B1437">
        <f>3.1</f>
        <v>3.1</v>
      </c>
      <c r="C1437">
        <f>0</f>
        <v>0</v>
      </c>
      <c r="D1437" t="e">
        <f>NA()</f>
        <v>#N/A</v>
      </c>
      <c r="E1437" t="e">
        <f>NA()</f>
        <v>#N/A</v>
      </c>
      <c r="F1437" t="e">
        <f>NA()</f>
        <v>#N/A</v>
      </c>
      <c r="G1437" t="e">
        <f>NA()</f>
        <v>#N/A</v>
      </c>
      <c r="H1437" t="e">
        <f>NA()</f>
        <v>#N/A</v>
      </c>
      <c r="I1437" t="e">
        <f>NA()</f>
        <v>#N/A</v>
      </c>
      <c r="J1437" t="e">
        <f>NA()</f>
        <v>#N/A</v>
      </c>
      <c r="K1437" t="e">
        <f>NA()</f>
        <v>#N/A</v>
      </c>
      <c r="L1437" t="e">
        <f>NA()</f>
        <v>#N/A</v>
      </c>
      <c r="M1437" t="e">
        <f>NA()</f>
        <v>#N/A</v>
      </c>
      <c r="N1437" t="e">
        <f>NA()</f>
        <v>#N/A</v>
      </c>
      <c r="O1437">
        <f t="shared" si="50"/>
        <v>0.1</v>
      </c>
    </row>
    <row r="1438" spans="1:15" x14ac:dyDescent="0.25">
      <c r="A1438" s="1">
        <v>43923</v>
      </c>
      <c r="B1438" t="e">
        <f>NA()</f>
        <v>#N/A</v>
      </c>
      <c r="C1438" t="e">
        <f>NA()</f>
        <v>#N/A</v>
      </c>
      <c r="D1438" t="e">
        <f>NA()</f>
        <v>#N/A</v>
      </c>
      <c r="E1438" t="e">
        <f>NA()</f>
        <v>#N/A</v>
      </c>
      <c r="F1438" t="e">
        <f>NA()</f>
        <v>#N/A</v>
      </c>
      <c r="G1438" t="e">
        <f>NA()</f>
        <v>#N/A</v>
      </c>
      <c r="H1438" t="e">
        <f>NA()</f>
        <v>#N/A</v>
      </c>
      <c r="I1438" t="e">
        <f>NA()</f>
        <v>#N/A</v>
      </c>
      <c r="J1438" t="e">
        <f>NA()</f>
        <v>#N/A</v>
      </c>
      <c r="K1438" t="e">
        <f>NA()</f>
        <v>#N/A</v>
      </c>
      <c r="L1438" t="e">
        <f>NA()</f>
        <v>#N/A</v>
      </c>
      <c r="M1438" t="e">
        <f>NA()</f>
        <v>#N/A</v>
      </c>
      <c r="N1438" t="e">
        <f>NA()</f>
        <v>#N/A</v>
      </c>
      <c r="O1438">
        <f t="shared" si="50"/>
        <v>0.1</v>
      </c>
    </row>
    <row r="1439" spans="1:15" x14ac:dyDescent="0.25">
      <c r="A1439" s="1">
        <v>43922</v>
      </c>
      <c r="B1439" t="e">
        <f>NA()</f>
        <v>#N/A</v>
      </c>
      <c r="C1439" t="e">
        <f>NA()</f>
        <v>#N/A</v>
      </c>
      <c r="D1439" t="e">
        <f>NA()</f>
        <v>#N/A</v>
      </c>
      <c r="E1439" t="e">
        <f>NA()</f>
        <v>#N/A</v>
      </c>
      <c r="F1439" t="e">
        <f>NA()</f>
        <v>#N/A</v>
      </c>
      <c r="G1439" t="e">
        <f>NA()</f>
        <v>#N/A</v>
      </c>
      <c r="H1439" t="e">
        <f>NA()</f>
        <v>#N/A</v>
      </c>
      <c r="I1439" t="e">
        <f>NA()</f>
        <v>#N/A</v>
      </c>
      <c r="J1439" t="e">
        <f>NA()</f>
        <v>#N/A</v>
      </c>
      <c r="K1439" t="e">
        <f>NA()</f>
        <v>#N/A</v>
      </c>
      <c r="L1439" t="e">
        <f>NA()</f>
        <v>#N/A</v>
      </c>
      <c r="M1439" t="e">
        <f>NA()</f>
        <v>#N/A</v>
      </c>
      <c r="N1439" t="e">
        <f>NA()</f>
        <v>#N/A</v>
      </c>
      <c r="O1439">
        <f t="shared" si="50"/>
        <v>0.1</v>
      </c>
    </row>
    <row r="1440" spans="1:15" x14ac:dyDescent="0.25">
      <c r="A1440" s="1">
        <v>43921</v>
      </c>
      <c r="B1440" t="e">
        <f>NA()</f>
        <v>#N/A</v>
      </c>
      <c r="C1440" t="e">
        <f>NA()</f>
        <v>#N/A</v>
      </c>
      <c r="D1440">
        <f>0.7</f>
        <v>0.7</v>
      </c>
      <c r="E1440">
        <f>2</f>
        <v>2</v>
      </c>
      <c r="F1440">
        <f>5894</f>
        <v>5894</v>
      </c>
      <c r="G1440">
        <f>62.6</f>
        <v>62.6</v>
      </c>
      <c r="H1440">
        <f>-3.1</f>
        <v>-3.1</v>
      </c>
      <c r="I1440">
        <f>258.1</f>
        <v>258.10000000000002</v>
      </c>
      <c r="J1440">
        <f>1.5</f>
        <v>1.5</v>
      </c>
      <c r="K1440">
        <f>49</f>
        <v>49</v>
      </c>
      <c r="L1440">
        <f>-4</f>
        <v>-4</v>
      </c>
      <c r="M1440">
        <f>-5.2</f>
        <v>-5.2</v>
      </c>
      <c r="N1440">
        <f>4.4</f>
        <v>4.4000000000000004</v>
      </c>
      <c r="O1440">
        <f t="shared" si="50"/>
        <v>0.1</v>
      </c>
    </row>
    <row r="1441" spans="1:15" x14ac:dyDescent="0.25">
      <c r="A1441" s="1">
        <v>43920</v>
      </c>
      <c r="B1441" t="e">
        <f>NA()</f>
        <v>#N/A</v>
      </c>
      <c r="C1441" t="e">
        <f>NA()</f>
        <v>#N/A</v>
      </c>
      <c r="D1441" t="e">
        <f>NA()</f>
        <v>#N/A</v>
      </c>
      <c r="E1441" t="e">
        <f>NA()</f>
        <v>#N/A</v>
      </c>
      <c r="F1441" t="e">
        <f>NA()</f>
        <v>#N/A</v>
      </c>
      <c r="G1441" t="e">
        <f>NA()</f>
        <v>#N/A</v>
      </c>
      <c r="H1441" t="e">
        <f>NA()</f>
        <v>#N/A</v>
      </c>
      <c r="I1441" t="e">
        <f>NA()</f>
        <v>#N/A</v>
      </c>
      <c r="J1441" t="e">
        <f>NA()</f>
        <v>#N/A</v>
      </c>
      <c r="K1441" t="e">
        <f>NA()</f>
        <v>#N/A</v>
      </c>
      <c r="L1441" t="e">
        <f>NA()</f>
        <v>#N/A</v>
      </c>
      <c r="M1441" t="e">
        <f>NA()</f>
        <v>#N/A</v>
      </c>
      <c r="N1441" t="e">
        <f>NA()</f>
        <v>#N/A</v>
      </c>
      <c r="O1441">
        <f t="shared" si="50"/>
        <v>0.1</v>
      </c>
    </row>
    <row r="1442" spans="1:15" x14ac:dyDescent="0.25">
      <c r="A1442" s="1">
        <v>43917</v>
      </c>
      <c r="B1442">
        <f>5.3</f>
        <v>5.3</v>
      </c>
      <c r="C1442">
        <f>0</f>
        <v>0</v>
      </c>
      <c r="D1442" t="e">
        <f>NA()</f>
        <v>#N/A</v>
      </c>
      <c r="E1442" t="e">
        <f>NA()</f>
        <v>#N/A</v>
      </c>
      <c r="F1442" t="e">
        <f>NA()</f>
        <v>#N/A</v>
      </c>
      <c r="G1442" t="e">
        <f>NA()</f>
        <v>#N/A</v>
      </c>
      <c r="H1442" t="e">
        <f>NA()</f>
        <v>#N/A</v>
      </c>
      <c r="I1442" t="e">
        <f>NA()</f>
        <v>#N/A</v>
      </c>
      <c r="J1442" t="e">
        <f>NA()</f>
        <v>#N/A</v>
      </c>
      <c r="K1442" t="e">
        <f>NA()</f>
        <v>#N/A</v>
      </c>
      <c r="L1442" t="e">
        <f>NA()</f>
        <v>#N/A</v>
      </c>
      <c r="M1442" t="e">
        <f>NA()</f>
        <v>#N/A</v>
      </c>
      <c r="N1442" t="e">
        <f>NA()</f>
        <v>#N/A</v>
      </c>
      <c r="O1442">
        <f t="shared" si="50"/>
        <v>0.1</v>
      </c>
    </row>
    <row r="1443" spans="1:15" x14ac:dyDescent="0.25">
      <c r="A1443" s="1">
        <v>43916</v>
      </c>
      <c r="B1443" t="e">
        <f>NA()</f>
        <v>#N/A</v>
      </c>
      <c r="C1443" t="e">
        <f>NA()</f>
        <v>#N/A</v>
      </c>
      <c r="D1443" t="e">
        <f>NA()</f>
        <v>#N/A</v>
      </c>
      <c r="E1443" t="e">
        <f>NA()</f>
        <v>#N/A</v>
      </c>
      <c r="F1443" t="e">
        <f>NA()</f>
        <v>#N/A</v>
      </c>
      <c r="G1443" t="e">
        <f>NA()</f>
        <v>#N/A</v>
      </c>
      <c r="H1443" t="e">
        <f>NA()</f>
        <v>#N/A</v>
      </c>
      <c r="I1443" t="e">
        <f>NA()</f>
        <v>#N/A</v>
      </c>
      <c r="J1443" t="e">
        <f>NA()</f>
        <v>#N/A</v>
      </c>
      <c r="K1443" t="e">
        <f>NA()</f>
        <v>#N/A</v>
      </c>
      <c r="L1443" t="e">
        <f>NA()</f>
        <v>#N/A</v>
      </c>
      <c r="M1443" t="e">
        <f>NA()</f>
        <v>#N/A</v>
      </c>
      <c r="N1443" t="e">
        <f>NA()</f>
        <v>#N/A</v>
      </c>
      <c r="O1443">
        <f t="shared" si="50"/>
        <v>0.1</v>
      </c>
    </row>
    <row r="1444" spans="1:15" x14ac:dyDescent="0.25">
      <c r="A1444" s="1">
        <v>43915</v>
      </c>
      <c r="B1444" t="e">
        <f>NA()</f>
        <v>#N/A</v>
      </c>
      <c r="C1444" t="e">
        <f>NA()</f>
        <v>#N/A</v>
      </c>
      <c r="D1444" t="e">
        <f>NA()</f>
        <v>#N/A</v>
      </c>
      <c r="E1444" t="e">
        <f>NA()</f>
        <v>#N/A</v>
      </c>
      <c r="F1444" t="e">
        <f>NA()</f>
        <v>#N/A</v>
      </c>
      <c r="G1444" t="e">
        <f>NA()</f>
        <v>#N/A</v>
      </c>
      <c r="H1444" t="e">
        <f>NA()</f>
        <v>#N/A</v>
      </c>
      <c r="I1444" t="e">
        <f>NA()</f>
        <v>#N/A</v>
      </c>
      <c r="J1444" t="e">
        <f>NA()</f>
        <v>#N/A</v>
      </c>
      <c r="K1444" t="e">
        <f>NA()</f>
        <v>#N/A</v>
      </c>
      <c r="L1444" t="e">
        <f>NA()</f>
        <v>#N/A</v>
      </c>
      <c r="M1444" t="e">
        <f>NA()</f>
        <v>#N/A</v>
      </c>
      <c r="N1444" t="e">
        <f>NA()</f>
        <v>#N/A</v>
      </c>
      <c r="O1444">
        <f t="shared" si="50"/>
        <v>0.1</v>
      </c>
    </row>
    <row r="1445" spans="1:15" x14ac:dyDescent="0.25">
      <c r="A1445" s="1">
        <v>43914</v>
      </c>
      <c r="B1445" t="e">
        <f>NA()</f>
        <v>#N/A</v>
      </c>
      <c r="C1445" t="e">
        <f>NA()</f>
        <v>#N/A</v>
      </c>
      <c r="D1445" t="e">
        <f>NA()</f>
        <v>#N/A</v>
      </c>
      <c r="E1445" t="e">
        <f>NA()</f>
        <v>#N/A</v>
      </c>
      <c r="F1445" t="e">
        <f>NA()</f>
        <v>#N/A</v>
      </c>
      <c r="G1445" t="e">
        <f>NA()</f>
        <v>#N/A</v>
      </c>
      <c r="H1445" t="e">
        <f>NA()</f>
        <v>#N/A</v>
      </c>
      <c r="I1445" t="e">
        <f>NA()</f>
        <v>#N/A</v>
      </c>
      <c r="J1445" t="e">
        <f>NA()</f>
        <v>#N/A</v>
      </c>
      <c r="K1445" t="e">
        <f>NA()</f>
        <v>#N/A</v>
      </c>
      <c r="L1445" t="e">
        <f>NA()</f>
        <v>#N/A</v>
      </c>
      <c r="M1445" t="e">
        <f>NA()</f>
        <v>#N/A</v>
      </c>
      <c r="N1445" t="e">
        <f>NA()</f>
        <v>#N/A</v>
      </c>
      <c r="O1445">
        <f t="shared" si="50"/>
        <v>0.1</v>
      </c>
    </row>
    <row r="1446" spans="1:15" x14ac:dyDescent="0.25">
      <c r="A1446" s="1">
        <v>43913</v>
      </c>
      <c r="B1446" t="e">
        <f>NA()</f>
        <v>#N/A</v>
      </c>
      <c r="C1446" t="e">
        <f>NA()</f>
        <v>#N/A</v>
      </c>
      <c r="D1446" t="e">
        <f>NA()</f>
        <v>#N/A</v>
      </c>
      <c r="E1446" t="e">
        <f>NA()</f>
        <v>#N/A</v>
      </c>
      <c r="F1446" t="e">
        <f>NA()</f>
        <v>#N/A</v>
      </c>
      <c r="G1446" t="e">
        <f>NA()</f>
        <v>#N/A</v>
      </c>
      <c r="H1446" t="e">
        <f>NA()</f>
        <v>#N/A</v>
      </c>
      <c r="I1446" t="e">
        <f>NA()</f>
        <v>#N/A</v>
      </c>
      <c r="J1446" t="e">
        <f>NA()</f>
        <v>#N/A</v>
      </c>
      <c r="K1446" t="e">
        <f>NA()</f>
        <v>#N/A</v>
      </c>
      <c r="L1446" t="e">
        <f>NA()</f>
        <v>#N/A</v>
      </c>
      <c r="M1446" t="e">
        <f>NA()</f>
        <v>#N/A</v>
      </c>
      <c r="N1446" t="e">
        <f>NA()</f>
        <v>#N/A</v>
      </c>
      <c r="O1446">
        <f>0.2</f>
        <v>0.2</v>
      </c>
    </row>
    <row r="1447" spans="1:15" x14ac:dyDescent="0.25">
      <c r="A1447" s="1">
        <v>43910</v>
      </c>
      <c r="B1447">
        <f>5.6</f>
        <v>5.6</v>
      </c>
      <c r="C1447">
        <f>0</f>
        <v>0</v>
      </c>
      <c r="D1447" t="e">
        <f>NA()</f>
        <v>#N/A</v>
      </c>
      <c r="E1447" t="e">
        <f>NA()</f>
        <v>#N/A</v>
      </c>
      <c r="F1447" t="e">
        <f>NA()</f>
        <v>#N/A</v>
      </c>
      <c r="G1447" t="e">
        <f>NA()</f>
        <v>#N/A</v>
      </c>
      <c r="H1447" t="e">
        <f>NA()</f>
        <v>#N/A</v>
      </c>
      <c r="I1447" t="e">
        <f>NA()</f>
        <v>#N/A</v>
      </c>
      <c r="J1447" t="e">
        <f>NA()</f>
        <v>#N/A</v>
      </c>
      <c r="K1447" t="e">
        <f>NA()</f>
        <v>#N/A</v>
      </c>
      <c r="L1447" t="e">
        <f>NA()</f>
        <v>#N/A</v>
      </c>
      <c r="M1447" t="e">
        <f>NA()</f>
        <v>#N/A</v>
      </c>
      <c r="N1447" t="e">
        <f>NA()</f>
        <v>#N/A</v>
      </c>
      <c r="O1447">
        <f>0.2</f>
        <v>0.2</v>
      </c>
    </row>
    <row r="1448" spans="1:15" x14ac:dyDescent="0.25">
      <c r="A1448" s="1">
        <v>43909</v>
      </c>
      <c r="B1448" t="e">
        <f>NA()</f>
        <v>#N/A</v>
      </c>
      <c r="C1448" t="e">
        <f>NA()</f>
        <v>#N/A</v>
      </c>
      <c r="D1448" t="e">
        <f>NA()</f>
        <v>#N/A</v>
      </c>
      <c r="E1448" t="e">
        <f>NA()</f>
        <v>#N/A</v>
      </c>
      <c r="F1448" t="e">
        <f>NA()</f>
        <v>#N/A</v>
      </c>
      <c r="G1448" t="e">
        <f>NA()</f>
        <v>#N/A</v>
      </c>
      <c r="H1448" t="e">
        <f>NA()</f>
        <v>#N/A</v>
      </c>
      <c r="I1448" t="e">
        <f>NA()</f>
        <v>#N/A</v>
      </c>
      <c r="J1448" t="e">
        <f>NA()</f>
        <v>#N/A</v>
      </c>
      <c r="K1448" t="e">
        <f>NA()</f>
        <v>#N/A</v>
      </c>
      <c r="L1448" t="e">
        <f>NA()</f>
        <v>#N/A</v>
      </c>
      <c r="M1448" t="e">
        <f>NA()</f>
        <v>#N/A</v>
      </c>
      <c r="N1448" t="e">
        <f>NA()</f>
        <v>#N/A</v>
      </c>
      <c r="O1448">
        <f>0.2</f>
        <v>0.2</v>
      </c>
    </row>
    <row r="1449" spans="1:15" x14ac:dyDescent="0.25">
      <c r="A1449" s="1">
        <v>43908</v>
      </c>
      <c r="B1449" t="e">
        <f>NA()</f>
        <v>#N/A</v>
      </c>
      <c r="C1449" t="e">
        <f>NA()</f>
        <v>#N/A</v>
      </c>
      <c r="D1449" t="e">
        <f>NA()</f>
        <v>#N/A</v>
      </c>
      <c r="E1449" t="e">
        <f>NA()</f>
        <v>#N/A</v>
      </c>
      <c r="F1449" t="e">
        <f>NA()</f>
        <v>#N/A</v>
      </c>
      <c r="G1449" t="e">
        <f>NA()</f>
        <v>#N/A</v>
      </c>
      <c r="H1449" t="e">
        <f>NA()</f>
        <v>#N/A</v>
      </c>
      <c r="I1449" t="e">
        <f>NA()</f>
        <v>#N/A</v>
      </c>
      <c r="J1449" t="e">
        <f>NA()</f>
        <v>#N/A</v>
      </c>
      <c r="K1449" t="e">
        <f>NA()</f>
        <v>#N/A</v>
      </c>
      <c r="L1449" t="e">
        <f>NA()</f>
        <v>#N/A</v>
      </c>
      <c r="M1449" t="e">
        <f>NA()</f>
        <v>#N/A</v>
      </c>
      <c r="N1449" t="e">
        <f>NA()</f>
        <v>#N/A</v>
      </c>
      <c r="O1449">
        <f>0.3</f>
        <v>0.3</v>
      </c>
    </row>
    <row r="1450" spans="1:15" x14ac:dyDescent="0.25">
      <c r="A1450" s="1">
        <v>43907</v>
      </c>
      <c r="B1450" t="e">
        <f>NA()</f>
        <v>#N/A</v>
      </c>
      <c r="C1450" t="e">
        <f>NA()</f>
        <v>#N/A</v>
      </c>
      <c r="D1450" t="e">
        <f>NA()</f>
        <v>#N/A</v>
      </c>
      <c r="E1450" t="e">
        <f>NA()</f>
        <v>#N/A</v>
      </c>
      <c r="F1450" t="e">
        <f>NA()</f>
        <v>#N/A</v>
      </c>
      <c r="G1450" t="e">
        <f>NA()</f>
        <v>#N/A</v>
      </c>
      <c r="H1450" t="e">
        <f>NA()</f>
        <v>#N/A</v>
      </c>
      <c r="I1450" t="e">
        <f>NA()</f>
        <v>#N/A</v>
      </c>
      <c r="J1450" t="e">
        <f>NA()</f>
        <v>#N/A</v>
      </c>
      <c r="K1450" t="e">
        <f>NA()</f>
        <v>#N/A</v>
      </c>
      <c r="L1450" t="e">
        <f>NA()</f>
        <v>#N/A</v>
      </c>
      <c r="M1450" t="e">
        <f>NA()</f>
        <v>#N/A</v>
      </c>
      <c r="N1450" t="e">
        <f>NA()</f>
        <v>#N/A</v>
      </c>
      <c r="O1450">
        <f>0.3</f>
        <v>0.3</v>
      </c>
    </row>
    <row r="1451" spans="1:15" x14ac:dyDescent="0.25">
      <c r="A1451" s="1">
        <v>43906</v>
      </c>
      <c r="B1451" t="e">
        <f>NA()</f>
        <v>#N/A</v>
      </c>
      <c r="C1451" t="e">
        <f>NA()</f>
        <v>#N/A</v>
      </c>
      <c r="D1451" t="e">
        <f>NA()</f>
        <v>#N/A</v>
      </c>
      <c r="E1451" t="e">
        <f>NA()</f>
        <v>#N/A</v>
      </c>
      <c r="F1451" t="e">
        <f>NA()</f>
        <v>#N/A</v>
      </c>
      <c r="G1451" t="e">
        <f>NA()</f>
        <v>#N/A</v>
      </c>
      <c r="H1451" t="e">
        <f>NA()</f>
        <v>#N/A</v>
      </c>
      <c r="I1451" t="e">
        <f>NA()</f>
        <v>#N/A</v>
      </c>
      <c r="J1451" t="e">
        <f>NA()</f>
        <v>#N/A</v>
      </c>
      <c r="K1451" t="e">
        <f>NA()</f>
        <v>#N/A</v>
      </c>
      <c r="L1451" t="e">
        <f>NA()</f>
        <v>#N/A</v>
      </c>
      <c r="M1451" t="e">
        <f>NA()</f>
        <v>#N/A</v>
      </c>
      <c r="N1451" t="e">
        <f>NA()</f>
        <v>#N/A</v>
      </c>
      <c r="O1451">
        <f>0.3</f>
        <v>0.3</v>
      </c>
    </row>
    <row r="1452" spans="1:15" x14ac:dyDescent="0.25">
      <c r="A1452" s="1">
        <v>43903</v>
      </c>
      <c r="B1452">
        <f>3.5</f>
        <v>3.5</v>
      </c>
      <c r="C1452">
        <f>0</f>
        <v>0</v>
      </c>
      <c r="D1452" t="e">
        <f>NA()</f>
        <v>#N/A</v>
      </c>
      <c r="E1452" t="e">
        <f>NA()</f>
        <v>#N/A</v>
      </c>
      <c r="F1452" t="e">
        <f>NA()</f>
        <v>#N/A</v>
      </c>
      <c r="G1452" t="e">
        <f>NA()</f>
        <v>#N/A</v>
      </c>
      <c r="H1452" t="e">
        <f>NA()</f>
        <v>#N/A</v>
      </c>
      <c r="I1452" t="e">
        <f>NA()</f>
        <v>#N/A</v>
      </c>
      <c r="J1452" t="e">
        <f>NA()</f>
        <v>#N/A</v>
      </c>
      <c r="K1452" t="e">
        <f>NA()</f>
        <v>#N/A</v>
      </c>
      <c r="L1452" t="e">
        <f>NA()</f>
        <v>#N/A</v>
      </c>
      <c r="M1452" t="e">
        <f>NA()</f>
        <v>#N/A</v>
      </c>
      <c r="N1452" t="e">
        <f>NA()</f>
        <v>#N/A</v>
      </c>
      <c r="O1452">
        <f t="shared" ref="O1452:O1459" si="51">1.1</f>
        <v>1.1000000000000001</v>
      </c>
    </row>
    <row r="1453" spans="1:15" x14ac:dyDescent="0.25">
      <c r="A1453" s="1">
        <v>43902</v>
      </c>
      <c r="B1453" t="e">
        <f>NA()</f>
        <v>#N/A</v>
      </c>
      <c r="C1453" t="e">
        <f>NA()</f>
        <v>#N/A</v>
      </c>
      <c r="D1453" t="e">
        <f>NA()</f>
        <v>#N/A</v>
      </c>
      <c r="E1453" t="e">
        <f>NA()</f>
        <v>#N/A</v>
      </c>
      <c r="F1453" t="e">
        <f>NA()</f>
        <v>#N/A</v>
      </c>
      <c r="G1453" t="e">
        <f>NA()</f>
        <v>#N/A</v>
      </c>
      <c r="H1453" t="e">
        <f>NA()</f>
        <v>#N/A</v>
      </c>
      <c r="I1453" t="e">
        <f>NA()</f>
        <v>#N/A</v>
      </c>
      <c r="J1453" t="e">
        <f>NA()</f>
        <v>#N/A</v>
      </c>
      <c r="K1453" t="e">
        <f>NA()</f>
        <v>#N/A</v>
      </c>
      <c r="L1453" t="e">
        <f>NA()</f>
        <v>#N/A</v>
      </c>
      <c r="M1453" t="e">
        <f>NA()</f>
        <v>#N/A</v>
      </c>
      <c r="N1453" t="e">
        <f>NA()</f>
        <v>#N/A</v>
      </c>
      <c r="O1453">
        <f t="shared" si="51"/>
        <v>1.1000000000000001</v>
      </c>
    </row>
    <row r="1454" spans="1:15" x14ac:dyDescent="0.25">
      <c r="A1454" s="1">
        <v>43901</v>
      </c>
      <c r="B1454" t="e">
        <f>NA()</f>
        <v>#N/A</v>
      </c>
      <c r="C1454" t="e">
        <f>NA()</f>
        <v>#N/A</v>
      </c>
      <c r="D1454" t="e">
        <f>NA()</f>
        <v>#N/A</v>
      </c>
      <c r="E1454" t="e">
        <f>NA()</f>
        <v>#N/A</v>
      </c>
      <c r="F1454" t="e">
        <f>NA()</f>
        <v>#N/A</v>
      </c>
      <c r="G1454" t="e">
        <f>NA()</f>
        <v>#N/A</v>
      </c>
      <c r="H1454" t="e">
        <f>NA()</f>
        <v>#N/A</v>
      </c>
      <c r="I1454" t="e">
        <f>NA()</f>
        <v>#N/A</v>
      </c>
      <c r="J1454" t="e">
        <f>NA()</f>
        <v>#N/A</v>
      </c>
      <c r="K1454" t="e">
        <f>NA()</f>
        <v>#N/A</v>
      </c>
      <c r="L1454" t="e">
        <f>NA()</f>
        <v>#N/A</v>
      </c>
      <c r="M1454" t="e">
        <f>NA()</f>
        <v>#N/A</v>
      </c>
      <c r="N1454" t="e">
        <f>NA()</f>
        <v>#N/A</v>
      </c>
      <c r="O1454">
        <f t="shared" si="51"/>
        <v>1.1000000000000001</v>
      </c>
    </row>
    <row r="1455" spans="1:15" x14ac:dyDescent="0.25">
      <c r="A1455" s="1">
        <v>43900</v>
      </c>
      <c r="B1455" t="e">
        <f>NA()</f>
        <v>#N/A</v>
      </c>
      <c r="C1455" t="e">
        <f>NA()</f>
        <v>#N/A</v>
      </c>
      <c r="D1455" t="e">
        <f>NA()</f>
        <v>#N/A</v>
      </c>
      <c r="E1455" t="e">
        <f>NA()</f>
        <v>#N/A</v>
      </c>
      <c r="F1455" t="e">
        <f>NA()</f>
        <v>#N/A</v>
      </c>
      <c r="G1455" t="e">
        <f>NA()</f>
        <v>#N/A</v>
      </c>
      <c r="H1455" t="e">
        <f>NA()</f>
        <v>#N/A</v>
      </c>
      <c r="I1455" t="e">
        <f>NA()</f>
        <v>#N/A</v>
      </c>
      <c r="J1455" t="e">
        <f>NA()</f>
        <v>#N/A</v>
      </c>
      <c r="K1455" t="e">
        <f>NA()</f>
        <v>#N/A</v>
      </c>
      <c r="L1455" t="e">
        <f>NA()</f>
        <v>#N/A</v>
      </c>
      <c r="M1455" t="e">
        <f>NA()</f>
        <v>#N/A</v>
      </c>
      <c r="N1455" t="e">
        <f>NA()</f>
        <v>#N/A</v>
      </c>
      <c r="O1455">
        <f t="shared" si="51"/>
        <v>1.1000000000000001</v>
      </c>
    </row>
    <row r="1456" spans="1:15" x14ac:dyDescent="0.25">
      <c r="A1456" s="1">
        <v>43899</v>
      </c>
      <c r="B1456" t="e">
        <f>NA()</f>
        <v>#N/A</v>
      </c>
      <c r="C1456" t="e">
        <f>NA()</f>
        <v>#N/A</v>
      </c>
      <c r="D1456" t="e">
        <f>NA()</f>
        <v>#N/A</v>
      </c>
      <c r="E1456" t="e">
        <f>NA()</f>
        <v>#N/A</v>
      </c>
      <c r="F1456" t="e">
        <f>NA()</f>
        <v>#N/A</v>
      </c>
      <c r="G1456" t="e">
        <f>NA()</f>
        <v>#N/A</v>
      </c>
      <c r="H1456" t="e">
        <f>NA()</f>
        <v>#N/A</v>
      </c>
      <c r="I1456" t="e">
        <f>NA()</f>
        <v>#N/A</v>
      </c>
      <c r="J1456" t="e">
        <f>NA()</f>
        <v>#N/A</v>
      </c>
      <c r="K1456" t="e">
        <f>NA()</f>
        <v>#N/A</v>
      </c>
      <c r="L1456" t="e">
        <f>NA()</f>
        <v>#N/A</v>
      </c>
      <c r="M1456" t="e">
        <f>NA()</f>
        <v>#N/A</v>
      </c>
      <c r="N1456" t="e">
        <f>NA()</f>
        <v>#N/A</v>
      </c>
      <c r="O1456">
        <f t="shared" si="51"/>
        <v>1.1000000000000001</v>
      </c>
    </row>
    <row r="1457" spans="1:15" x14ac:dyDescent="0.25">
      <c r="A1457" s="1">
        <v>43896</v>
      </c>
      <c r="B1457">
        <f>1.3</f>
        <v>1.3</v>
      </c>
      <c r="C1457">
        <f>0</f>
        <v>0</v>
      </c>
      <c r="D1457" t="e">
        <f>NA()</f>
        <v>#N/A</v>
      </c>
      <c r="E1457" t="e">
        <f>NA()</f>
        <v>#N/A</v>
      </c>
      <c r="F1457" t="e">
        <f>NA()</f>
        <v>#N/A</v>
      </c>
      <c r="G1457" t="e">
        <f>NA()</f>
        <v>#N/A</v>
      </c>
      <c r="H1457" t="e">
        <f>NA()</f>
        <v>#N/A</v>
      </c>
      <c r="I1457" t="e">
        <f>NA()</f>
        <v>#N/A</v>
      </c>
      <c r="J1457" t="e">
        <f>NA()</f>
        <v>#N/A</v>
      </c>
      <c r="K1457" t="e">
        <f>NA()</f>
        <v>#N/A</v>
      </c>
      <c r="L1457" t="e">
        <f>NA()</f>
        <v>#N/A</v>
      </c>
      <c r="M1457" t="e">
        <f>NA()</f>
        <v>#N/A</v>
      </c>
      <c r="N1457" t="e">
        <f>NA()</f>
        <v>#N/A</v>
      </c>
      <c r="O1457">
        <f t="shared" si="51"/>
        <v>1.1000000000000001</v>
      </c>
    </row>
    <row r="1458" spans="1:15" x14ac:dyDescent="0.25">
      <c r="A1458" s="1">
        <v>43895</v>
      </c>
      <c r="B1458" t="e">
        <f>NA()</f>
        <v>#N/A</v>
      </c>
      <c r="C1458" t="e">
        <f>NA()</f>
        <v>#N/A</v>
      </c>
      <c r="D1458" t="e">
        <f>NA()</f>
        <v>#N/A</v>
      </c>
      <c r="E1458" t="e">
        <f>NA()</f>
        <v>#N/A</v>
      </c>
      <c r="F1458" t="e">
        <f>NA()</f>
        <v>#N/A</v>
      </c>
      <c r="G1458" t="e">
        <f>NA()</f>
        <v>#N/A</v>
      </c>
      <c r="H1458" t="e">
        <f>NA()</f>
        <v>#N/A</v>
      </c>
      <c r="I1458" t="e">
        <f>NA()</f>
        <v>#N/A</v>
      </c>
      <c r="J1458" t="e">
        <f>NA()</f>
        <v>#N/A</v>
      </c>
      <c r="K1458" t="e">
        <f>NA()</f>
        <v>#N/A</v>
      </c>
      <c r="L1458" t="e">
        <f>NA()</f>
        <v>#N/A</v>
      </c>
      <c r="M1458" t="e">
        <f>NA()</f>
        <v>#N/A</v>
      </c>
      <c r="N1458" t="e">
        <f>NA()</f>
        <v>#N/A</v>
      </c>
      <c r="O1458">
        <f t="shared" si="51"/>
        <v>1.1000000000000001</v>
      </c>
    </row>
    <row r="1459" spans="1:15" x14ac:dyDescent="0.25">
      <c r="A1459" s="1">
        <v>43894</v>
      </c>
      <c r="B1459" t="e">
        <f>NA()</f>
        <v>#N/A</v>
      </c>
      <c r="C1459" t="e">
        <f>NA()</f>
        <v>#N/A</v>
      </c>
      <c r="D1459" t="e">
        <f>NA()</f>
        <v>#N/A</v>
      </c>
      <c r="E1459" t="e">
        <f>NA()</f>
        <v>#N/A</v>
      </c>
      <c r="F1459" t="e">
        <f>NA()</f>
        <v>#N/A</v>
      </c>
      <c r="G1459" t="e">
        <f>NA()</f>
        <v>#N/A</v>
      </c>
      <c r="H1459" t="e">
        <f>NA()</f>
        <v>#N/A</v>
      </c>
      <c r="I1459" t="e">
        <f>NA()</f>
        <v>#N/A</v>
      </c>
      <c r="J1459" t="e">
        <f>NA()</f>
        <v>#N/A</v>
      </c>
      <c r="K1459" t="e">
        <f>NA()</f>
        <v>#N/A</v>
      </c>
      <c r="L1459" t="e">
        <f>NA()</f>
        <v>#N/A</v>
      </c>
      <c r="M1459" t="e">
        <f>NA()</f>
        <v>#N/A</v>
      </c>
      <c r="N1459" t="e">
        <f>NA()</f>
        <v>#N/A</v>
      </c>
      <c r="O1459">
        <f t="shared" si="51"/>
        <v>1.1000000000000001</v>
      </c>
    </row>
    <row r="1460" spans="1:15" x14ac:dyDescent="0.25">
      <c r="A1460" s="1">
        <v>43893</v>
      </c>
      <c r="B1460" t="e">
        <f>NA()</f>
        <v>#N/A</v>
      </c>
      <c r="C1460" t="e">
        <f>NA()</f>
        <v>#N/A</v>
      </c>
      <c r="D1460" t="e">
        <f>NA()</f>
        <v>#N/A</v>
      </c>
      <c r="E1460" t="e">
        <f>NA()</f>
        <v>#N/A</v>
      </c>
      <c r="F1460" t="e">
        <f>NA()</f>
        <v>#N/A</v>
      </c>
      <c r="G1460" t="e">
        <f>NA()</f>
        <v>#N/A</v>
      </c>
      <c r="H1460" t="e">
        <f>NA()</f>
        <v>#N/A</v>
      </c>
      <c r="I1460" t="e">
        <f>NA()</f>
        <v>#N/A</v>
      </c>
      <c r="J1460" t="e">
        <f>NA()</f>
        <v>#N/A</v>
      </c>
      <c r="K1460" t="e">
        <f>NA()</f>
        <v>#N/A</v>
      </c>
      <c r="L1460" t="e">
        <f>NA()</f>
        <v>#N/A</v>
      </c>
      <c r="M1460" t="e">
        <f>NA()</f>
        <v>#N/A</v>
      </c>
      <c r="N1460" t="e">
        <f>NA()</f>
        <v>#N/A</v>
      </c>
      <c r="O1460">
        <f>1.6</f>
        <v>1.6</v>
      </c>
    </row>
    <row r="1461" spans="1:15" x14ac:dyDescent="0.25">
      <c r="A1461" s="1">
        <v>43892</v>
      </c>
      <c r="B1461" t="e">
        <f>NA()</f>
        <v>#N/A</v>
      </c>
      <c r="C1461" t="e">
        <f>NA()</f>
        <v>#N/A</v>
      </c>
      <c r="D1461" t="e">
        <f>NA()</f>
        <v>#N/A</v>
      </c>
      <c r="E1461" t="e">
        <f>NA()</f>
        <v>#N/A</v>
      </c>
      <c r="F1461" t="e">
        <f>NA()</f>
        <v>#N/A</v>
      </c>
      <c r="G1461" t="e">
        <f>NA()</f>
        <v>#N/A</v>
      </c>
      <c r="H1461" t="e">
        <f>NA()</f>
        <v>#N/A</v>
      </c>
      <c r="I1461" t="e">
        <f>NA()</f>
        <v>#N/A</v>
      </c>
      <c r="J1461" t="e">
        <f>NA()</f>
        <v>#N/A</v>
      </c>
      <c r="K1461" t="e">
        <f>NA()</f>
        <v>#N/A</v>
      </c>
      <c r="L1461" t="e">
        <f>NA()</f>
        <v>#N/A</v>
      </c>
      <c r="M1461" t="e">
        <f>NA()</f>
        <v>#N/A</v>
      </c>
      <c r="N1461" t="e">
        <f>NA()</f>
        <v>#N/A</v>
      </c>
      <c r="O1461">
        <f>1.6</f>
        <v>1.6</v>
      </c>
    </row>
    <row r="1462" spans="1:15" x14ac:dyDescent="0.25">
      <c r="A1462" s="1">
        <v>43890</v>
      </c>
      <c r="B1462" t="e">
        <f>NA()</f>
        <v>#N/A</v>
      </c>
      <c r="C1462" t="e">
        <f>NA()</f>
        <v>#N/A</v>
      </c>
      <c r="D1462">
        <f>0.4</f>
        <v>0.4</v>
      </c>
      <c r="E1462">
        <f>0.7</f>
        <v>0.7</v>
      </c>
      <c r="F1462">
        <f>6966</f>
        <v>6966</v>
      </c>
      <c r="G1462">
        <f>63.3</f>
        <v>63.3</v>
      </c>
      <c r="H1462">
        <f>5</f>
        <v>5</v>
      </c>
      <c r="I1462">
        <f>258.7</f>
        <v>258.7</v>
      </c>
      <c r="J1462">
        <f>2.3</f>
        <v>2.2999999999999998</v>
      </c>
      <c r="K1462">
        <f>50.1</f>
        <v>50.1</v>
      </c>
      <c r="L1462">
        <f>0.3</f>
        <v>0.3</v>
      </c>
      <c r="M1462" t="e">
        <f>NA()</f>
        <v>#N/A</v>
      </c>
      <c r="N1462">
        <f>3.5</f>
        <v>3.5</v>
      </c>
      <c r="O1462" t="e">
        <f>NA()</f>
        <v>#N/A</v>
      </c>
    </row>
    <row r="1463" spans="1:15" x14ac:dyDescent="0.25">
      <c r="A1463" s="1">
        <v>43889</v>
      </c>
      <c r="B1463">
        <f>0.6</f>
        <v>0.6</v>
      </c>
      <c r="C1463">
        <f>0</f>
        <v>0</v>
      </c>
      <c r="D1463" t="e">
        <f>NA()</f>
        <v>#N/A</v>
      </c>
      <c r="E1463" t="e">
        <f>NA()</f>
        <v>#N/A</v>
      </c>
      <c r="F1463" t="e">
        <f>NA()</f>
        <v>#N/A</v>
      </c>
      <c r="G1463" t="e">
        <f>NA()</f>
        <v>#N/A</v>
      </c>
      <c r="H1463" t="e">
        <f>NA()</f>
        <v>#N/A</v>
      </c>
      <c r="I1463" t="e">
        <f>NA()</f>
        <v>#N/A</v>
      </c>
      <c r="J1463" t="e">
        <f>NA()</f>
        <v>#N/A</v>
      </c>
      <c r="K1463" t="e">
        <f>NA()</f>
        <v>#N/A</v>
      </c>
      <c r="L1463" t="e">
        <f>NA()</f>
        <v>#N/A</v>
      </c>
      <c r="M1463" t="e">
        <f>NA()</f>
        <v>#N/A</v>
      </c>
      <c r="N1463" t="e">
        <f>NA()</f>
        <v>#N/A</v>
      </c>
      <c r="O1463">
        <f t="shared" ref="O1463:O1491" si="52">1.6</f>
        <v>1.6</v>
      </c>
    </row>
    <row r="1464" spans="1:15" x14ac:dyDescent="0.25">
      <c r="A1464" s="1">
        <v>43888</v>
      </c>
      <c r="B1464" t="e">
        <f>NA()</f>
        <v>#N/A</v>
      </c>
      <c r="C1464" t="e">
        <f>NA()</f>
        <v>#N/A</v>
      </c>
      <c r="D1464" t="e">
        <f>NA()</f>
        <v>#N/A</v>
      </c>
      <c r="E1464" t="e">
        <f>NA()</f>
        <v>#N/A</v>
      </c>
      <c r="F1464" t="e">
        <f>NA()</f>
        <v>#N/A</v>
      </c>
      <c r="G1464" t="e">
        <f>NA()</f>
        <v>#N/A</v>
      </c>
      <c r="H1464" t="e">
        <f>NA()</f>
        <v>#N/A</v>
      </c>
      <c r="I1464" t="e">
        <f>NA()</f>
        <v>#N/A</v>
      </c>
      <c r="J1464" t="e">
        <f>NA()</f>
        <v>#N/A</v>
      </c>
      <c r="K1464" t="e">
        <f>NA()</f>
        <v>#N/A</v>
      </c>
      <c r="L1464" t="e">
        <f>NA()</f>
        <v>#N/A</v>
      </c>
      <c r="M1464" t="e">
        <f>NA()</f>
        <v>#N/A</v>
      </c>
      <c r="N1464" t="e">
        <f>NA()</f>
        <v>#N/A</v>
      </c>
      <c r="O1464">
        <f t="shared" si="52"/>
        <v>1.6</v>
      </c>
    </row>
    <row r="1465" spans="1:15" x14ac:dyDescent="0.25">
      <c r="A1465" s="1">
        <v>43887</v>
      </c>
      <c r="B1465" t="e">
        <f>NA()</f>
        <v>#N/A</v>
      </c>
      <c r="C1465" t="e">
        <f>NA()</f>
        <v>#N/A</v>
      </c>
      <c r="D1465" t="e">
        <f>NA()</f>
        <v>#N/A</v>
      </c>
      <c r="E1465" t="e">
        <f>NA()</f>
        <v>#N/A</v>
      </c>
      <c r="F1465" t="e">
        <f>NA()</f>
        <v>#N/A</v>
      </c>
      <c r="G1465" t="e">
        <f>NA()</f>
        <v>#N/A</v>
      </c>
      <c r="H1465" t="e">
        <f>NA()</f>
        <v>#N/A</v>
      </c>
      <c r="I1465" t="e">
        <f>NA()</f>
        <v>#N/A</v>
      </c>
      <c r="J1465" t="e">
        <f>NA()</f>
        <v>#N/A</v>
      </c>
      <c r="K1465" t="e">
        <f>NA()</f>
        <v>#N/A</v>
      </c>
      <c r="L1465" t="e">
        <f>NA()</f>
        <v>#N/A</v>
      </c>
      <c r="M1465" t="e">
        <f>NA()</f>
        <v>#N/A</v>
      </c>
      <c r="N1465" t="e">
        <f>NA()</f>
        <v>#N/A</v>
      </c>
      <c r="O1465">
        <f t="shared" si="52"/>
        <v>1.6</v>
      </c>
    </row>
    <row r="1466" spans="1:15" x14ac:dyDescent="0.25">
      <c r="A1466" s="1">
        <v>43886</v>
      </c>
      <c r="B1466" t="e">
        <f>NA()</f>
        <v>#N/A</v>
      </c>
      <c r="C1466" t="e">
        <f>NA()</f>
        <v>#N/A</v>
      </c>
      <c r="D1466" t="e">
        <f>NA()</f>
        <v>#N/A</v>
      </c>
      <c r="E1466" t="e">
        <f>NA()</f>
        <v>#N/A</v>
      </c>
      <c r="F1466" t="e">
        <f>NA()</f>
        <v>#N/A</v>
      </c>
      <c r="G1466" t="e">
        <f>NA()</f>
        <v>#N/A</v>
      </c>
      <c r="H1466" t="e">
        <f>NA()</f>
        <v>#N/A</v>
      </c>
      <c r="I1466" t="e">
        <f>NA()</f>
        <v>#N/A</v>
      </c>
      <c r="J1466" t="e">
        <f>NA()</f>
        <v>#N/A</v>
      </c>
      <c r="K1466" t="e">
        <f>NA()</f>
        <v>#N/A</v>
      </c>
      <c r="L1466" t="e">
        <f>NA()</f>
        <v>#N/A</v>
      </c>
      <c r="M1466" t="e">
        <f>NA()</f>
        <v>#N/A</v>
      </c>
      <c r="N1466" t="e">
        <f>NA()</f>
        <v>#N/A</v>
      </c>
      <c r="O1466">
        <f t="shared" si="52"/>
        <v>1.6</v>
      </c>
    </row>
    <row r="1467" spans="1:15" x14ac:dyDescent="0.25">
      <c r="A1467" s="1">
        <v>43885</v>
      </c>
      <c r="B1467" t="e">
        <f>NA()</f>
        <v>#N/A</v>
      </c>
      <c r="C1467" t="e">
        <f>NA()</f>
        <v>#N/A</v>
      </c>
      <c r="D1467" t="e">
        <f>NA()</f>
        <v>#N/A</v>
      </c>
      <c r="E1467" t="e">
        <f>NA()</f>
        <v>#N/A</v>
      </c>
      <c r="F1467" t="e">
        <f>NA()</f>
        <v>#N/A</v>
      </c>
      <c r="G1467" t="e">
        <f>NA()</f>
        <v>#N/A</v>
      </c>
      <c r="H1467" t="e">
        <f>NA()</f>
        <v>#N/A</v>
      </c>
      <c r="I1467" t="e">
        <f>NA()</f>
        <v>#N/A</v>
      </c>
      <c r="J1467" t="e">
        <f>NA()</f>
        <v>#N/A</v>
      </c>
      <c r="K1467" t="e">
        <f>NA()</f>
        <v>#N/A</v>
      </c>
      <c r="L1467" t="e">
        <f>NA()</f>
        <v>#N/A</v>
      </c>
      <c r="M1467" t="e">
        <f>NA()</f>
        <v>#N/A</v>
      </c>
      <c r="N1467" t="e">
        <f>NA()</f>
        <v>#N/A</v>
      </c>
      <c r="O1467">
        <f t="shared" si="52"/>
        <v>1.6</v>
      </c>
    </row>
    <row r="1468" spans="1:15" x14ac:dyDescent="0.25">
      <c r="A1468" s="1">
        <v>43882</v>
      </c>
      <c r="B1468">
        <f>-0.5</f>
        <v>-0.5</v>
      </c>
      <c r="C1468">
        <f>0</f>
        <v>0</v>
      </c>
      <c r="D1468" t="e">
        <f>NA()</f>
        <v>#N/A</v>
      </c>
      <c r="E1468" t="e">
        <f>NA()</f>
        <v>#N/A</v>
      </c>
      <c r="F1468" t="e">
        <f>NA()</f>
        <v>#N/A</v>
      </c>
      <c r="G1468" t="e">
        <f>NA()</f>
        <v>#N/A</v>
      </c>
      <c r="H1468" t="e">
        <f>NA()</f>
        <v>#N/A</v>
      </c>
      <c r="I1468" t="e">
        <f>NA()</f>
        <v>#N/A</v>
      </c>
      <c r="J1468" t="e">
        <f>NA()</f>
        <v>#N/A</v>
      </c>
      <c r="K1468" t="e">
        <f>NA()</f>
        <v>#N/A</v>
      </c>
      <c r="L1468" t="e">
        <f>NA()</f>
        <v>#N/A</v>
      </c>
      <c r="M1468" t="e">
        <f>NA()</f>
        <v>#N/A</v>
      </c>
      <c r="N1468" t="e">
        <f>NA()</f>
        <v>#N/A</v>
      </c>
      <c r="O1468">
        <f t="shared" si="52"/>
        <v>1.6</v>
      </c>
    </row>
    <row r="1469" spans="1:15" x14ac:dyDescent="0.25">
      <c r="A1469" s="1">
        <v>43881</v>
      </c>
      <c r="B1469" t="e">
        <f>NA()</f>
        <v>#N/A</v>
      </c>
      <c r="C1469" t="e">
        <f>NA()</f>
        <v>#N/A</v>
      </c>
      <c r="D1469" t="e">
        <f>NA()</f>
        <v>#N/A</v>
      </c>
      <c r="E1469" t="e">
        <f>NA()</f>
        <v>#N/A</v>
      </c>
      <c r="F1469" t="e">
        <f>NA()</f>
        <v>#N/A</v>
      </c>
      <c r="G1469" t="e">
        <f>NA()</f>
        <v>#N/A</v>
      </c>
      <c r="H1469" t="e">
        <f>NA()</f>
        <v>#N/A</v>
      </c>
      <c r="I1469" t="e">
        <f>NA()</f>
        <v>#N/A</v>
      </c>
      <c r="J1469" t="e">
        <f>NA()</f>
        <v>#N/A</v>
      </c>
      <c r="K1469" t="e">
        <f>NA()</f>
        <v>#N/A</v>
      </c>
      <c r="L1469" t="e">
        <f>NA()</f>
        <v>#N/A</v>
      </c>
      <c r="M1469" t="e">
        <f>NA()</f>
        <v>#N/A</v>
      </c>
      <c r="N1469" t="e">
        <f>NA()</f>
        <v>#N/A</v>
      </c>
      <c r="O1469">
        <f t="shared" si="52"/>
        <v>1.6</v>
      </c>
    </row>
    <row r="1470" spans="1:15" x14ac:dyDescent="0.25">
      <c r="A1470" s="1">
        <v>43880</v>
      </c>
      <c r="B1470" t="e">
        <f>NA()</f>
        <v>#N/A</v>
      </c>
      <c r="C1470" t="e">
        <f>NA()</f>
        <v>#N/A</v>
      </c>
      <c r="D1470" t="e">
        <f>NA()</f>
        <v>#N/A</v>
      </c>
      <c r="E1470" t="e">
        <f>NA()</f>
        <v>#N/A</v>
      </c>
      <c r="F1470" t="e">
        <f>NA()</f>
        <v>#N/A</v>
      </c>
      <c r="G1470" t="e">
        <f>NA()</f>
        <v>#N/A</v>
      </c>
      <c r="H1470" t="e">
        <f>NA()</f>
        <v>#N/A</v>
      </c>
      <c r="I1470" t="e">
        <f>NA()</f>
        <v>#N/A</v>
      </c>
      <c r="J1470" t="e">
        <f>NA()</f>
        <v>#N/A</v>
      </c>
      <c r="K1470" t="e">
        <f>NA()</f>
        <v>#N/A</v>
      </c>
      <c r="L1470" t="e">
        <f>NA()</f>
        <v>#N/A</v>
      </c>
      <c r="M1470" t="e">
        <f>NA()</f>
        <v>#N/A</v>
      </c>
      <c r="N1470" t="e">
        <f>NA()</f>
        <v>#N/A</v>
      </c>
      <c r="O1470">
        <f t="shared" si="52"/>
        <v>1.6</v>
      </c>
    </row>
    <row r="1471" spans="1:15" x14ac:dyDescent="0.25">
      <c r="A1471" s="1">
        <v>43879</v>
      </c>
      <c r="B1471" t="e">
        <f>NA()</f>
        <v>#N/A</v>
      </c>
      <c r="C1471" t="e">
        <f>NA()</f>
        <v>#N/A</v>
      </c>
      <c r="D1471" t="e">
        <f>NA()</f>
        <v>#N/A</v>
      </c>
      <c r="E1471" t="e">
        <f>NA()</f>
        <v>#N/A</v>
      </c>
      <c r="F1471" t="e">
        <f>NA()</f>
        <v>#N/A</v>
      </c>
      <c r="G1471" t="e">
        <f>NA()</f>
        <v>#N/A</v>
      </c>
      <c r="H1471" t="e">
        <f>NA()</f>
        <v>#N/A</v>
      </c>
      <c r="I1471" t="e">
        <f>NA()</f>
        <v>#N/A</v>
      </c>
      <c r="J1471" t="e">
        <f>NA()</f>
        <v>#N/A</v>
      </c>
      <c r="K1471" t="e">
        <f>NA()</f>
        <v>#N/A</v>
      </c>
      <c r="L1471" t="e">
        <f>NA()</f>
        <v>#N/A</v>
      </c>
      <c r="M1471" t="e">
        <f>NA()</f>
        <v>#N/A</v>
      </c>
      <c r="N1471" t="e">
        <f>NA()</f>
        <v>#N/A</v>
      </c>
      <c r="O1471">
        <f t="shared" si="52"/>
        <v>1.6</v>
      </c>
    </row>
    <row r="1472" spans="1:15" x14ac:dyDescent="0.25">
      <c r="A1472" s="1">
        <v>43875</v>
      </c>
      <c r="B1472">
        <f>-0.6</f>
        <v>-0.6</v>
      </c>
      <c r="C1472">
        <f>0</f>
        <v>0</v>
      </c>
      <c r="D1472" t="e">
        <f>NA()</f>
        <v>#N/A</v>
      </c>
      <c r="E1472" t="e">
        <f>NA()</f>
        <v>#N/A</v>
      </c>
      <c r="F1472" t="e">
        <f>NA()</f>
        <v>#N/A</v>
      </c>
      <c r="G1472" t="e">
        <f>NA()</f>
        <v>#N/A</v>
      </c>
      <c r="H1472" t="e">
        <f>NA()</f>
        <v>#N/A</v>
      </c>
      <c r="I1472" t="e">
        <f>NA()</f>
        <v>#N/A</v>
      </c>
      <c r="J1472" t="e">
        <f>NA()</f>
        <v>#N/A</v>
      </c>
      <c r="K1472" t="e">
        <f>NA()</f>
        <v>#N/A</v>
      </c>
      <c r="L1472" t="e">
        <f>NA()</f>
        <v>#N/A</v>
      </c>
      <c r="M1472" t="e">
        <f>NA()</f>
        <v>#N/A</v>
      </c>
      <c r="N1472" t="e">
        <f>NA()</f>
        <v>#N/A</v>
      </c>
      <c r="O1472">
        <f t="shared" si="52"/>
        <v>1.6</v>
      </c>
    </row>
    <row r="1473" spans="1:15" x14ac:dyDescent="0.25">
      <c r="A1473" s="1">
        <v>43874</v>
      </c>
      <c r="B1473" t="e">
        <f>NA()</f>
        <v>#N/A</v>
      </c>
      <c r="C1473" t="e">
        <f>NA()</f>
        <v>#N/A</v>
      </c>
      <c r="D1473" t="e">
        <f>NA()</f>
        <v>#N/A</v>
      </c>
      <c r="E1473" t="e">
        <f>NA()</f>
        <v>#N/A</v>
      </c>
      <c r="F1473" t="e">
        <f>NA()</f>
        <v>#N/A</v>
      </c>
      <c r="G1473" t="e">
        <f>NA()</f>
        <v>#N/A</v>
      </c>
      <c r="H1473" t="e">
        <f>NA()</f>
        <v>#N/A</v>
      </c>
      <c r="I1473" t="e">
        <f>NA()</f>
        <v>#N/A</v>
      </c>
      <c r="J1473" t="e">
        <f>NA()</f>
        <v>#N/A</v>
      </c>
      <c r="K1473" t="e">
        <f>NA()</f>
        <v>#N/A</v>
      </c>
      <c r="L1473" t="e">
        <f>NA()</f>
        <v>#N/A</v>
      </c>
      <c r="M1473" t="e">
        <f>NA()</f>
        <v>#N/A</v>
      </c>
      <c r="N1473" t="e">
        <f>NA()</f>
        <v>#N/A</v>
      </c>
      <c r="O1473">
        <f t="shared" si="52"/>
        <v>1.6</v>
      </c>
    </row>
    <row r="1474" spans="1:15" x14ac:dyDescent="0.25">
      <c r="A1474" s="1">
        <v>43873</v>
      </c>
      <c r="B1474" t="e">
        <f>NA()</f>
        <v>#N/A</v>
      </c>
      <c r="C1474" t="e">
        <f>NA()</f>
        <v>#N/A</v>
      </c>
      <c r="D1474" t="e">
        <f>NA()</f>
        <v>#N/A</v>
      </c>
      <c r="E1474" t="e">
        <f>NA()</f>
        <v>#N/A</v>
      </c>
      <c r="F1474" t="e">
        <f>NA()</f>
        <v>#N/A</v>
      </c>
      <c r="G1474" t="e">
        <f>NA()</f>
        <v>#N/A</v>
      </c>
      <c r="H1474" t="e">
        <f>NA()</f>
        <v>#N/A</v>
      </c>
      <c r="I1474" t="e">
        <f>NA()</f>
        <v>#N/A</v>
      </c>
      <c r="J1474" t="e">
        <f>NA()</f>
        <v>#N/A</v>
      </c>
      <c r="K1474" t="e">
        <f>NA()</f>
        <v>#N/A</v>
      </c>
      <c r="L1474" t="e">
        <f>NA()</f>
        <v>#N/A</v>
      </c>
      <c r="M1474" t="e">
        <f>NA()</f>
        <v>#N/A</v>
      </c>
      <c r="N1474" t="e">
        <f>NA()</f>
        <v>#N/A</v>
      </c>
      <c r="O1474">
        <f t="shared" si="52"/>
        <v>1.6</v>
      </c>
    </row>
    <row r="1475" spans="1:15" x14ac:dyDescent="0.25">
      <c r="A1475" s="1">
        <v>43872</v>
      </c>
      <c r="B1475" t="e">
        <f>NA()</f>
        <v>#N/A</v>
      </c>
      <c r="C1475" t="e">
        <f>NA()</f>
        <v>#N/A</v>
      </c>
      <c r="D1475" t="e">
        <f>NA()</f>
        <v>#N/A</v>
      </c>
      <c r="E1475" t="e">
        <f>NA()</f>
        <v>#N/A</v>
      </c>
      <c r="F1475" t="e">
        <f>NA()</f>
        <v>#N/A</v>
      </c>
      <c r="G1475" t="e">
        <f>NA()</f>
        <v>#N/A</v>
      </c>
      <c r="H1475" t="e">
        <f>NA()</f>
        <v>#N/A</v>
      </c>
      <c r="I1475" t="e">
        <f>NA()</f>
        <v>#N/A</v>
      </c>
      <c r="J1475" t="e">
        <f>NA()</f>
        <v>#N/A</v>
      </c>
      <c r="K1475" t="e">
        <f>NA()</f>
        <v>#N/A</v>
      </c>
      <c r="L1475" t="e">
        <f>NA()</f>
        <v>#N/A</v>
      </c>
      <c r="M1475" t="e">
        <f>NA()</f>
        <v>#N/A</v>
      </c>
      <c r="N1475" t="e">
        <f>NA()</f>
        <v>#N/A</v>
      </c>
      <c r="O1475">
        <f t="shared" si="52"/>
        <v>1.6</v>
      </c>
    </row>
    <row r="1476" spans="1:15" x14ac:dyDescent="0.25">
      <c r="A1476" s="1">
        <v>43871</v>
      </c>
      <c r="B1476" t="e">
        <f>NA()</f>
        <v>#N/A</v>
      </c>
      <c r="C1476" t="e">
        <f>NA()</f>
        <v>#N/A</v>
      </c>
      <c r="D1476" t="e">
        <f>NA()</f>
        <v>#N/A</v>
      </c>
      <c r="E1476" t="e">
        <f>NA()</f>
        <v>#N/A</v>
      </c>
      <c r="F1476" t="e">
        <f>NA()</f>
        <v>#N/A</v>
      </c>
      <c r="G1476" t="e">
        <f>NA()</f>
        <v>#N/A</v>
      </c>
      <c r="H1476" t="e">
        <f>NA()</f>
        <v>#N/A</v>
      </c>
      <c r="I1476" t="e">
        <f>NA()</f>
        <v>#N/A</v>
      </c>
      <c r="J1476" t="e">
        <f>NA()</f>
        <v>#N/A</v>
      </c>
      <c r="K1476" t="e">
        <f>NA()</f>
        <v>#N/A</v>
      </c>
      <c r="L1476" t="e">
        <f>NA()</f>
        <v>#N/A</v>
      </c>
      <c r="M1476" t="e">
        <f>NA()</f>
        <v>#N/A</v>
      </c>
      <c r="N1476" t="e">
        <f>NA()</f>
        <v>#N/A</v>
      </c>
      <c r="O1476">
        <f t="shared" si="52"/>
        <v>1.6</v>
      </c>
    </row>
    <row r="1477" spans="1:15" x14ac:dyDescent="0.25">
      <c r="A1477" s="1">
        <v>43868</v>
      </c>
      <c r="B1477">
        <f>-0.5</f>
        <v>-0.5</v>
      </c>
      <c r="C1477">
        <f>0</f>
        <v>0</v>
      </c>
      <c r="D1477" t="e">
        <f>NA()</f>
        <v>#N/A</v>
      </c>
      <c r="E1477" t="e">
        <f>NA()</f>
        <v>#N/A</v>
      </c>
      <c r="F1477" t="e">
        <f>NA()</f>
        <v>#N/A</v>
      </c>
      <c r="G1477" t="e">
        <f>NA()</f>
        <v>#N/A</v>
      </c>
      <c r="H1477" t="e">
        <f>NA()</f>
        <v>#N/A</v>
      </c>
      <c r="I1477" t="e">
        <f>NA()</f>
        <v>#N/A</v>
      </c>
      <c r="J1477" t="e">
        <f>NA()</f>
        <v>#N/A</v>
      </c>
      <c r="K1477" t="e">
        <f>NA()</f>
        <v>#N/A</v>
      </c>
      <c r="L1477" t="e">
        <f>NA()</f>
        <v>#N/A</v>
      </c>
      <c r="M1477" t="e">
        <f>NA()</f>
        <v>#N/A</v>
      </c>
      <c r="N1477" t="e">
        <f>NA()</f>
        <v>#N/A</v>
      </c>
      <c r="O1477">
        <f t="shared" si="52"/>
        <v>1.6</v>
      </c>
    </row>
    <row r="1478" spans="1:15" x14ac:dyDescent="0.25">
      <c r="A1478" s="1">
        <v>43867</v>
      </c>
      <c r="B1478" t="e">
        <f>NA()</f>
        <v>#N/A</v>
      </c>
      <c r="C1478" t="e">
        <f>NA()</f>
        <v>#N/A</v>
      </c>
      <c r="D1478" t="e">
        <f>NA()</f>
        <v>#N/A</v>
      </c>
      <c r="E1478" t="e">
        <f>NA()</f>
        <v>#N/A</v>
      </c>
      <c r="F1478" t="e">
        <f>NA()</f>
        <v>#N/A</v>
      </c>
      <c r="G1478" t="e">
        <f>NA()</f>
        <v>#N/A</v>
      </c>
      <c r="H1478" t="e">
        <f>NA()</f>
        <v>#N/A</v>
      </c>
      <c r="I1478" t="e">
        <f>NA()</f>
        <v>#N/A</v>
      </c>
      <c r="J1478" t="e">
        <f>NA()</f>
        <v>#N/A</v>
      </c>
      <c r="K1478" t="e">
        <f>NA()</f>
        <v>#N/A</v>
      </c>
      <c r="L1478" t="e">
        <f>NA()</f>
        <v>#N/A</v>
      </c>
      <c r="M1478" t="e">
        <f>NA()</f>
        <v>#N/A</v>
      </c>
      <c r="N1478" t="e">
        <f>NA()</f>
        <v>#N/A</v>
      </c>
      <c r="O1478">
        <f t="shared" si="52"/>
        <v>1.6</v>
      </c>
    </row>
    <row r="1479" spans="1:15" x14ac:dyDescent="0.25">
      <c r="A1479" s="1">
        <v>43866</v>
      </c>
      <c r="B1479" t="e">
        <f>NA()</f>
        <v>#N/A</v>
      </c>
      <c r="C1479" t="e">
        <f>NA()</f>
        <v>#N/A</v>
      </c>
      <c r="D1479" t="e">
        <f>NA()</f>
        <v>#N/A</v>
      </c>
      <c r="E1479" t="e">
        <f>NA()</f>
        <v>#N/A</v>
      </c>
      <c r="F1479" t="e">
        <f>NA()</f>
        <v>#N/A</v>
      </c>
      <c r="G1479" t="e">
        <f>NA()</f>
        <v>#N/A</v>
      </c>
      <c r="H1479" t="e">
        <f>NA()</f>
        <v>#N/A</v>
      </c>
      <c r="I1479" t="e">
        <f>NA()</f>
        <v>#N/A</v>
      </c>
      <c r="J1479" t="e">
        <f>NA()</f>
        <v>#N/A</v>
      </c>
      <c r="K1479" t="e">
        <f>NA()</f>
        <v>#N/A</v>
      </c>
      <c r="L1479" t="e">
        <f>NA()</f>
        <v>#N/A</v>
      </c>
      <c r="M1479" t="e">
        <f>NA()</f>
        <v>#N/A</v>
      </c>
      <c r="N1479" t="e">
        <f>NA()</f>
        <v>#N/A</v>
      </c>
      <c r="O1479">
        <f t="shared" si="52"/>
        <v>1.6</v>
      </c>
    </row>
    <row r="1480" spans="1:15" x14ac:dyDescent="0.25">
      <c r="A1480" s="1">
        <v>43865</v>
      </c>
      <c r="B1480" t="e">
        <f>NA()</f>
        <v>#N/A</v>
      </c>
      <c r="C1480" t="e">
        <f>NA()</f>
        <v>#N/A</v>
      </c>
      <c r="D1480" t="e">
        <f>NA()</f>
        <v>#N/A</v>
      </c>
      <c r="E1480" t="e">
        <f>NA()</f>
        <v>#N/A</v>
      </c>
      <c r="F1480" t="e">
        <f>NA()</f>
        <v>#N/A</v>
      </c>
      <c r="G1480" t="e">
        <f>NA()</f>
        <v>#N/A</v>
      </c>
      <c r="H1480" t="e">
        <f>NA()</f>
        <v>#N/A</v>
      </c>
      <c r="I1480" t="e">
        <f>NA()</f>
        <v>#N/A</v>
      </c>
      <c r="J1480" t="e">
        <f>NA()</f>
        <v>#N/A</v>
      </c>
      <c r="K1480" t="e">
        <f>NA()</f>
        <v>#N/A</v>
      </c>
      <c r="L1480" t="e">
        <f>NA()</f>
        <v>#N/A</v>
      </c>
      <c r="M1480" t="e">
        <f>NA()</f>
        <v>#N/A</v>
      </c>
      <c r="N1480" t="e">
        <f>NA()</f>
        <v>#N/A</v>
      </c>
      <c r="O1480">
        <f t="shared" si="52"/>
        <v>1.6</v>
      </c>
    </row>
    <row r="1481" spans="1:15" x14ac:dyDescent="0.25">
      <c r="A1481" s="1">
        <v>43864</v>
      </c>
      <c r="B1481" t="e">
        <f>NA()</f>
        <v>#N/A</v>
      </c>
      <c r="C1481" t="e">
        <f>NA()</f>
        <v>#N/A</v>
      </c>
      <c r="D1481" t="e">
        <f>NA()</f>
        <v>#N/A</v>
      </c>
      <c r="E1481" t="e">
        <f>NA()</f>
        <v>#N/A</v>
      </c>
      <c r="F1481" t="e">
        <f>NA()</f>
        <v>#N/A</v>
      </c>
      <c r="G1481" t="e">
        <f>NA()</f>
        <v>#N/A</v>
      </c>
      <c r="H1481" t="e">
        <f>NA()</f>
        <v>#N/A</v>
      </c>
      <c r="I1481" t="e">
        <f>NA()</f>
        <v>#N/A</v>
      </c>
      <c r="J1481" t="e">
        <f>NA()</f>
        <v>#N/A</v>
      </c>
      <c r="K1481" t="e">
        <f>NA()</f>
        <v>#N/A</v>
      </c>
      <c r="L1481" t="e">
        <f>NA()</f>
        <v>#N/A</v>
      </c>
      <c r="M1481" t="e">
        <f>NA()</f>
        <v>#N/A</v>
      </c>
      <c r="N1481" t="e">
        <f>NA()</f>
        <v>#N/A</v>
      </c>
      <c r="O1481">
        <f t="shared" si="52"/>
        <v>1.6</v>
      </c>
    </row>
    <row r="1482" spans="1:15" x14ac:dyDescent="0.25">
      <c r="A1482" s="1">
        <v>43861</v>
      </c>
      <c r="B1482">
        <f>-0.1</f>
        <v>-0.1</v>
      </c>
      <c r="C1482">
        <f>0</f>
        <v>0</v>
      </c>
      <c r="D1482">
        <f>0.2</f>
        <v>0.2</v>
      </c>
      <c r="E1482">
        <f>0.5</f>
        <v>0.5</v>
      </c>
      <c r="F1482">
        <f>7124</f>
        <v>7124</v>
      </c>
      <c r="G1482">
        <f>63.3</f>
        <v>63.3</v>
      </c>
      <c r="H1482">
        <f>5.6</f>
        <v>5.6</v>
      </c>
      <c r="I1482">
        <f>258</f>
        <v>258</v>
      </c>
      <c r="J1482">
        <f>2.5</f>
        <v>2.5</v>
      </c>
      <c r="K1482">
        <f>51.4</f>
        <v>51.4</v>
      </c>
      <c r="L1482">
        <f>-0.6</f>
        <v>-0.6</v>
      </c>
      <c r="M1482" t="e">
        <f>NA()</f>
        <v>#N/A</v>
      </c>
      <c r="N1482">
        <f>3.6</f>
        <v>3.6</v>
      </c>
      <c r="O1482">
        <f t="shared" si="52"/>
        <v>1.6</v>
      </c>
    </row>
    <row r="1483" spans="1:15" x14ac:dyDescent="0.25">
      <c r="A1483" s="1">
        <v>43860</v>
      </c>
      <c r="B1483" t="e">
        <f>NA()</f>
        <v>#N/A</v>
      </c>
      <c r="C1483" t="e">
        <f>NA()</f>
        <v>#N/A</v>
      </c>
      <c r="D1483" t="e">
        <f>NA()</f>
        <v>#N/A</v>
      </c>
      <c r="E1483" t="e">
        <f>NA()</f>
        <v>#N/A</v>
      </c>
      <c r="F1483" t="e">
        <f>NA()</f>
        <v>#N/A</v>
      </c>
      <c r="G1483" t="e">
        <f>NA()</f>
        <v>#N/A</v>
      </c>
      <c r="H1483" t="e">
        <f>NA()</f>
        <v>#N/A</v>
      </c>
      <c r="I1483" t="e">
        <f>NA()</f>
        <v>#N/A</v>
      </c>
      <c r="J1483" t="e">
        <f>NA()</f>
        <v>#N/A</v>
      </c>
      <c r="K1483" t="e">
        <f>NA()</f>
        <v>#N/A</v>
      </c>
      <c r="L1483" t="e">
        <f>NA()</f>
        <v>#N/A</v>
      </c>
      <c r="M1483" t="e">
        <f>NA()</f>
        <v>#N/A</v>
      </c>
      <c r="N1483" t="e">
        <f>NA()</f>
        <v>#N/A</v>
      </c>
      <c r="O1483">
        <f t="shared" si="52"/>
        <v>1.6</v>
      </c>
    </row>
    <row r="1484" spans="1:15" x14ac:dyDescent="0.25">
      <c r="A1484" s="1">
        <v>43859</v>
      </c>
      <c r="B1484" t="e">
        <f>NA()</f>
        <v>#N/A</v>
      </c>
      <c r="C1484" t="e">
        <f>NA()</f>
        <v>#N/A</v>
      </c>
      <c r="D1484" t="e">
        <f>NA()</f>
        <v>#N/A</v>
      </c>
      <c r="E1484" t="e">
        <f>NA()</f>
        <v>#N/A</v>
      </c>
      <c r="F1484" t="e">
        <f>NA()</f>
        <v>#N/A</v>
      </c>
      <c r="G1484" t="e">
        <f>NA()</f>
        <v>#N/A</v>
      </c>
      <c r="H1484" t="e">
        <f>NA()</f>
        <v>#N/A</v>
      </c>
      <c r="I1484" t="e">
        <f>NA()</f>
        <v>#N/A</v>
      </c>
      <c r="J1484" t="e">
        <f>NA()</f>
        <v>#N/A</v>
      </c>
      <c r="K1484" t="e">
        <f>NA()</f>
        <v>#N/A</v>
      </c>
      <c r="L1484" t="e">
        <f>NA()</f>
        <v>#N/A</v>
      </c>
      <c r="M1484" t="e">
        <f>NA()</f>
        <v>#N/A</v>
      </c>
      <c r="N1484" t="e">
        <f>NA()</f>
        <v>#N/A</v>
      </c>
      <c r="O1484">
        <f t="shared" si="52"/>
        <v>1.6</v>
      </c>
    </row>
    <row r="1485" spans="1:15" x14ac:dyDescent="0.25">
      <c r="A1485" s="1">
        <v>43858</v>
      </c>
      <c r="B1485" t="e">
        <f>NA()</f>
        <v>#N/A</v>
      </c>
      <c r="C1485" t="e">
        <f>NA()</f>
        <v>#N/A</v>
      </c>
      <c r="D1485" t="e">
        <f>NA()</f>
        <v>#N/A</v>
      </c>
      <c r="E1485" t="e">
        <f>NA()</f>
        <v>#N/A</v>
      </c>
      <c r="F1485" t="e">
        <f>NA()</f>
        <v>#N/A</v>
      </c>
      <c r="G1485" t="e">
        <f>NA()</f>
        <v>#N/A</v>
      </c>
      <c r="H1485" t="e">
        <f>NA()</f>
        <v>#N/A</v>
      </c>
      <c r="I1485" t="e">
        <f>NA()</f>
        <v>#N/A</v>
      </c>
      <c r="J1485" t="e">
        <f>NA()</f>
        <v>#N/A</v>
      </c>
      <c r="K1485" t="e">
        <f>NA()</f>
        <v>#N/A</v>
      </c>
      <c r="L1485" t="e">
        <f>NA()</f>
        <v>#N/A</v>
      </c>
      <c r="M1485" t="e">
        <f>NA()</f>
        <v>#N/A</v>
      </c>
      <c r="N1485" t="e">
        <f>NA()</f>
        <v>#N/A</v>
      </c>
      <c r="O1485">
        <f t="shared" si="52"/>
        <v>1.6</v>
      </c>
    </row>
    <row r="1486" spans="1:15" x14ac:dyDescent="0.25">
      <c r="A1486" s="1">
        <v>43857</v>
      </c>
      <c r="B1486" t="e">
        <f>NA()</f>
        <v>#N/A</v>
      </c>
      <c r="C1486" t="e">
        <f>NA()</f>
        <v>#N/A</v>
      </c>
      <c r="D1486" t="e">
        <f>NA()</f>
        <v>#N/A</v>
      </c>
      <c r="E1486" t="e">
        <f>NA()</f>
        <v>#N/A</v>
      </c>
      <c r="F1486" t="e">
        <f>NA()</f>
        <v>#N/A</v>
      </c>
      <c r="G1486" t="e">
        <f>NA()</f>
        <v>#N/A</v>
      </c>
      <c r="H1486" t="e">
        <f>NA()</f>
        <v>#N/A</v>
      </c>
      <c r="I1486" t="e">
        <f>NA()</f>
        <v>#N/A</v>
      </c>
      <c r="J1486" t="e">
        <f>NA()</f>
        <v>#N/A</v>
      </c>
      <c r="K1486" t="e">
        <f>NA()</f>
        <v>#N/A</v>
      </c>
      <c r="L1486" t="e">
        <f>NA()</f>
        <v>#N/A</v>
      </c>
      <c r="M1486" t="e">
        <f>NA()</f>
        <v>#N/A</v>
      </c>
      <c r="N1486" t="e">
        <f>NA()</f>
        <v>#N/A</v>
      </c>
      <c r="O1486">
        <f t="shared" si="52"/>
        <v>1.6</v>
      </c>
    </row>
    <row r="1487" spans="1:15" x14ac:dyDescent="0.25">
      <c r="A1487" s="1">
        <v>43854</v>
      </c>
      <c r="B1487">
        <f>-0.4</f>
        <v>-0.4</v>
      </c>
      <c r="C1487">
        <f>0</f>
        <v>0</v>
      </c>
      <c r="D1487" t="e">
        <f>NA()</f>
        <v>#N/A</v>
      </c>
      <c r="E1487" t="e">
        <f>NA()</f>
        <v>#N/A</v>
      </c>
      <c r="F1487" t="e">
        <f>NA()</f>
        <v>#N/A</v>
      </c>
      <c r="G1487" t="e">
        <f>NA()</f>
        <v>#N/A</v>
      </c>
      <c r="H1487" t="e">
        <f>NA()</f>
        <v>#N/A</v>
      </c>
      <c r="I1487" t="e">
        <f>NA()</f>
        <v>#N/A</v>
      </c>
      <c r="J1487" t="e">
        <f>NA()</f>
        <v>#N/A</v>
      </c>
      <c r="K1487" t="e">
        <f>NA()</f>
        <v>#N/A</v>
      </c>
      <c r="L1487" t="e">
        <f>NA()</f>
        <v>#N/A</v>
      </c>
      <c r="M1487" t="e">
        <f>NA()</f>
        <v>#N/A</v>
      </c>
      <c r="N1487" t="e">
        <f>NA()</f>
        <v>#N/A</v>
      </c>
      <c r="O1487">
        <f t="shared" si="52"/>
        <v>1.6</v>
      </c>
    </row>
    <row r="1488" spans="1:15" x14ac:dyDescent="0.25">
      <c r="A1488" s="1">
        <v>43853</v>
      </c>
      <c r="B1488" t="e">
        <f>NA()</f>
        <v>#N/A</v>
      </c>
      <c r="C1488" t="e">
        <f>NA()</f>
        <v>#N/A</v>
      </c>
      <c r="D1488" t="e">
        <f>NA()</f>
        <v>#N/A</v>
      </c>
      <c r="E1488" t="e">
        <f>NA()</f>
        <v>#N/A</v>
      </c>
      <c r="F1488" t="e">
        <f>NA()</f>
        <v>#N/A</v>
      </c>
      <c r="G1488" t="e">
        <f>NA()</f>
        <v>#N/A</v>
      </c>
      <c r="H1488" t="e">
        <f>NA()</f>
        <v>#N/A</v>
      </c>
      <c r="I1488" t="e">
        <f>NA()</f>
        <v>#N/A</v>
      </c>
      <c r="J1488" t="e">
        <f>NA()</f>
        <v>#N/A</v>
      </c>
      <c r="K1488" t="e">
        <f>NA()</f>
        <v>#N/A</v>
      </c>
      <c r="L1488" t="e">
        <f>NA()</f>
        <v>#N/A</v>
      </c>
      <c r="M1488" t="e">
        <f>NA()</f>
        <v>#N/A</v>
      </c>
      <c r="N1488" t="e">
        <f>NA()</f>
        <v>#N/A</v>
      </c>
      <c r="O1488">
        <f t="shared" si="52"/>
        <v>1.6</v>
      </c>
    </row>
    <row r="1489" spans="1:15" x14ac:dyDescent="0.25">
      <c r="A1489" s="1">
        <v>43852</v>
      </c>
      <c r="B1489" t="e">
        <f>NA()</f>
        <v>#N/A</v>
      </c>
      <c r="C1489" t="e">
        <f>NA()</f>
        <v>#N/A</v>
      </c>
      <c r="D1489" t="e">
        <f>NA()</f>
        <v>#N/A</v>
      </c>
      <c r="E1489" t="e">
        <f>NA()</f>
        <v>#N/A</v>
      </c>
      <c r="F1489" t="e">
        <f>NA()</f>
        <v>#N/A</v>
      </c>
      <c r="G1489" t="e">
        <f>NA()</f>
        <v>#N/A</v>
      </c>
      <c r="H1489" t="e">
        <f>NA()</f>
        <v>#N/A</v>
      </c>
      <c r="I1489" t="e">
        <f>NA()</f>
        <v>#N/A</v>
      </c>
      <c r="J1489" t="e">
        <f>NA()</f>
        <v>#N/A</v>
      </c>
      <c r="K1489" t="e">
        <f>NA()</f>
        <v>#N/A</v>
      </c>
      <c r="L1489" t="e">
        <f>NA()</f>
        <v>#N/A</v>
      </c>
      <c r="M1489" t="e">
        <f>NA()</f>
        <v>#N/A</v>
      </c>
      <c r="N1489" t="e">
        <f>NA()</f>
        <v>#N/A</v>
      </c>
      <c r="O1489">
        <f t="shared" si="52"/>
        <v>1.6</v>
      </c>
    </row>
    <row r="1490" spans="1:15" x14ac:dyDescent="0.25">
      <c r="A1490" s="1">
        <v>43851</v>
      </c>
      <c r="B1490" t="e">
        <f>NA()</f>
        <v>#N/A</v>
      </c>
      <c r="C1490" t="e">
        <f>NA()</f>
        <v>#N/A</v>
      </c>
      <c r="D1490" t="e">
        <f>NA()</f>
        <v>#N/A</v>
      </c>
      <c r="E1490" t="e">
        <f>NA()</f>
        <v>#N/A</v>
      </c>
      <c r="F1490" t="e">
        <f>NA()</f>
        <v>#N/A</v>
      </c>
      <c r="G1490" t="e">
        <f>NA()</f>
        <v>#N/A</v>
      </c>
      <c r="H1490" t="e">
        <f>NA()</f>
        <v>#N/A</v>
      </c>
      <c r="I1490" t="e">
        <f>NA()</f>
        <v>#N/A</v>
      </c>
      <c r="J1490" t="e">
        <f>NA()</f>
        <v>#N/A</v>
      </c>
      <c r="K1490" t="e">
        <f>NA()</f>
        <v>#N/A</v>
      </c>
      <c r="L1490" t="e">
        <f>NA()</f>
        <v>#N/A</v>
      </c>
      <c r="M1490" t="e">
        <f>NA()</f>
        <v>#N/A</v>
      </c>
      <c r="N1490" t="e">
        <f>NA()</f>
        <v>#N/A</v>
      </c>
      <c r="O1490">
        <f t="shared" si="52"/>
        <v>1.6</v>
      </c>
    </row>
    <row r="1491" spans="1:15" x14ac:dyDescent="0.25">
      <c r="A1491" s="1">
        <v>43847</v>
      </c>
      <c r="B1491">
        <f>-0.5</f>
        <v>-0.5</v>
      </c>
      <c r="C1491">
        <f>0</f>
        <v>0</v>
      </c>
      <c r="D1491" t="e">
        <f>NA()</f>
        <v>#N/A</v>
      </c>
      <c r="E1491" t="e">
        <f>NA()</f>
        <v>#N/A</v>
      </c>
      <c r="F1491" t="e">
        <f>NA()</f>
        <v>#N/A</v>
      </c>
      <c r="G1491" t="e">
        <f>NA()</f>
        <v>#N/A</v>
      </c>
      <c r="H1491" t="e">
        <f>NA()</f>
        <v>#N/A</v>
      </c>
      <c r="I1491" t="e">
        <f>NA()</f>
        <v>#N/A</v>
      </c>
      <c r="J1491" t="e">
        <f>NA()</f>
        <v>#N/A</v>
      </c>
      <c r="K1491" t="e">
        <f>NA()</f>
        <v>#N/A</v>
      </c>
      <c r="L1491" t="e">
        <f>NA()</f>
        <v>#N/A</v>
      </c>
      <c r="M1491" t="e">
        <f>NA()</f>
        <v>#N/A</v>
      </c>
      <c r="N1491" t="e">
        <f>NA()</f>
        <v>#N/A</v>
      </c>
      <c r="O1491">
        <f t="shared" si="52"/>
        <v>1.6</v>
      </c>
    </row>
    <row r="1492" spans="1:15" x14ac:dyDescent="0.25">
      <c r="A1492" s="1">
        <v>43846</v>
      </c>
      <c r="B1492" t="e">
        <f>NA()</f>
        <v>#N/A</v>
      </c>
      <c r="C1492" t="e">
        <f>NA()</f>
        <v>#N/A</v>
      </c>
      <c r="D1492" t="e">
        <f>NA()</f>
        <v>#N/A</v>
      </c>
      <c r="E1492" t="e">
        <f>NA()</f>
        <v>#N/A</v>
      </c>
      <c r="F1492" t="e">
        <f>NA()</f>
        <v>#N/A</v>
      </c>
      <c r="G1492" t="e">
        <f>NA()</f>
        <v>#N/A</v>
      </c>
      <c r="H1492" t="e">
        <f>NA()</f>
        <v>#N/A</v>
      </c>
      <c r="I1492" t="e">
        <f>NA()</f>
        <v>#N/A</v>
      </c>
      <c r="J1492" t="e">
        <f>NA()</f>
        <v>#N/A</v>
      </c>
      <c r="K1492" t="e">
        <f>NA()</f>
        <v>#N/A</v>
      </c>
      <c r="L1492" t="e">
        <f>NA()</f>
        <v>#N/A</v>
      </c>
      <c r="M1492" t="e">
        <f>NA()</f>
        <v>#N/A</v>
      </c>
      <c r="N1492" t="e">
        <f>NA()</f>
        <v>#N/A</v>
      </c>
      <c r="O1492">
        <f>1.5</f>
        <v>1.5</v>
      </c>
    </row>
    <row r="1493" spans="1:15" x14ac:dyDescent="0.25">
      <c r="A1493" s="1">
        <v>43845</v>
      </c>
      <c r="B1493" t="e">
        <f>NA()</f>
        <v>#N/A</v>
      </c>
      <c r="C1493" t="e">
        <f>NA()</f>
        <v>#N/A</v>
      </c>
      <c r="D1493" t="e">
        <f>NA()</f>
        <v>#N/A</v>
      </c>
      <c r="E1493" t="e">
        <f>NA()</f>
        <v>#N/A</v>
      </c>
      <c r="F1493" t="e">
        <f>NA()</f>
        <v>#N/A</v>
      </c>
      <c r="G1493" t="e">
        <f>NA()</f>
        <v>#N/A</v>
      </c>
      <c r="H1493" t="e">
        <f>NA()</f>
        <v>#N/A</v>
      </c>
      <c r="I1493" t="e">
        <f>NA()</f>
        <v>#N/A</v>
      </c>
      <c r="J1493" t="e">
        <f>NA()</f>
        <v>#N/A</v>
      </c>
      <c r="K1493" t="e">
        <f>NA()</f>
        <v>#N/A</v>
      </c>
      <c r="L1493" t="e">
        <f>NA()</f>
        <v>#N/A</v>
      </c>
      <c r="M1493" t="e">
        <f>NA()</f>
        <v>#N/A</v>
      </c>
      <c r="N1493" t="e">
        <f>NA()</f>
        <v>#N/A</v>
      </c>
      <c r="O1493">
        <f>1.5</f>
        <v>1.5</v>
      </c>
    </row>
    <row r="1494" spans="1:15" x14ac:dyDescent="0.25">
      <c r="A1494" s="1">
        <v>43844</v>
      </c>
      <c r="B1494" t="e">
        <f>NA()</f>
        <v>#N/A</v>
      </c>
      <c r="C1494" t="e">
        <f>NA()</f>
        <v>#N/A</v>
      </c>
      <c r="D1494" t="e">
        <f>NA()</f>
        <v>#N/A</v>
      </c>
      <c r="E1494" t="e">
        <f>NA()</f>
        <v>#N/A</v>
      </c>
      <c r="F1494" t="e">
        <f>NA()</f>
        <v>#N/A</v>
      </c>
      <c r="G1494" t="e">
        <f>NA()</f>
        <v>#N/A</v>
      </c>
      <c r="H1494" t="e">
        <f>NA()</f>
        <v>#N/A</v>
      </c>
      <c r="I1494" t="e">
        <f>NA()</f>
        <v>#N/A</v>
      </c>
      <c r="J1494" t="e">
        <f>NA()</f>
        <v>#N/A</v>
      </c>
      <c r="K1494" t="e">
        <f>NA()</f>
        <v>#N/A</v>
      </c>
      <c r="L1494" t="e">
        <f>NA()</f>
        <v>#N/A</v>
      </c>
      <c r="M1494" t="e">
        <f>NA()</f>
        <v>#N/A</v>
      </c>
      <c r="N1494" t="e">
        <f>NA()</f>
        <v>#N/A</v>
      </c>
      <c r="O1494">
        <f>1.5</f>
        <v>1.5</v>
      </c>
    </row>
    <row r="1495" spans="1:15" x14ac:dyDescent="0.25">
      <c r="A1495" s="1">
        <v>43843</v>
      </c>
      <c r="B1495" t="e">
        <f>NA()</f>
        <v>#N/A</v>
      </c>
      <c r="C1495" t="e">
        <f>NA()</f>
        <v>#N/A</v>
      </c>
      <c r="D1495" t="e">
        <f>NA()</f>
        <v>#N/A</v>
      </c>
      <c r="E1495" t="e">
        <f>NA()</f>
        <v>#N/A</v>
      </c>
      <c r="F1495" t="e">
        <f>NA()</f>
        <v>#N/A</v>
      </c>
      <c r="G1495" t="e">
        <f>NA()</f>
        <v>#N/A</v>
      </c>
      <c r="H1495" t="e">
        <f>NA()</f>
        <v>#N/A</v>
      </c>
      <c r="I1495" t="e">
        <f>NA()</f>
        <v>#N/A</v>
      </c>
      <c r="J1495" t="e">
        <f>NA()</f>
        <v>#N/A</v>
      </c>
      <c r="K1495" t="e">
        <f>NA()</f>
        <v>#N/A</v>
      </c>
      <c r="L1495" t="e">
        <f>NA()</f>
        <v>#N/A</v>
      </c>
      <c r="M1495" t="e">
        <f>NA()</f>
        <v>#N/A</v>
      </c>
      <c r="N1495" t="e">
        <f>NA()</f>
        <v>#N/A</v>
      </c>
      <c r="O1495">
        <f>1.5</f>
        <v>1.5</v>
      </c>
    </row>
    <row r="1496" spans="1:15" x14ac:dyDescent="0.25">
      <c r="A1496" s="1">
        <v>43840</v>
      </c>
      <c r="B1496">
        <f>-0.4</f>
        <v>-0.4</v>
      </c>
      <c r="C1496">
        <f>0</f>
        <v>0</v>
      </c>
      <c r="D1496" t="e">
        <f>NA()</f>
        <v>#N/A</v>
      </c>
      <c r="E1496" t="e">
        <f>NA()</f>
        <v>#N/A</v>
      </c>
      <c r="F1496" t="e">
        <f>NA()</f>
        <v>#N/A</v>
      </c>
      <c r="G1496" t="e">
        <f>NA()</f>
        <v>#N/A</v>
      </c>
      <c r="H1496" t="e">
        <f>NA()</f>
        <v>#N/A</v>
      </c>
      <c r="I1496" t="e">
        <f>NA()</f>
        <v>#N/A</v>
      </c>
      <c r="J1496" t="e">
        <f>NA()</f>
        <v>#N/A</v>
      </c>
      <c r="K1496" t="e">
        <f>NA()</f>
        <v>#N/A</v>
      </c>
      <c r="L1496" t="e">
        <f>NA()</f>
        <v>#N/A</v>
      </c>
      <c r="M1496" t="e">
        <f>NA()</f>
        <v>#N/A</v>
      </c>
      <c r="N1496" t="e">
        <f>NA()</f>
        <v>#N/A</v>
      </c>
      <c r="O1496">
        <f>1.5</f>
        <v>1.5</v>
      </c>
    </row>
    <row r="1497" spans="1:15" x14ac:dyDescent="0.25">
      <c r="A1497" s="1">
        <v>43839</v>
      </c>
      <c r="B1497" t="e">
        <f>NA()</f>
        <v>#N/A</v>
      </c>
      <c r="C1497" t="e">
        <f>NA()</f>
        <v>#N/A</v>
      </c>
      <c r="D1497" t="e">
        <f>NA()</f>
        <v>#N/A</v>
      </c>
      <c r="E1497" t="e">
        <f>NA()</f>
        <v>#N/A</v>
      </c>
      <c r="F1497" t="e">
        <f>NA()</f>
        <v>#N/A</v>
      </c>
      <c r="G1497" t="e">
        <f>NA()</f>
        <v>#N/A</v>
      </c>
      <c r="H1497" t="e">
        <f>NA()</f>
        <v>#N/A</v>
      </c>
      <c r="I1497" t="e">
        <f>NA()</f>
        <v>#N/A</v>
      </c>
      <c r="J1497" t="e">
        <f>NA()</f>
        <v>#N/A</v>
      </c>
      <c r="K1497" t="e">
        <f>NA()</f>
        <v>#N/A</v>
      </c>
      <c r="L1497" t="e">
        <f>NA()</f>
        <v>#N/A</v>
      </c>
      <c r="M1497" t="e">
        <f>NA()</f>
        <v>#N/A</v>
      </c>
      <c r="N1497" t="e">
        <f>NA()</f>
        <v>#N/A</v>
      </c>
      <c r="O1497">
        <f t="shared" ref="O1497:O1523" si="53">1.6</f>
        <v>1.6</v>
      </c>
    </row>
    <row r="1498" spans="1:15" x14ac:dyDescent="0.25">
      <c r="A1498" s="1">
        <v>43838</v>
      </c>
      <c r="B1498" t="e">
        <f>NA()</f>
        <v>#N/A</v>
      </c>
      <c r="C1498" t="e">
        <f>NA()</f>
        <v>#N/A</v>
      </c>
      <c r="D1498" t="e">
        <f>NA()</f>
        <v>#N/A</v>
      </c>
      <c r="E1498" t="e">
        <f>NA()</f>
        <v>#N/A</v>
      </c>
      <c r="F1498" t="e">
        <f>NA()</f>
        <v>#N/A</v>
      </c>
      <c r="G1498" t="e">
        <f>NA()</f>
        <v>#N/A</v>
      </c>
      <c r="H1498" t="e">
        <f>NA()</f>
        <v>#N/A</v>
      </c>
      <c r="I1498" t="e">
        <f>NA()</f>
        <v>#N/A</v>
      </c>
      <c r="J1498" t="e">
        <f>NA()</f>
        <v>#N/A</v>
      </c>
      <c r="K1498" t="e">
        <f>NA()</f>
        <v>#N/A</v>
      </c>
      <c r="L1498" t="e">
        <f>NA()</f>
        <v>#N/A</v>
      </c>
      <c r="M1498" t="e">
        <f>NA()</f>
        <v>#N/A</v>
      </c>
      <c r="N1498" t="e">
        <f>NA()</f>
        <v>#N/A</v>
      </c>
      <c r="O1498">
        <f t="shared" si="53"/>
        <v>1.6</v>
      </c>
    </row>
    <row r="1499" spans="1:15" x14ac:dyDescent="0.25">
      <c r="A1499" s="1">
        <v>43837</v>
      </c>
      <c r="B1499" t="e">
        <f>NA()</f>
        <v>#N/A</v>
      </c>
      <c r="C1499" t="e">
        <f>NA()</f>
        <v>#N/A</v>
      </c>
      <c r="D1499" t="e">
        <f>NA()</f>
        <v>#N/A</v>
      </c>
      <c r="E1499" t="e">
        <f>NA()</f>
        <v>#N/A</v>
      </c>
      <c r="F1499" t="e">
        <f>NA()</f>
        <v>#N/A</v>
      </c>
      <c r="G1499" t="e">
        <f>NA()</f>
        <v>#N/A</v>
      </c>
      <c r="H1499" t="e">
        <f>NA()</f>
        <v>#N/A</v>
      </c>
      <c r="I1499" t="e">
        <f>NA()</f>
        <v>#N/A</v>
      </c>
      <c r="J1499" t="e">
        <f>NA()</f>
        <v>#N/A</v>
      </c>
      <c r="K1499" t="e">
        <f>NA()</f>
        <v>#N/A</v>
      </c>
      <c r="L1499" t="e">
        <f>NA()</f>
        <v>#N/A</v>
      </c>
      <c r="M1499" t="e">
        <f>NA()</f>
        <v>#N/A</v>
      </c>
      <c r="N1499" t="e">
        <f>NA()</f>
        <v>#N/A</v>
      </c>
      <c r="O1499">
        <f t="shared" si="53"/>
        <v>1.6</v>
      </c>
    </row>
    <row r="1500" spans="1:15" x14ac:dyDescent="0.25">
      <c r="A1500" s="1">
        <v>43836</v>
      </c>
      <c r="B1500" t="e">
        <f>NA()</f>
        <v>#N/A</v>
      </c>
      <c r="C1500" t="e">
        <f>NA()</f>
        <v>#N/A</v>
      </c>
      <c r="D1500" t="e">
        <f>NA()</f>
        <v>#N/A</v>
      </c>
      <c r="E1500" t="e">
        <f>NA()</f>
        <v>#N/A</v>
      </c>
      <c r="F1500" t="e">
        <f>NA()</f>
        <v>#N/A</v>
      </c>
      <c r="G1500" t="e">
        <f>NA()</f>
        <v>#N/A</v>
      </c>
      <c r="H1500" t="e">
        <f>NA()</f>
        <v>#N/A</v>
      </c>
      <c r="I1500" t="e">
        <f>NA()</f>
        <v>#N/A</v>
      </c>
      <c r="J1500" t="e">
        <f>NA()</f>
        <v>#N/A</v>
      </c>
      <c r="K1500" t="e">
        <f>NA()</f>
        <v>#N/A</v>
      </c>
      <c r="L1500" t="e">
        <f>NA()</f>
        <v>#N/A</v>
      </c>
      <c r="M1500" t="e">
        <f>NA()</f>
        <v>#N/A</v>
      </c>
      <c r="N1500" t="e">
        <f>NA()</f>
        <v>#N/A</v>
      </c>
      <c r="O1500">
        <f t="shared" si="53"/>
        <v>1.6</v>
      </c>
    </row>
    <row r="1501" spans="1:15" x14ac:dyDescent="0.25">
      <c r="A1501" s="1">
        <v>43833</v>
      </c>
      <c r="B1501">
        <f>-0.2</f>
        <v>-0.2</v>
      </c>
      <c r="C1501">
        <f>0</f>
        <v>0</v>
      </c>
      <c r="D1501" t="e">
        <f>NA()</f>
        <v>#N/A</v>
      </c>
      <c r="E1501" t="e">
        <f>NA()</f>
        <v>#N/A</v>
      </c>
      <c r="F1501" t="e">
        <f>NA()</f>
        <v>#N/A</v>
      </c>
      <c r="G1501" t="e">
        <f>NA()</f>
        <v>#N/A</v>
      </c>
      <c r="H1501" t="e">
        <f>NA()</f>
        <v>#N/A</v>
      </c>
      <c r="I1501" t="e">
        <f>NA()</f>
        <v>#N/A</v>
      </c>
      <c r="J1501" t="e">
        <f>NA()</f>
        <v>#N/A</v>
      </c>
      <c r="K1501" t="e">
        <f>NA()</f>
        <v>#N/A</v>
      </c>
      <c r="L1501" t="e">
        <f>NA()</f>
        <v>#N/A</v>
      </c>
      <c r="M1501" t="e">
        <f>NA()</f>
        <v>#N/A</v>
      </c>
      <c r="N1501" t="e">
        <f>NA()</f>
        <v>#N/A</v>
      </c>
      <c r="O1501">
        <f t="shared" si="53"/>
        <v>1.6</v>
      </c>
    </row>
    <row r="1502" spans="1:15" x14ac:dyDescent="0.25">
      <c r="A1502" s="1">
        <v>43832</v>
      </c>
      <c r="B1502" t="e">
        <f>NA()</f>
        <v>#N/A</v>
      </c>
      <c r="C1502" t="e">
        <f>NA()</f>
        <v>#N/A</v>
      </c>
      <c r="D1502" t="e">
        <f>NA()</f>
        <v>#N/A</v>
      </c>
      <c r="E1502" t="e">
        <f>NA()</f>
        <v>#N/A</v>
      </c>
      <c r="F1502" t="e">
        <f>NA()</f>
        <v>#N/A</v>
      </c>
      <c r="G1502" t="e">
        <f>NA()</f>
        <v>#N/A</v>
      </c>
      <c r="H1502" t="e">
        <f>NA()</f>
        <v>#N/A</v>
      </c>
      <c r="I1502" t="e">
        <f>NA()</f>
        <v>#N/A</v>
      </c>
      <c r="J1502" t="e">
        <f>NA()</f>
        <v>#N/A</v>
      </c>
      <c r="K1502" t="e">
        <f>NA()</f>
        <v>#N/A</v>
      </c>
      <c r="L1502" t="e">
        <f>NA()</f>
        <v>#N/A</v>
      </c>
      <c r="M1502" t="e">
        <f>NA()</f>
        <v>#N/A</v>
      </c>
      <c r="N1502" t="e">
        <f>NA()</f>
        <v>#N/A</v>
      </c>
      <c r="O1502">
        <f t="shared" si="53"/>
        <v>1.6</v>
      </c>
    </row>
    <row r="1503" spans="1:15" x14ac:dyDescent="0.25">
      <c r="A1503" s="1">
        <v>43830</v>
      </c>
      <c r="B1503" t="e">
        <f>NA()</f>
        <v>#N/A</v>
      </c>
      <c r="C1503" t="e">
        <f>NA()</f>
        <v>#N/A</v>
      </c>
      <c r="D1503">
        <f>0.1</f>
        <v>0.1</v>
      </c>
      <c r="E1503">
        <f>0.6</f>
        <v>0.6</v>
      </c>
      <c r="F1503">
        <f>6699</f>
        <v>6699</v>
      </c>
      <c r="G1503">
        <f>63.3</f>
        <v>63.3</v>
      </c>
      <c r="H1503">
        <f>5.1</f>
        <v>5.0999999999999996</v>
      </c>
      <c r="I1503">
        <f>257</f>
        <v>257</v>
      </c>
      <c r="J1503">
        <f>2.3</f>
        <v>2.2999999999999998</v>
      </c>
      <c r="K1503">
        <f>47.9</f>
        <v>47.9</v>
      </c>
      <c r="L1503">
        <f>-0.2</f>
        <v>-0.2</v>
      </c>
      <c r="M1503">
        <f>2.8</f>
        <v>2.8</v>
      </c>
      <c r="N1503">
        <f>3.6</f>
        <v>3.6</v>
      </c>
      <c r="O1503">
        <f t="shared" si="53"/>
        <v>1.6</v>
      </c>
    </row>
    <row r="1504" spans="1:15" x14ac:dyDescent="0.25">
      <c r="A1504" s="1">
        <v>43829</v>
      </c>
      <c r="B1504" t="e">
        <f>NA()</f>
        <v>#N/A</v>
      </c>
      <c r="C1504" t="e">
        <f>NA()</f>
        <v>#N/A</v>
      </c>
      <c r="D1504" t="e">
        <f>NA()</f>
        <v>#N/A</v>
      </c>
      <c r="E1504" t="e">
        <f>NA()</f>
        <v>#N/A</v>
      </c>
      <c r="F1504" t="e">
        <f>NA()</f>
        <v>#N/A</v>
      </c>
      <c r="G1504" t="e">
        <f>NA()</f>
        <v>#N/A</v>
      </c>
      <c r="H1504" t="e">
        <f>NA()</f>
        <v>#N/A</v>
      </c>
      <c r="I1504" t="e">
        <f>NA()</f>
        <v>#N/A</v>
      </c>
      <c r="J1504" t="e">
        <f>NA()</f>
        <v>#N/A</v>
      </c>
      <c r="K1504" t="e">
        <f>NA()</f>
        <v>#N/A</v>
      </c>
      <c r="L1504" t="e">
        <f>NA()</f>
        <v>#N/A</v>
      </c>
      <c r="M1504" t="e">
        <f>NA()</f>
        <v>#N/A</v>
      </c>
      <c r="N1504" t="e">
        <f>NA()</f>
        <v>#N/A</v>
      </c>
      <c r="O1504">
        <f t="shared" si="53"/>
        <v>1.6</v>
      </c>
    </row>
    <row r="1505" spans="1:15" x14ac:dyDescent="0.25">
      <c r="A1505" s="1">
        <v>43826</v>
      </c>
      <c r="B1505">
        <f>-0.2</f>
        <v>-0.2</v>
      </c>
      <c r="C1505">
        <f>0</f>
        <v>0</v>
      </c>
      <c r="D1505" t="e">
        <f>NA()</f>
        <v>#N/A</v>
      </c>
      <c r="E1505" t="e">
        <f>NA()</f>
        <v>#N/A</v>
      </c>
      <c r="F1505" t="e">
        <f>NA()</f>
        <v>#N/A</v>
      </c>
      <c r="G1505" t="e">
        <f>NA()</f>
        <v>#N/A</v>
      </c>
      <c r="H1505" t="e">
        <f>NA()</f>
        <v>#N/A</v>
      </c>
      <c r="I1505" t="e">
        <f>NA()</f>
        <v>#N/A</v>
      </c>
      <c r="J1505" t="e">
        <f>NA()</f>
        <v>#N/A</v>
      </c>
      <c r="K1505" t="e">
        <f>NA()</f>
        <v>#N/A</v>
      </c>
      <c r="L1505" t="e">
        <f>NA()</f>
        <v>#N/A</v>
      </c>
      <c r="M1505" t="e">
        <f>NA()</f>
        <v>#N/A</v>
      </c>
      <c r="N1505" t="e">
        <f>NA()</f>
        <v>#N/A</v>
      </c>
      <c r="O1505">
        <f t="shared" si="53"/>
        <v>1.6</v>
      </c>
    </row>
    <row r="1506" spans="1:15" x14ac:dyDescent="0.25">
      <c r="A1506" s="1">
        <v>43825</v>
      </c>
      <c r="B1506" t="e">
        <f>NA()</f>
        <v>#N/A</v>
      </c>
      <c r="C1506" t="e">
        <f>NA()</f>
        <v>#N/A</v>
      </c>
      <c r="D1506" t="e">
        <f>NA()</f>
        <v>#N/A</v>
      </c>
      <c r="E1506" t="e">
        <f>NA()</f>
        <v>#N/A</v>
      </c>
      <c r="F1506" t="e">
        <f>NA()</f>
        <v>#N/A</v>
      </c>
      <c r="G1506" t="e">
        <f>NA()</f>
        <v>#N/A</v>
      </c>
      <c r="H1506" t="e">
        <f>NA()</f>
        <v>#N/A</v>
      </c>
      <c r="I1506" t="e">
        <f>NA()</f>
        <v>#N/A</v>
      </c>
      <c r="J1506" t="e">
        <f>NA()</f>
        <v>#N/A</v>
      </c>
      <c r="K1506" t="e">
        <f>NA()</f>
        <v>#N/A</v>
      </c>
      <c r="L1506" t="e">
        <f>NA()</f>
        <v>#N/A</v>
      </c>
      <c r="M1506" t="e">
        <f>NA()</f>
        <v>#N/A</v>
      </c>
      <c r="N1506" t="e">
        <f>NA()</f>
        <v>#N/A</v>
      </c>
      <c r="O1506">
        <f t="shared" si="53"/>
        <v>1.6</v>
      </c>
    </row>
    <row r="1507" spans="1:15" x14ac:dyDescent="0.25">
      <c r="A1507" s="1">
        <v>43823</v>
      </c>
      <c r="B1507" t="e">
        <f>NA()</f>
        <v>#N/A</v>
      </c>
      <c r="C1507" t="e">
        <f>NA()</f>
        <v>#N/A</v>
      </c>
      <c r="D1507" t="e">
        <f>NA()</f>
        <v>#N/A</v>
      </c>
      <c r="E1507" t="e">
        <f>NA()</f>
        <v>#N/A</v>
      </c>
      <c r="F1507" t="e">
        <f>NA()</f>
        <v>#N/A</v>
      </c>
      <c r="G1507" t="e">
        <f>NA()</f>
        <v>#N/A</v>
      </c>
      <c r="H1507" t="e">
        <f>NA()</f>
        <v>#N/A</v>
      </c>
      <c r="I1507" t="e">
        <f>NA()</f>
        <v>#N/A</v>
      </c>
      <c r="J1507" t="e">
        <f>NA()</f>
        <v>#N/A</v>
      </c>
      <c r="K1507" t="e">
        <f>NA()</f>
        <v>#N/A</v>
      </c>
      <c r="L1507" t="e">
        <f>NA()</f>
        <v>#N/A</v>
      </c>
      <c r="M1507" t="e">
        <f>NA()</f>
        <v>#N/A</v>
      </c>
      <c r="N1507" t="e">
        <f>NA()</f>
        <v>#N/A</v>
      </c>
      <c r="O1507">
        <f t="shared" si="53"/>
        <v>1.6</v>
      </c>
    </row>
    <row r="1508" spans="1:15" x14ac:dyDescent="0.25">
      <c r="A1508" s="1">
        <v>43822</v>
      </c>
      <c r="B1508" t="e">
        <f>NA()</f>
        <v>#N/A</v>
      </c>
      <c r="C1508" t="e">
        <f>NA()</f>
        <v>#N/A</v>
      </c>
      <c r="D1508" t="e">
        <f>NA()</f>
        <v>#N/A</v>
      </c>
      <c r="E1508" t="e">
        <f>NA()</f>
        <v>#N/A</v>
      </c>
      <c r="F1508" t="e">
        <f>NA()</f>
        <v>#N/A</v>
      </c>
      <c r="G1508" t="e">
        <f>NA()</f>
        <v>#N/A</v>
      </c>
      <c r="H1508" t="e">
        <f>NA()</f>
        <v>#N/A</v>
      </c>
      <c r="I1508" t="e">
        <f>NA()</f>
        <v>#N/A</v>
      </c>
      <c r="J1508" t="e">
        <f>NA()</f>
        <v>#N/A</v>
      </c>
      <c r="K1508" t="e">
        <f>NA()</f>
        <v>#N/A</v>
      </c>
      <c r="L1508" t="e">
        <f>NA()</f>
        <v>#N/A</v>
      </c>
      <c r="M1508" t="e">
        <f>NA()</f>
        <v>#N/A</v>
      </c>
      <c r="N1508" t="e">
        <f>NA()</f>
        <v>#N/A</v>
      </c>
      <c r="O1508">
        <f t="shared" si="53"/>
        <v>1.6</v>
      </c>
    </row>
    <row r="1509" spans="1:15" x14ac:dyDescent="0.25">
      <c r="A1509" s="1">
        <v>43819</v>
      </c>
      <c r="B1509">
        <f>-0.4</f>
        <v>-0.4</v>
      </c>
      <c r="C1509">
        <f>0</f>
        <v>0</v>
      </c>
      <c r="D1509" t="e">
        <f>NA()</f>
        <v>#N/A</v>
      </c>
      <c r="E1509" t="e">
        <f>NA()</f>
        <v>#N/A</v>
      </c>
      <c r="F1509" t="e">
        <f>NA()</f>
        <v>#N/A</v>
      </c>
      <c r="G1509" t="e">
        <f>NA()</f>
        <v>#N/A</v>
      </c>
      <c r="H1509" t="e">
        <f>NA()</f>
        <v>#N/A</v>
      </c>
      <c r="I1509" t="e">
        <f>NA()</f>
        <v>#N/A</v>
      </c>
      <c r="J1509" t="e">
        <f>NA()</f>
        <v>#N/A</v>
      </c>
      <c r="K1509" t="e">
        <f>NA()</f>
        <v>#N/A</v>
      </c>
      <c r="L1509" t="e">
        <f>NA()</f>
        <v>#N/A</v>
      </c>
      <c r="M1509" t="e">
        <f>NA()</f>
        <v>#N/A</v>
      </c>
      <c r="N1509" t="e">
        <f>NA()</f>
        <v>#N/A</v>
      </c>
      <c r="O1509">
        <f t="shared" si="53"/>
        <v>1.6</v>
      </c>
    </row>
    <row r="1510" spans="1:15" x14ac:dyDescent="0.25">
      <c r="A1510" s="1">
        <v>43818</v>
      </c>
      <c r="B1510" t="e">
        <f>NA()</f>
        <v>#N/A</v>
      </c>
      <c r="C1510" t="e">
        <f>NA()</f>
        <v>#N/A</v>
      </c>
      <c r="D1510" t="e">
        <f>NA()</f>
        <v>#N/A</v>
      </c>
      <c r="E1510" t="e">
        <f>NA()</f>
        <v>#N/A</v>
      </c>
      <c r="F1510" t="e">
        <f>NA()</f>
        <v>#N/A</v>
      </c>
      <c r="G1510" t="e">
        <f>NA()</f>
        <v>#N/A</v>
      </c>
      <c r="H1510" t="e">
        <f>NA()</f>
        <v>#N/A</v>
      </c>
      <c r="I1510" t="e">
        <f>NA()</f>
        <v>#N/A</v>
      </c>
      <c r="J1510" t="e">
        <f>NA()</f>
        <v>#N/A</v>
      </c>
      <c r="K1510" t="e">
        <f>NA()</f>
        <v>#N/A</v>
      </c>
      <c r="L1510" t="e">
        <f>NA()</f>
        <v>#N/A</v>
      </c>
      <c r="M1510" t="e">
        <f>NA()</f>
        <v>#N/A</v>
      </c>
      <c r="N1510" t="e">
        <f>NA()</f>
        <v>#N/A</v>
      </c>
      <c r="O1510">
        <f t="shared" si="53"/>
        <v>1.6</v>
      </c>
    </row>
    <row r="1511" spans="1:15" x14ac:dyDescent="0.25">
      <c r="A1511" s="1">
        <v>43817</v>
      </c>
      <c r="B1511" t="e">
        <f>NA()</f>
        <v>#N/A</v>
      </c>
      <c r="C1511" t="e">
        <f>NA()</f>
        <v>#N/A</v>
      </c>
      <c r="D1511" t="e">
        <f>NA()</f>
        <v>#N/A</v>
      </c>
      <c r="E1511" t="e">
        <f>NA()</f>
        <v>#N/A</v>
      </c>
      <c r="F1511" t="e">
        <f>NA()</f>
        <v>#N/A</v>
      </c>
      <c r="G1511" t="e">
        <f>NA()</f>
        <v>#N/A</v>
      </c>
      <c r="H1511" t="e">
        <f>NA()</f>
        <v>#N/A</v>
      </c>
      <c r="I1511" t="e">
        <f>NA()</f>
        <v>#N/A</v>
      </c>
      <c r="J1511" t="e">
        <f>NA()</f>
        <v>#N/A</v>
      </c>
      <c r="K1511" t="e">
        <f>NA()</f>
        <v>#N/A</v>
      </c>
      <c r="L1511" t="e">
        <f>NA()</f>
        <v>#N/A</v>
      </c>
      <c r="M1511" t="e">
        <f>NA()</f>
        <v>#N/A</v>
      </c>
      <c r="N1511" t="e">
        <f>NA()</f>
        <v>#N/A</v>
      </c>
      <c r="O1511">
        <f t="shared" si="53"/>
        <v>1.6</v>
      </c>
    </row>
    <row r="1512" spans="1:15" x14ac:dyDescent="0.25">
      <c r="A1512" s="1">
        <v>43816</v>
      </c>
      <c r="B1512" t="e">
        <f>NA()</f>
        <v>#N/A</v>
      </c>
      <c r="C1512" t="e">
        <f>NA()</f>
        <v>#N/A</v>
      </c>
      <c r="D1512" t="e">
        <f>NA()</f>
        <v>#N/A</v>
      </c>
      <c r="E1512" t="e">
        <f>NA()</f>
        <v>#N/A</v>
      </c>
      <c r="F1512" t="e">
        <f>NA()</f>
        <v>#N/A</v>
      </c>
      <c r="G1512" t="e">
        <f>NA()</f>
        <v>#N/A</v>
      </c>
      <c r="H1512" t="e">
        <f>NA()</f>
        <v>#N/A</v>
      </c>
      <c r="I1512" t="e">
        <f>NA()</f>
        <v>#N/A</v>
      </c>
      <c r="J1512" t="e">
        <f>NA()</f>
        <v>#N/A</v>
      </c>
      <c r="K1512" t="e">
        <f>NA()</f>
        <v>#N/A</v>
      </c>
      <c r="L1512" t="e">
        <f>NA()</f>
        <v>#N/A</v>
      </c>
      <c r="M1512" t="e">
        <f>NA()</f>
        <v>#N/A</v>
      </c>
      <c r="N1512" t="e">
        <f>NA()</f>
        <v>#N/A</v>
      </c>
      <c r="O1512">
        <f t="shared" si="53"/>
        <v>1.6</v>
      </c>
    </row>
    <row r="1513" spans="1:15" x14ac:dyDescent="0.25">
      <c r="A1513" s="1">
        <v>43815</v>
      </c>
      <c r="B1513" t="e">
        <f>NA()</f>
        <v>#N/A</v>
      </c>
      <c r="C1513" t="e">
        <f>NA()</f>
        <v>#N/A</v>
      </c>
      <c r="D1513" t="e">
        <f>NA()</f>
        <v>#N/A</v>
      </c>
      <c r="E1513" t="e">
        <f>NA()</f>
        <v>#N/A</v>
      </c>
      <c r="F1513" t="e">
        <f>NA()</f>
        <v>#N/A</v>
      </c>
      <c r="G1513" t="e">
        <f>NA()</f>
        <v>#N/A</v>
      </c>
      <c r="H1513" t="e">
        <f>NA()</f>
        <v>#N/A</v>
      </c>
      <c r="I1513" t="e">
        <f>NA()</f>
        <v>#N/A</v>
      </c>
      <c r="J1513" t="e">
        <f>NA()</f>
        <v>#N/A</v>
      </c>
      <c r="K1513" t="e">
        <f>NA()</f>
        <v>#N/A</v>
      </c>
      <c r="L1513" t="e">
        <f>NA()</f>
        <v>#N/A</v>
      </c>
      <c r="M1513" t="e">
        <f>NA()</f>
        <v>#N/A</v>
      </c>
      <c r="N1513" t="e">
        <f>NA()</f>
        <v>#N/A</v>
      </c>
      <c r="O1513">
        <f t="shared" si="53"/>
        <v>1.6</v>
      </c>
    </row>
    <row r="1514" spans="1:15" x14ac:dyDescent="0.25">
      <c r="A1514" s="1">
        <v>43812</v>
      </c>
      <c r="B1514">
        <f>-0.3</f>
        <v>-0.3</v>
      </c>
      <c r="C1514">
        <f>0</f>
        <v>0</v>
      </c>
      <c r="D1514" t="e">
        <f>NA()</f>
        <v>#N/A</v>
      </c>
      <c r="E1514" t="e">
        <f>NA()</f>
        <v>#N/A</v>
      </c>
      <c r="F1514" t="e">
        <f>NA()</f>
        <v>#N/A</v>
      </c>
      <c r="G1514" t="e">
        <f>NA()</f>
        <v>#N/A</v>
      </c>
      <c r="H1514" t="e">
        <f>NA()</f>
        <v>#N/A</v>
      </c>
      <c r="I1514" t="e">
        <f>NA()</f>
        <v>#N/A</v>
      </c>
      <c r="J1514" t="e">
        <f>NA()</f>
        <v>#N/A</v>
      </c>
      <c r="K1514" t="e">
        <f>NA()</f>
        <v>#N/A</v>
      </c>
      <c r="L1514" t="e">
        <f>NA()</f>
        <v>#N/A</v>
      </c>
      <c r="M1514" t="e">
        <f>NA()</f>
        <v>#N/A</v>
      </c>
      <c r="N1514" t="e">
        <f>NA()</f>
        <v>#N/A</v>
      </c>
      <c r="O1514">
        <f t="shared" si="53"/>
        <v>1.6</v>
      </c>
    </row>
    <row r="1515" spans="1:15" x14ac:dyDescent="0.25">
      <c r="A1515" s="1">
        <v>43811</v>
      </c>
      <c r="B1515" t="e">
        <f>NA()</f>
        <v>#N/A</v>
      </c>
      <c r="C1515" t="e">
        <f>NA()</f>
        <v>#N/A</v>
      </c>
      <c r="D1515" t="e">
        <f>NA()</f>
        <v>#N/A</v>
      </c>
      <c r="E1515" t="e">
        <f>NA()</f>
        <v>#N/A</v>
      </c>
      <c r="F1515" t="e">
        <f>NA()</f>
        <v>#N/A</v>
      </c>
      <c r="G1515" t="e">
        <f>NA()</f>
        <v>#N/A</v>
      </c>
      <c r="H1515" t="e">
        <f>NA()</f>
        <v>#N/A</v>
      </c>
      <c r="I1515" t="e">
        <f>NA()</f>
        <v>#N/A</v>
      </c>
      <c r="J1515" t="e">
        <f>NA()</f>
        <v>#N/A</v>
      </c>
      <c r="K1515" t="e">
        <f>NA()</f>
        <v>#N/A</v>
      </c>
      <c r="L1515" t="e">
        <f>NA()</f>
        <v>#N/A</v>
      </c>
      <c r="M1515" t="e">
        <f>NA()</f>
        <v>#N/A</v>
      </c>
      <c r="N1515" t="e">
        <f>NA()</f>
        <v>#N/A</v>
      </c>
      <c r="O1515">
        <f t="shared" si="53"/>
        <v>1.6</v>
      </c>
    </row>
    <row r="1516" spans="1:15" x14ac:dyDescent="0.25">
      <c r="A1516" s="1">
        <v>43810</v>
      </c>
      <c r="B1516" t="e">
        <f>NA()</f>
        <v>#N/A</v>
      </c>
      <c r="C1516" t="e">
        <f>NA()</f>
        <v>#N/A</v>
      </c>
      <c r="D1516" t="e">
        <f>NA()</f>
        <v>#N/A</v>
      </c>
      <c r="E1516" t="e">
        <f>NA()</f>
        <v>#N/A</v>
      </c>
      <c r="F1516" t="e">
        <f>NA()</f>
        <v>#N/A</v>
      </c>
      <c r="G1516" t="e">
        <f>NA()</f>
        <v>#N/A</v>
      </c>
      <c r="H1516" t="e">
        <f>NA()</f>
        <v>#N/A</v>
      </c>
      <c r="I1516" t="e">
        <f>NA()</f>
        <v>#N/A</v>
      </c>
      <c r="J1516" t="e">
        <f>NA()</f>
        <v>#N/A</v>
      </c>
      <c r="K1516" t="e">
        <f>NA()</f>
        <v>#N/A</v>
      </c>
      <c r="L1516" t="e">
        <f>NA()</f>
        <v>#N/A</v>
      </c>
      <c r="M1516" t="e">
        <f>NA()</f>
        <v>#N/A</v>
      </c>
      <c r="N1516" t="e">
        <f>NA()</f>
        <v>#N/A</v>
      </c>
      <c r="O1516">
        <f t="shared" si="53"/>
        <v>1.6</v>
      </c>
    </row>
    <row r="1517" spans="1:15" x14ac:dyDescent="0.25">
      <c r="A1517" s="1">
        <v>43809</v>
      </c>
      <c r="B1517" t="e">
        <f>NA()</f>
        <v>#N/A</v>
      </c>
      <c r="C1517" t="e">
        <f>NA()</f>
        <v>#N/A</v>
      </c>
      <c r="D1517" t="e">
        <f>NA()</f>
        <v>#N/A</v>
      </c>
      <c r="E1517" t="e">
        <f>NA()</f>
        <v>#N/A</v>
      </c>
      <c r="F1517" t="e">
        <f>NA()</f>
        <v>#N/A</v>
      </c>
      <c r="G1517" t="e">
        <f>NA()</f>
        <v>#N/A</v>
      </c>
      <c r="H1517" t="e">
        <f>NA()</f>
        <v>#N/A</v>
      </c>
      <c r="I1517" t="e">
        <f>NA()</f>
        <v>#N/A</v>
      </c>
      <c r="J1517" t="e">
        <f>NA()</f>
        <v>#N/A</v>
      </c>
      <c r="K1517" t="e">
        <f>NA()</f>
        <v>#N/A</v>
      </c>
      <c r="L1517" t="e">
        <f>NA()</f>
        <v>#N/A</v>
      </c>
      <c r="M1517" t="e">
        <f>NA()</f>
        <v>#N/A</v>
      </c>
      <c r="N1517" t="e">
        <f>NA()</f>
        <v>#N/A</v>
      </c>
      <c r="O1517">
        <f t="shared" si="53"/>
        <v>1.6</v>
      </c>
    </row>
    <row r="1518" spans="1:15" x14ac:dyDescent="0.25">
      <c r="A1518" s="1">
        <v>43808</v>
      </c>
      <c r="B1518" t="e">
        <f>NA()</f>
        <v>#N/A</v>
      </c>
      <c r="C1518" t="e">
        <f>NA()</f>
        <v>#N/A</v>
      </c>
      <c r="D1518" t="e">
        <f>NA()</f>
        <v>#N/A</v>
      </c>
      <c r="E1518" t="e">
        <f>NA()</f>
        <v>#N/A</v>
      </c>
      <c r="F1518" t="e">
        <f>NA()</f>
        <v>#N/A</v>
      </c>
      <c r="G1518" t="e">
        <f>NA()</f>
        <v>#N/A</v>
      </c>
      <c r="H1518" t="e">
        <f>NA()</f>
        <v>#N/A</v>
      </c>
      <c r="I1518" t="e">
        <f>NA()</f>
        <v>#N/A</v>
      </c>
      <c r="J1518" t="e">
        <f>NA()</f>
        <v>#N/A</v>
      </c>
      <c r="K1518" t="e">
        <f>NA()</f>
        <v>#N/A</v>
      </c>
      <c r="L1518" t="e">
        <f>NA()</f>
        <v>#N/A</v>
      </c>
      <c r="M1518" t="e">
        <f>NA()</f>
        <v>#N/A</v>
      </c>
      <c r="N1518" t="e">
        <f>NA()</f>
        <v>#N/A</v>
      </c>
      <c r="O1518">
        <f t="shared" si="53"/>
        <v>1.6</v>
      </c>
    </row>
    <row r="1519" spans="1:15" x14ac:dyDescent="0.25">
      <c r="A1519" s="1">
        <v>43805</v>
      </c>
      <c r="B1519">
        <f>-0.1</f>
        <v>-0.1</v>
      </c>
      <c r="C1519">
        <f>0</f>
        <v>0</v>
      </c>
      <c r="D1519" t="e">
        <f>NA()</f>
        <v>#N/A</v>
      </c>
      <c r="E1519" t="e">
        <f>NA()</f>
        <v>#N/A</v>
      </c>
      <c r="F1519" t="e">
        <f>NA()</f>
        <v>#N/A</v>
      </c>
      <c r="G1519" t="e">
        <f>NA()</f>
        <v>#N/A</v>
      </c>
      <c r="H1519" t="e">
        <f>NA()</f>
        <v>#N/A</v>
      </c>
      <c r="I1519" t="e">
        <f>NA()</f>
        <v>#N/A</v>
      </c>
      <c r="J1519" t="e">
        <f>NA()</f>
        <v>#N/A</v>
      </c>
      <c r="K1519" t="e">
        <f>NA()</f>
        <v>#N/A</v>
      </c>
      <c r="L1519" t="e">
        <f>NA()</f>
        <v>#N/A</v>
      </c>
      <c r="M1519" t="e">
        <f>NA()</f>
        <v>#N/A</v>
      </c>
      <c r="N1519" t="e">
        <f>NA()</f>
        <v>#N/A</v>
      </c>
      <c r="O1519">
        <f t="shared" si="53"/>
        <v>1.6</v>
      </c>
    </row>
    <row r="1520" spans="1:15" x14ac:dyDescent="0.25">
      <c r="A1520" s="1">
        <v>43804</v>
      </c>
      <c r="B1520" t="e">
        <f>NA()</f>
        <v>#N/A</v>
      </c>
      <c r="C1520" t="e">
        <f>NA()</f>
        <v>#N/A</v>
      </c>
      <c r="D1520" t="e">
        <f>NA()</f>
        <v>#N/A</v>
      </c>
      <c r="E1520" t="e">
        <f>NA()</f>
        <v>#N/A</v>
      </c>
      <c r="F1520" t="e">
        <f>NA()</f>
        <v>#N/A</v>
      </c>
      <c r="G1520" t="e">
        <f>NA()</f>
        <v>#N/A</v>
      </c>
      <c r="H1520" t="e">
        <f>NA()</f>
        <v>#N/A</v>
      </c>
      <c r="I1520" t="e">
        <f>NA()</f>
        <v>#N/A</v>
      </c>
      <c r="J1520" t="e">
        <f>NA()</f>
        <v>#N/A</v>
      </c>
      <c r="K1520" t="e">
        <f>NA()</f>
        <v>#N/A</v>
      </c>
      <c r="L1520" t="e">
        <f>NA()</f>
        <v>#N/A</v>
      </c>
      <c r="M1520" t="e">
        <f>NA()</f>
        <v>#N/A</v>
      </c>
      <c r="N1520" t="e">
        <f>NA()</f>
        <v>#N/A</v>
      </c>
      <c r="O1520">
        <f t="shared" si="53"/>
        <v>1.6</v>
      </c>
    </row>
    <row r="1521" spans="1:15" x14ac:dyDescent="0.25">
      <c r="A1521" s="1">
        <v>43803</v>
      </c>
      <c r="B1521" t="e">
        <f>NA()</f>
        <v>#N/A</v>
      </c>
      <c r="C1521" t="e">
        <f>NA()</f>
        <v>#N/A</v>
      </c>
      <c r="D1521" t="e">
        <f>NA()</f>
        <v>#N/A</v>
      </c>
      <c r="E1521" t="e">
        <f>NA()</f>
        <v>#N/A</v>
      </c>
      <c r="F1521" t="e">
        <f>NA()</f>
        <v>#N/A</v>
      </c>
      <c r="G1521" t="e">
        <f>NA()</f>
        <v>#N/A</v>
      </c>
      <c r="H1521" t="e">
        <f>NA()</f>
        <v>#N/A</v>
      </c>
      <c r="I1521" t="e">
        <f>NA()</f>
        <v>#N/A</v>
      </c>
      <c r="J1521" t="e">
        <f>NA()</f>
        <v>#N/A</v>
      </c>
      <c r="K1521" t="e">
        <f>NA()</f>
        <v>#N/A</v>
      </c>
      <c r="L1521" t="e">
        <f>NA()</f>
        <v>#N/A</v>
      </c>
      <c r="M1521" t="e">
        <f>NA()</f>
        <v>#N/A</v>
      </c>
      <c r="N1521" t="e">
        <f>NA()</f>
        <v>#N/A</v>
      </c>
      <c r="O1521">
        <f t="shared" si="53"/>
        <v>1.6</v>
      </c>
    </row>
    <row r="1522" spans="1:15" x14ac:dyDescent="0.25">
      <c r="A1522" s="1">
        <v>43802</v>
      </c>
      <c r="B1522" t="e">
        <f>NA()</f>
        <v>#N/A</v>
      </c>
      <c r="C1522" t="e">
        <f>NA()</f>
        <v>#N/A</v>
      </c>
      <c r="D1522" t="e">
        <f>NA()</f>
        <v>#N/A</v>
      </c>
      <c r="E1522" t="e">
        <f>NA()</f>
        <v>#N/A</v>
      </c>
      <c r="F1522" t="e">
        <f>NA()</f>
        <v>#N/A</v>
      </c>
      <c r="G1522" t="e">
        <f>NA()</f>
        <v>#N/A</v>
      </c>
      <c r="H1522" t="e">
        <f>NA()</f>
        <v>#N/A</v>
      </c>
      <c r="I1522" t="e">
        <f>NA()</f>
        <v>#N/A</v>
      </c>
      <c r="J1522" t="e">
        <f>NA()</f>
        <v>#N/A</v>
      </c>
      <c r="K1522" t="e">
        <f>NA()</f>
        <v>#N/A</v>
      </c>
      <c r="L1522" t="e">
        <f>NA()</f>
        <v>#N/A</v>
      </c>
      <c r="M1522" t="e">
        <f>NA()</f>
        <v>#N/A</v>
      </c>
      <c r="N1522" t="e">
        <f>NA()</f>
        <v>#N/A</v>
      </c>
      <c r="O1522">
        <f t="shared" si="53"/>
        <v>1.6</v>
      </c>
    </row>
    <row r="1523" spans="1:15" x14ac:dyDescent="0.25">
      <c r="A1523" s="1">
        <v>43801</v>
      </c>
      <c r="B1523" t="e">
        <f>NA()</f>
        <v>#N/A</v>
      </c>
      <c r="C1523" t="e">
        <f>NA()</f>
        <v>#N/A</v>
      </c>
      <c r="D1523" t="e">
        <f>NA()</f>
        <v>#N/A</v>
      </c>
      <c r="E1523" t="e">
        <f>NA()</f>
        <v>#N/A</v>
      </c>
      <c r="F1523" t="e">
        <f>NA()</f>
        <v>#N/A</v>
      </c>
      <c r="G1523" t="e">
        <f>NA()</f>
        <v>#N/A</v>
      </c>
      <c r="H1523" t="e">
        <f>NA()</f>
        <v>#N/A</v>
      </c>
      <c r="I1523" t="e">
        <f>NA()</f>
        <v>#N/A</v>
      </c>
      <c r="J1523" t="e">
        <f>NA()</f>
        <v>#N/A</v>
      </c>
      <c r="K1523" t="e">
        <f>NA()</f>
        <v>#N/A</v>
      </c>
      <c r="L1523" t="e">
        <f>NA()</f>
        <v>#N/A</v>
      </c>
      <c r="M1523" t="e">
        <f>NA()</f>
        <v>#N/A</v>
      </c>
      <c r="N1523" t="e">
        <f>NA()</f>
        <v>#N/A</v>
      </c>
      <c r="O1523">
        <f t="shared" si="53"/>
        <v>1.6</v>
      </c>
    </row>
    <row r="1524" spans="1:15" x14ac:dyDescent="0.25">
      <c r="A1524" s="1">
        <v>43799</v>
      </c>
      <c r="B1524" t="e">
        <f>NA()</f>
        <v>#N/A</v>
      </c>
      <c r="C1524" t="e">
        <f>NA()</f>
        <v>#N/A</v>
      </c>
      <c r="D1524">
        <f>0.4</f>
        <v>0.4</v>
      </c>
      <c r="E1524">
        <f>1.2</f>
        <v>1.2</v>
      </c>
      <c r="F1524">
        <f>6888</f>
        <v>6888</v>
      </c>
      <c r="G1524">
        <f>63.3</f>
        <v>63.3</v>
      </c>
      <c r="H1524">
        <f>3.9</f>
        <v>3.9</v>
      </c>
      <c r="I1524">
        <f>257.2</f>
        <v>257.2</v>
      </c>
      <c r="J1524">
        <f>2.1</f>
        <v>2.1</v>
      </c>
      <c r="K1524">
        <f>48.1</f>
        <v>48.1</v>
      </c>
      <c r="L1524">
        <f>0.6</f>
        <v>0.6</v>
      </c>
      <c r="M1524" t="e">
        <f>NA()</f>
        <v>#N/A</v>
      </c>
      <c r="N1524">
        <f>3.6</f>
        <v>3.6</v>
      </c>
      <c r="O1524" t="e">
        <f>NA()</f>
        <v>#N/A</v>
      </c>
    </row>
    <row r="1525" spans="1:15" x14ac:dyDescent="0.25">
      <c r="A1525" s="1">
        <v>43798</v>
      </c>
      <c r="B1525">
        <f>-0.2</f>
        <v>-0.2</v>
      </c>
      <c r="C1525">
        <f>0</f>
        <v>0</v>
      </c>
      <c r="D1525" t="e">
        <f>NA()</f>
        <v>#N/A</v>
      </c>
      <c r="E1525" t="e">
        <f>NA()</f>
        <v>#N/A</v>
      </c>
      <c r="F1525" t="e">
        <f>NA()</f>
        <v>#N/A</v>
      </c>
      <c r="G1525" t="e">
        <f>NA()</f>
        <v>#N/A</v>
      </c>
      <c r="H1525" t="e">
        <f>NA()</f>
        <v>#N/A</v>
      </c>
      <c r="I1525" t="e">
        <f>NA()</f>
        <v>#N/A</v>
      </c>
      <c r="J1525" t="e">
        <f>NA()</f>
        <v>#N/A</v>
      </c>
      <c r="K1525" t="e">
        <f>NA()</f>
        <v>#N/A</v>
      </c>
      <c r="L1525" t="e">
        <f>NA()</f>
        <v>#N/A</v>
      </c>
      <c r="M1525" t="e">
        <f>NA()</f>
        <v>#N/A</v>
      </c>
      <c r="N1525" t="e">
        <f>NA()</f>
        <v>#N/A</v>
      </c>
      <c r="O1525">
        <f t="shared" ref="O1525:O1544" si="54">1.6</f>
        <v>1.6</v>
      </c>
    </row>
    <row r="1526" spans="1:15" x14ac:dyDescent="0.25">
      <c r="A1526" s="1">
        <v>43796</v>
      </c>
      <c r="B1526" t="e">
        <f>NA()</f>
        <v>#N/A</v>
      </c>
      <c r="C1526" t="e">
        <f>NA()</f>
        <v>#N/A</v>
      </c>
      <c r="D1526" t="e">
        <f>NA()</f>
        <v>#N/A</v>
      </c>
      <c r="E1526" t="e">
        <f>NA()</f>
        <v>#N/A</v>
      </c>
      <c r="F1526" t="e">
        <f>NA()</f>
        <v>#N/A</v>
      </c>
      <c r="G1526" t="e">
        <f>NA()</f>
        <v>#N/A</v>
      </c>
      <c r="H1526" t="e">
        <f>NA()</f>
        <v>#N/A</v>
      </c>
      <c r="I1526" t="e">
        <f>NA()</f>
        <v>#N/A</v>
      </c>
      <c r="J1526" t="e">
        <f>NA()</f>
        <v>#N/A</v>
      </c>
      <c r="K1526" t="e">
        <f>NA()</f>
        <v>#N/A</v>
      </c>
      <c r="L1526" t="e">
        <f>NA()</f>
        <v>#N/A</v>
      </c>
      <c r="M1526" t="e">
        <f>NA()</f>
        <v>#N/A</v>
      </c>
      <c r="N1526" t="e">
        <f>NA()</f>
        <v>#N/A</v>
      </c>
      <c r="O1526">
        <f t="shared" si="54"/>
        <v>1.6</v>
      </c>
    </row>
    <row r="1527" spans="1:15" x14ac:dyDescent="0.25">
      <c r="A1527" s="1">
        <v>43795</v>
      </c>
      <c r="B1527" t="e">
        <f>NA()</f>
        <v>#N/A</v>
      </c>
      <c r="C1527" t="e">
        <f>NA()</f>
        <v>#N/A</v>
      </c>
      <c r="D1527" t="e">
        <f>NA()</f>
        <v>#N/A</v>
      </c>
      <c r="E1527" t="e">
        <f>NA()</f>
        <v>#N/A</v>
      </c>
      <c r="F1527" t="e">
        <f>NA()</f>
        <v>#N/A</v>
      </c>
      <c r="G1527" t="e">
        <f>NA()</f>
        <v>#N/A</v>
      </c>
      <c r="H1527" t="e">
        <f>NA()</f>
        <v>#N/A</v>
      </c>
      <c r="I1527" t="e">
        <f>NA()</f>
        <v>#N/A</v>
      </c>
      <c r="J1527" t="e">
        <f>NA()</f>
        <v>#N/A</v>
      </c>
      <c r="K1527" t="e">
        <f>NA()</f>
        <v>#N/A</v>
      </c>
      <c r="L1527" t="e">
        <f>NA()</f>
        <v>#N/A</v>
      </c>
      <c r="M1527" t="e">
        <f>NA()</f>
        <v>#N/A</v>
      </c>
      <c r="N1527" t="e">
        <f>NA()</f>
        <v>#N/A</v>
      </c>
      <c r="O1527">
        <f t="shared" si="54"/>
        <v>1.6</v>
      </c>
    </row>
    <row r="1528" spans="1:15" x14ac:dyDescent="0.25">
      <c r="A1528" s="1">
        <v>43794</v>
      </c>
      <c r="B1528" t="e">
        <f>NA()</f>
        <v>#N/A</v>
      </c>
      <c r="C1528" t="e">
        <f>NA()</f>
        <v>#N/A</v>
      </c>
      <c r="D1528" t="e">
        <f>NA()</f>
        <v>#N/A</v>
      </c>
      <c r="E1528" t="e">
        <f>NA()</f>
        <v>#N/A</v>
      </c>
      <c r="F1528" t="e">
        <f>NA()</f>
        <v>#N/A</v>
      </c>
      <c r="G1528" t="e">
        <f>NA()</f>
        <v>#N/A</v>
      </c>
      <c r="H1528" t="e">
        <f>NA()</f>
        <v>#N/A</v>
      </c>
      <c r="I1528" t="e">
        <f>NA()</f>
        <v>#N/A</v>
      </c>
      <c r="J1528" t="e">
        <f>NA()</f>
        <v>#N/A</v>
      </c>
      <c r="K1528" t="e">
        <f>NA()</f>
        <v>#N/A</v>
      </c>
      <c r="L1528" t="e">
        <f>NA()</f>
        <v>#N/A</v>
      </c>
      <c r="M1528" t="e">
        <f>NA()</f>
        <v>#N/A</v>
      </c>
      <c r="N1528" t="e">
        <f>NA()</f>
        <v>#N/A</v>
      </c>
      <c r="O1528">
        <f t="shared" si="54"/>
        <v>1.6</v>
      </c>
    </row>
    <row r="1529" spans="1:15" x14ac:dyDescent="0.25">
      <c r="A1529" s="1">
        <v>43791</v>
      </c>
      <c r="B1529">
        <f>-0.1</f>
        <v>-0.1</v>
      </c>
      <c r="C1529">
        <f>0</f>
        <v>0</v>
      </c>
      <c r="D1529" t="e">
        <f>NA()</f>
        <v>#N/A</v>
      </c>
      <c r="E1529" t="e">
        <f>NA()</f>
        <v>#N/A</v>
      </c>
      <c r="F1529" t="e">
        <f>NA()</f>
        <v>#N/A</v>
      </c>
      <c r="G1529" t="e">
        <f>NA()</f>
        <v>#N/A</v>
      </c>
      <c r="H1529" t="e">
        <f>NA()</f>
        <v>#N/A</v>
      </c>
      <c r="I1529" t="e">
        <f>NA()</f>
        <v>#N/A</v>
      </c>
      <c r="J1529" t="e">
        <f>NA()</f>
        <v>#N/A</v>
      </c>
      <c r="K1529" t="e">
        <f>NA()</f>
        <v>#N/A</v>
      </c>
      <c r="L1529" t="e">
        <f>NA()</f>
        <v>#N/A</v>
      </c>
      <c r="M1529" t="e">
        <f>NA()</f>
        <v>#N/A</v>
      </c>
      <c r="N1529" t="e">
        <f>NA()</f>
        <v>#N/A</v>
      </c>
      <c r="O1529">
        <f t="shared" si="54"/>
        <v>1.6</v>
      </c>
    </row>
    <row r="1530" spans="1:15" x14ac:dyDescent="0.25">
      <c r="A1530" s="1">
        <v>43790</v>
      </c>
      <c r="B1530" t="e">
        <f>NA()</f>
        <v>#N/A</v>
      </c>
      <c r="C1530" t="e">
        <f>NA()</f>
        <v>#N/A</v>
      </c>
      <c r="D1530" t="e">
        <f>NA()</f>
        <v>#N/A</v>
      </c>
      <c r="E1530" t="e">
        <f>NA()</f>
        <v>#N/A</v>
      </c>
      <c r="F1530" t="e">
        <f>NA()</f>
        <v>#N/A</v>
      </c>
      <c r="G1530" t="e">
        <f>NA()</f>
        <v>#N/A</v>
      </c>
      <c r="H1530" t="e">
        <f>NA()</f>
        <v>#N/A</v>
      </c>
      <c r="I1530" t="e">
        <f>NA()</f>
        <v>#N/A</v>
      </c>
      <c r="J1530" t="e">
        <f>NA()</f>
        <v>#N/A</v>
      </c>
      <c r="K1530" t="e">
        <f>NA()</f>
        <v>#N/A</v>
      </c>
      <c r="L1530" t="e">
        <f>NA()</f>
        <v>#N/A</v>
      </c>
      <c r="M1530" t="e">
        <f>NA()</f>
        <v>#N/A</v>
      </c>
      <c r="N1530" t="e">
        <f>NA()</f>
        <v>#N/A</v>
      </c>
      <c r="O1530">
        <f t="shared" si="54"/>
        <v>1.6</v>
      </c>
    </row>
    <row r="1531" spans="1:15" x14ac:dyDescent="0.25">
      <c r="A1531" s="1">
        <v>43789</v>
      </c>
      <c r="B1531" t="e">
        <f>NA()</f>
        <v>#N/A</v>
      </c>
      <c r="C1531" t="e">
        <f>NA()</f>
        <v>#N/A</v>
      </c>
      <c r="D1531" t="e">
        <f>NA()</f>
        <v>#N/A</v>
      </c>
      <c r="E1531" t="e">
        <f>NA()</f>
        <v>#N/A</v>
      </c>
      <c r="F1531" t="e">
        <f>NA()</f>
        <v>#N/A</v>
      </c>
      <c r="G1531" t="e">
        <f>NA()</f>
        <v>#N/A</v>
      </c>
      <c r="H1531" t="e">
        <f>NA()</f>
        <v>#N/A</v>
      </c>
      <c r="I1531" t="e">
        <f>NA()</f>
        <v>#N/A</v>
      </c>
      <c r="J1531" t="e">
        <f>NA()</f>
        <v>#N/A</v>
      </c>
      <c r="K1531" t="e">
        <f>NA()</f>
        <v>#N/A</v>
      </c>
      <c r="L1531" t="e">
        <f>NA()</f>
        <v>#N/A</v>
      </c>
      <c r="M1531" t="e">
        <f>NA()</f>
        <v>#N/A</v>
      </c>
      <c r="N1531" t="e">
        <f>NA()</f>
        <v>#N/A</v>
      </c>
      <c r="O1531">
        <f t="shared" si="54"/>
        <v>1.6</v>
      </c>
    </row>
    <row r="1532" spans="1:15" x14ac:dyDescent="0.25">
      <c r="A1532" s="1">
        <v>43788</v>
      </c>
      <c r="B1532" t="e">
        <f>NA()</f>
        <v>#N/A</v>
      </c>
      <c r="C1532" t="e">
        <f>NA()</f>
        <v>#N/A</v>
      </c>
      <c r="D1532" t="e">
        <f>NA()</f>
        <v>#N/A</v>
      </c>
      <c r="E1532" t="e">
        <f>NA()</f>
        <v>#N/A</v>
      </c>
      <c r="F1532" t="e">
        <f>NA()</f>
        <v>#N/A</v>
      </c>
      <c r="G1532" t="e">
        <f>NA()</f>
        <v>#N/A</v>
      </c>
      <c r="H1532" t="e">
        <f>NA()</f>
        <v>#N/A</v>
      </c>
      <c r="I1532" t="e">
        <f>NA()</f>
        <v>#N/A</v>
      </c>
      <c r="J1532" t="e">
        <f>NA()</f>
        <v>#N/A</v>
      </c>
      <c r="K1532" t="e">
        <f>NA()</f>
        <v>#N/A</v>
      </c>
      <c r="L1532" t="e">
        <f>NA()</f>
        <v>#N/A</v>
      </c>
      <c r="M1532" t="e">
        <f>NA()</f>
        <v>#N/A</v>
      </c>
      <c r="N1532" t="e">
        <f>NA()</f>
        <v>#N/A</v>
      </c>
      <c r="O1532">
        <f t="shared" si="54"/>
        <v>1.6</v>
      </c>
    </row>
    <row r="1533" spans="1:15" x14ac:dyDescent="0.25">
      <c r="A1533" s="1">
        <v>43787</v>
      </c>
      <c r="B1533" t="e">
        <f>NA()</f>
        <v>#N/A</v>
      </c>
      <c r="C1533" t="e">
        <f>NA()</f>
        <v>#N/A</v>
      </c>
      <c r="D1533" t="e">
        <f>NA()</f>
        <v>#N/A</v>
      </c>
      <c r="E1533" t="e">
        <f>NA()</f>
        <v>#N/A</v>
      </c>
      <c r="F1533" t="e">
        <f>NA()</f>
        <v>#N/A</v>
      </c>
      <c r="G1533" t="e">
        <f>NA()</f>
        <v>#N/A</v>
      </c>
      <c r="H1533" t="e">
        <f>NA()</f>
        <v>#N/A</v>
      </c>
      <c r="I1533" t="e">
        <f>NA()</f>
        <v>#N/A</v>
      </c>
      <c r="J1533" t="e">
        <f>NA()</f>
        <v>#N/A</v>
      </c>
      <c r="K1533" t="e">
        <f>NA()</f>
        <v>#N/A</v>
      </c>
      <c r="L1533" t="e">
        <f>NA()</f>
        <v>#N/A</v>
      </c>
      <c r="M1533" t="e">
        <f>NA()</f>
        <v>#N/A</v>
      </c>
      <c r="N1533" t="e">
        <f>NA()</f>
        <v>#N/A</v>
      </c>
      <c r="O1533">
        <f t="shared" si="54"/>
        <v>1.6</v>
      </c>
    </row>
    <row r="1534" spans="1:15" x14ac:dyDescent="0.25">
      <c r="A1534" s="1">
        <v>43784</v>
      </c>
      <c r="B1534">
        <f>-0.1</f>
        <v>-0.1</v>
      </c>
      <c r="C1534">
        <f>0</f>
        <v>0</v>
      </c>
      <c r="D1534" t="e">
        <f>NA()</f>
        <v>#N/A</v>
      </c>
      <c r="E1534" t="e">
        <f>NA()</f>
        <v>#N/A</v>
      </c>
      <c r="F1534" t="e">
        <f>NA()</f>
        <v>#N/A</v>
      </c>
      <c r="G1534" t="e">
        <f>NA()</f>
        <v>#N/A</v>
      </c>
      <c r="H1534" t="e">
        <f>NA()</f>
        <v>#N/A</v>
      </c>
      <c r="I1534" t="e">
        <f>NA()</f>
        <v>#N/A</v>
      </c>
      <c r="J1534" t="e">
        <f>NA()</f>
        <v>#N/A</v>
      </c>
      <c r="K1534" t="e">
        <f>NA()</f>
        <v>#N/A</v>
      </c>
      <c r="L1534" t="e">
        <f>NA()</f>
        <v>#N/A</v>
      </c>
      <c r="M1534" t="e">
        <f>NA()</f>
        <v>#N/A</v>
      </c>
      <c r="N1534" t="e">
        <f>NA()</f>
        <v>#N/A</v>
      </c>
      <c r="O1534">
        <f t="shared" si="54"/>
        <v>1.6</v>
      </c>
    </row>
    <row r="1535" spans="1:15" x14ac:dyDescent="0.25">
      <c r="A1535" s="1">
        <v>43783</v>
      </c>
      <c r="B1535" t="e">
        <f>NA()</f>
        <v>#N/A</v>
      </c>
      <c r="C1535" t="e">
        <f>NA()</f>
        <v>#N/A</v>
      </c>
      <c r="D1535" t="e">
        <f>NA()</f>
        <v>#N/A</v>
      </c>
      <c r="E1535" t="e">
        <f>NA()</f>
        <v>#N/A</v>
      </c>
      <c r="F1535" t="e">
        <f>NA()</f>
        <v>#N/A</v>
      </c>
      <c r="G1535" t="e">
        <f>NA()</f>
        <v>#N/A</v>
      </c>
      <c r="H1535" t="e">
        <f>NA()</f>
        <v>#N/A</v>
      </c>
      <c r="I1535" t="e">
        <f>NA()</f>
        <v>#N/A</v>
      </c>
      <c r="J1535" t="e">
        <f>NA()</f>
        <v>#N/A</v>
      </c>
      <c r="K1535" t="e">
        <f>NA()</f>
        <v>#N/A</v>
      </c>
      <c r="L1535" t="e">
        <f>NA()</f>
        <v>#N/A</v>
      </c>
      <c r="M1535" t="e">
        <f>NA()</f>
        <v>#N/A</v>
      </c>
      <c r="N1535" t="e">
        <f>NA()</f>
        <v>#N/A</v>
      </c>
      <c r="O1535">
        <f t="shared" si="54"/>
        <v>1.6</v>
      </c>
    </row>
    <row r="1536" spans="1:15" x14ac:dyDescent="0.25">
      <c r="A1536" s="1">
        <v>43782</v>
      </c>
      <c r="B1536" t="e">
        <f>NA()</f>
        <v>#N/A</v>
      </c>
      <c r="C1536" t="e">
        <f>NA()</f>
        <v>#N/A</v>
      </c>
      <c r="D1536" t="e">
        <f>NA()</f>
        <v>#N/A</v>
      </c>
      <c r="E1536" t="e">
        <f>NA()</f>
        <v>#N/A</v>
      </c>
      <c r="F1536" t="e">
        <f>NA()</f>
        <v>#N/A</v>
      </c>
      <c r="G1536" t="e">
        <f>NA()</f>
        <v>#N/A</v>
      </c>
      <c r="H1536" t="e">
        <f>NA()</f>
        <v>#N/A</v>
      </c>
      <c r="I1536" t="e">
        <f>NA()</f>
        <v>#N/A</v>
      </c>
      <c r="J1536" t="e">
        <f>NA()</f>
        <v>#N/A</v>
      </c>
      <c r="K1536" t="e">
        <f>NA()</f>
        <v>#N/A</v>
      </c>
      <c r="L1536" t="e">
        <f>NA()</f>
        <v>#N/A</v>
      </c>
      <c r="M1536" t="e">
        <f>NA()</f>
        <v>#N/A</v>
      </c>
      <c r="N1536" t="e">
        <f>NA()</f>
        <v>#N/A</v>
      </c>
      <c r="O1536">
        <f t="shared" si="54"/>
        <v>1.6</v>
      </c>
    </row>
    <row r="1537" spans="1:15" x14ac:dyDescent="0.25">
      <c r="A1537" s="1">
        <v>43781</v>
      </c>
      <c r="B1537" t="e">
        <f>NA()</f>
        <v>#N/A</v>
      </c>
      <c r="C1537" t="e">
        <f>NA()</f>
        <v>#N/A</v>
      </c>
      <c r="D1537" t="e">
        <f>NA()</f>
        <v>#N/A</v>
      </c>
      <c r="E1537" t="e">
        <f>NA()</f>
        <v>#N/A</v>
      </c>
      <c r="F1537" t="e">
        <f>NA()</f>
        <v>#N/A</v>
      </c>
      <c r="G1537" t="e">
        <f>NA()</f>
        <v>#N/A</v>
      </c>
      <c r="H1537" t="e">
        <f>NA()</f>
        <v>#N/A</v>
      </c>
      <c r="I1537" t="e">
        <f>NA()</f>
        <v>#N/A</v>
      </c>
      <c r="J1537" t="e">
        <f>NA()</f>
        <v>#N/A</v>
      </c>
      <c r="K1537" t="e">
        <f>NA()</f>
        <v>#N/A</v>
      </c>
      <c r="L1537" t="e">
        <f>NA()</f>
        <v>#N/A</v>
      </c>
      <c r="M1537" t="e">
        <f>NA()</f>
        <v>#N/A</v>
      </c>
      <c r="N1537" t="e">
        <f>NA()</f>
        <v>#N/A</v>
      </c>
      <c r="O1537">
        <f t="shared" si="54"/>
        <v>1.6</v>
      </c>
    </row>
    <row r="1538" spans="1:15" x14ac:dyDescent="0.25">
      <c r="A1538" s="1">
        <v>43777</v>
      </c>
      <c r="B1538">
        <f>-0.1</f>
        <v>-0.1</v>
      </c>
      <c r="C1538">
        <f>0</f>
        <v>0</v>
      </c>
      <c r="D1538" t="e">
        <f>NA()</f>
        <v>#N/A</v>
      </c>
      <c r="E1538" t="e">
        <f>NA()</f>
        <v>#N/A</v>
      </c>
      <c r="F1538" t="e">
        <f>NA()</f>
        <v>#N/A</v>
      </c>
      <c r="G1538" t="e">
        <f>NA()</f>
        <v>#N/A</v>
      </c>
      <c r="H1538" t="e">
        <f>NA()</f>
        <v>#N/A</v>
      </c>
      <c r="I1538" t="e">
        <f>NA()</f>
        <v>#N/A</v>
      </c>
      <c r="J1538" t="e">
        <f>NA()</f>
        <v>#N/A</v>
      </c>
      <c r="K1538" t="e">
        <f>NA()</f>
        <v>#N/A</v>
      </c>
      <c r="L1538" t="e">
        <f>NA()</f>
        <v>#N/A</v>
      </c>
      <c r="M1538" t="e">
        <f>NA()</f>
        <v>#N/A</v>
      </c>
      <c r="N1538" t="e">
        <f>NA()</f>
        <v>#N/A</v>
      </c>
      <c r="O1538">
        <f t="shared" si="54"/>
        <v>1.6</v>
      </c>
    </row>
    <row r="1539" spans="1:15" x14ac:dyDescent="0.25">
      <c r="A1539" s="1">
        <v>43776</v>
      </c>
      <c r="B1539" t="e">
        <f>NA()</f>
        <v>#N/A</v>
      </c>
      <c r="C1539" t="e">
        <f>NA()</f>
        <v>#N/A</v>
      </c>
      <c r="D1539" t="e">
        <f>NA()</f>
        <v>#N/A</v>
      </c>
      <c r="E1539" t="e">
        <f>NA()</f>
        <v>#N/A</v>
      </c>
      <c r="F1539" t="e">
        <f>NA()</f>
        <v>#N/A</v>
      </c>
      <c r="G1539" t="e">
        <f>NA()</f>
        <v>#N/A</v>
      </c>
      <c r="H1539" t="e">
        <f>NA()</f>
        <v>#N/A</v>
      </c>
      <c r="I1539" t="e">
        <f>NA()</f>
        <v>#N/A</v>
      </c>
      <c r="J1539" t="e">
        <f>NA()</f>
        <v>#N/A</v>
      </c>
      <c r="K1539" t="e">
        <f>NA()</f>
        <v>#N/A</v>
      </c>
      <c r="L1539" t="e">
        <f>NA()</f>
        <v>#N/A</v>
      </c>
      <c r="M1539" t="e">
        <f>NA()</f>
        <v>#N/A</v>
      </c>
      <c r="N1539" t="e">
        <f>NA()</f>
        <v>#N/A</v>
      </c>
      <c r="O1539">
        <f t="shared" si="54"/>
        <v>1.6</v>
      </c>
    </row>
    <row r="1540" spans="1:15" x14ac:dyDescent="0.25">
      <c r="A1540" s="1">
        <v>43775</v>
      </c>
      <c r="B1540" t="e">
        <f>NA()</f>
        <v>#N/A</v>
      </c>
      <c r="C1540" t="e">
        <f>NA()</f>
        <v>#N/A</v>
      </c>
      <c r="D1540" t="e">
        <f>NA()</f>
        <v>#N/A</v>
      </c>
      <c r="E1540" t="e">
        <f>NA()</f>
        <v>#N/A</v>
      </c>
      <c r="F1540" t="e">
        <f>NA()</f>
        <v>#N/A</v>
      </c>
      <c r="G1540" t="e">
        <f>NA()</f>
        <v>#N/A</v>
      </c>
      <c r="H1540" t="e">
        <f>NA()</f>
        <v>#N/A</v>
      </c>
      <c r="I1540" t="e">
        <f>NA()</f>
        <v>#N/A</v>
      </c>
      <c r="J1540" t="e">
        <f>NA()</f>
        <v>#N/A</v>
      </c>
      <c r="K1540" t="e">
        <f>NA()</f>
        <v>#N/A</v>
      </c>
      <c r="L1540" t="e">
        <f>NA()</f>
        <v>#N/A</v>
      </c>
      <c r="M1540" t="e">
        <f>NA()</f>
        <v>#N/A</v>
      </c>
      <c r="N1540" t="e">
        <f>NA()</f>
        <v>#N/A</v>
      </c>
      <c r="O1540">
        <f t="shared" si="54"/>
        <v>1.6</v>
      </c>
    </row>
    <row r="1541" spans="1:15" x14ac:dyDescent="0.25">
      <c r="A1541" s="1">
        <v>43774</v>
      </c>
      <c r="B1541" t="e">
        <f>NA()</f>
        <v>#N/A</v>
      </c>
      <c r="C1541" t="e">
        <f>NA()</f>
        <v>#N/A</v>
      </c>
      <c r="D1541" t="e">
        <f>NA()</f>
        <v>#N/A</v>
      </c>
      <c r="E1541" t="e">
        <f>NA()</f>
        <v>#N/A</v>
      </c>
      <c r="F1541" t="e">
        <f>NA()</f>
        <v>#N/A</v>
      </c>
      <c r="G1541" t="e">
        <f>NA()</f>
        <v>#N/A</v>
      </c>
      <c r="H1541" t="e">
        <f>NA()</f>
        <v>#N/A</v>
      </c>
      <c r="I1541" t="e">
        <f>NA()</f>
        <v>#N/A</v>
      </c>
      <c r="J1541" t="e">
        <f>NA()</f>
        <v>#N/A</v>
      </c>
      <c r="K1541" t="e">
        <f>NA()</f>
        <v>#N/A</v>
      </c>
      <c r="L1541" t="e">
        <f>NA()</f>
        <v>#N/A</v>
      </c>
      <c r="M1541" t="e">
        <f>NA()</f>
        <v>#N/A</v>
      </c>
      <c r="N1541" t="e">
        <f>NA()</f>
        <v>#N/A</v>
      </c>
      <c r="O1541">
        <f t="shared" si="54"/>
        <v>1.6</v>
      </c>
    </row>
    <row r="1542" spans="1:15" x14ac:dyDescent="0.25">
      <c r="A1542" s="1">
        <v>43773</v>
      </c>
      <c r="B1542" t="e">
        <f>NA()</f>
        <v>#N/A</v>
      </c>
      <c r="C1542" t="e">
        <f>NA()</f>
        <v>#N/A</v>
      </c>
      <c r="D1542" t="e">
        <f>NA()</f>
        <v>#N/A</v>
      </c>
      <c r="E1542" t="e">
        <f>NA()</f>
        <v>#N/A</v>
      </c>
      <c r="F1542" t="e">
        <f>NA()</f>
        <v>#N/A</v>
      </c>
      <c r="G1542" t="e">
        <f>NA()</f>
        <v>#N/A</v>
      </c>
      <c r="H1542" t="e">
        <f>NA()</f>
        <v>#N/A</v>
      </c>
      <c r="I1542" t="e">
        <f>NA()</f>
        <v>#N/A</v>
      </c>
      <c r="J1542" t="e">
        <f>NA()</f>
        <v>#N/A</v>
      </c>
      <c r="K1542" t="e">
        <f>NA()</f>
        <v>#N/A</v>
      </c>
      <c r="L1542" t="e">
        <f>NA()</f>
        <v>#N/A</v>
      </c>
      <c r="M1542" t="e">
        <f>NA()</f>
        <v>#N/A</v>
      </c>
      <c r="N1542" t="e">
        <f>NA()</f>
        <v>#N/A</v>
      </c>
      <c r="O1542">
        <f t="shared" si="54"/>
        <v>1.6</v>
      </c>
    </row>
    <row r="1543" spans="1:15" x14ac:dyDescent="0.25">
      <c r="A1543" s="1">
        <v>43770</v>
      </c>
      <c r="B1543">
        <f>-0.1</f>
        <v>-0.1</v>
      </c>
      <c r="C1543">
        <f>0</f>
        <v>0</v>
      </c>
      <c r="D1543" t="e">
        <f>NA()</f>
        <v>#N/A</v>
      </c>
      <c r="E1543" t="e">
        <f>NA()</f>
        <v>#N/A</v>
      </c>
      <c r="F1543" t="e">
        <f>NA()</f>
        <v>#N/A</v>
      </c>
      <c r="G1543" t="e">
        <f>NA()</f>
        <v>#N/A</v>
      </c>
      <c r="H1543" t="e">
        <f>NA()</f>
        <v>#N/A</v>
      </c>
      <c r="I1543" t="e">
        <f>NA()</f>
        <v>#N/A</v>
      </c>
      <c r="J1543" t="e">
        <f>NA()</f>
        <v>#N/A</v>
      </c>
      <c r="K1543" t="e">
        <f>NA()</f>
        <v>#N/A</v>
      </c>
      <c r="L1543" t="e">
        <f>NA()</f>
        <v>#N/A</v>
      </c>
      <c r="M1543" t="e">
        <f>NA()</f>
        <v>#N/A</v>
      </c>
      <c r="N1543" t="e">
        <f>NA()</f>
        <v>#N/A</v>
      </c>
      <c r="O1543">
        <f t="shared" si="54"/>
        <v>1.6</v>
      </c>
    </row>
    <row r="1544" spans="1:15" x14ac:dyDescent="0.25">
      <c r="A1544" s="1">
        <v>43769</v>
      </c>
      <c r="B1544" t="e">
        <f>NA()</f>
        <v>#N/A</v>
      </c>
      <c r="C1544" t="e">
        <f>NA()</f>
        <v>#N/A</v>
      </c>
      <c r="D1544">
        <f>0.2</f>
        <v>0.2</v>
      </c>
      <c r="E1544">
        <f>1.4</f>
        <v>1.4</v>
      </c>
      <c r="F1544">
        <f>7289</f>
        <v>7289</v>
      </c>
      <c r="G1544">
        <f>63.3</f>
        <v>63.3</v>
      </c>
      <c r="H1544">
        <f>3.8</f>
        <v>3.8</v>
      </c>
      <c r="I1544">
        <f>257.3</f>
        <v>257.3</v>
      </c>
      <c r="J1544">
        <f>1.8</f>
        <v>1.8</v>
      </c>
      <c r="K1544">
        <f>48.1</f>
        <v>48.1</v>
      </c>
      <c r="L1544">
        <f>-0.9</f>
        <v>-0.9</v>
      </c>
      <c r="M1544" t="e">
        <f>NA()</f>
        <v>#N/A</v>
      </c>
      <c r="N1544">
        <f>3.6</f>
        <v>3.6</v>
      </c>
      <c r="O1544">
        <f t="shared" si="54"/>
        <v>1.6</v>
      </c>
    </row>
    <row r="1545" spans="1:15" x14ac:dyDescent="0.25">
      <c r="A1545" s="1">
        <v>43768</v>
      </c>
      <c r="B1545" t="e">
        <f>NA()</f>
        <v>#N/A</v>
      </c>
      <c r="C1545" t="e">
        <f>NA()</f>
        <v>#N/A</v>
      </c>
      <c r="D1545" t="e">
        <f>NA()</f>
        <v>#N/A</v>
      </c>
      <c r="E1545" t="e">
        <f>NA()</f>
        <v>#N/A</v>
      </c>
      <c r="F1545" t="e">
        <f>NA()</f>
        <v>#N/A</v>
      </c>
      <c r="G1545" t="e">
        <f>NA()</f>
        <v>#N/A</v>
      </c>
      <c r="H1545" t="e">
        <f>NA()</f>
        <v>#N/A</v>
      </c>
      <c r="I1545" t="e">
        <f>NA()</f>
        <v>#N/A</v>
      </c>
      <c r="J1545" t="e">
        <f>NA()</f>
        <v>#N/A</v>
      </c>
      <c r="K1545" t="e">
        <f>NA()</f>
        <v>#N/A</v>
      </c>
      <c r="L1545" t="e">
        <f>NA()</f>
        <v>#N/A</v>
      </c>
      <c r="M1545" t="e">
        <f>NA()</f>
        <v>#N/A</v>
      </c>
      <c r="N1545" t="e">
        <f>NA()</f>
        <v>#N/A</v>
      </c>
      <c r="O1545">
        <f>1.8</f>
        <v>1.8</v>
      </c>
    </row>
    <row r="1546" spans="1:15" x14ac:dyDescent="0.25">
      <c r="A1546" s="1">
        <v>43767</v>
      </c>
      <c r="B1546" t="e">
        <f>NA()</f>
        <v>#N/A</v>
      </c>
      <c r="C1546" t="e">
        <f>NA()</f>
        <v>#N/A</v>
      </c>
      <c r="D1546" t="e">
        <f>NA()</f>
        <v>#N/A</v>
      </c>
      <c r="E1546" t="e">
        <f>NA()</f>
        <v>#N/A</v>
      </c>
      <c r="F1546" t="e">
        <f>NA()</f>
        <v>#N/A</v>
      </c>
      <c r="G1546" t="e">
        <f>NA()</f>
        <v>#N/A</v>
      </c>
      <c r="H1546" t="e">
        <f>NA()</f>
        <v>#N/A</v>
      </c>
      <c r="I1546" t="e">
        <f>NA()</f>
        <v>#N/A</v>
      </c>
      <c r="J1546" t="e">
        <f>NA()</f>
        <v>#N/A</v>
      </c>
      <c r="K1546" t="e">
        <f>NA()</f>
        <v>#N/A</v>
      </c>
      <c r="L1546" t="e">
        <f>NA()</f>
        <v>#N/A</v>
      </c>
      <c r="M1546" t="e">
        <f>NA()</f>
        <v>#N/A</v>
      </c>
      <c r="N1546" t="e">
        <f>NA()</f>
        <v>#N/A</v>
      </c>
      <c r="O1546">
        <f>1.8</f>
        <v>1.8</v>
      </c>
    </row>
    <row r="1547" spans="1:15" x14ac:dyDescent="0.25">
      <c r="A1547" s="1">
        <v>43766</v>
      </c>
      <c r="B1547" t="e">
        <f>NA()</f>
        <v>#N/A</v>
      </c>
      <c r="C1547" t="e">
        <f>NA()</f>
        <v>#N/A</v>
      </c>
      <c r="D1547" t="e">
        <f>NA()</f>
        <v>#N/A</v>
      </c>
      <c r="E1547" t="e">
        <f>NA()</f>
        <v>#N/A</v>
      </c>
      <c r="F1547" t="e">
        <f>NA()</f>
        <v>#N/A</v>
      </c>
      <c r="G1547" t="e">
        <f>NA()</f>
        <v>#N/A</v>
      </c>
      <c r="H1547" t="e">
        <f>NA()</f>
        <v>#N/A</v>
      </c>
      <c r="I1547" t="e">
        <f>NA()</f>
        <v>#N/A</v>
      </c>
      <c r="J1547" t="e">
        <f>NA()</f>
        <v>#N/A</v>
      </c>
      <c r="K1547" t="e">
        <f>NA()</f>
        <v>#N/A</v>
      </c>
      <c r="L1547" t="e">
        <f>NA()</f>
        <v>#N/A</v>
      </c>
      <c r="M1547" t="e">
        <f>NA()</f>
        <v>#N/A</v>
      </c>
      <c r="N1547" t="e">
        <f>NA()</f>
        <v>#N/A</v>
      </c>
      <c r="O1547">
        <f>1.8</f>
        <v>1.8</v>
      </c>
    </row>
    <row r="1548" spans="1:15" x14ac:dyDescent="0.25">
      <c r="A1548" s="1">
        <v>43763</v>
      </c>
      <c r="B1548">
        <f>-0.1</f>
        <v>-0.1</v>
      </c>
      <c r="C1548">
        <f>0</f>
        <v>0</v>
      </c>
      <c r="D1548" t="e">
        <f>NA()</f>
        <v>#N/A</v>
      </c>
      <c r="E1548" t="e">
        <f>NA()</f>
        <v>#N/A</v>
      </c>
      <c r="F1548" t="e">
        <f>NA()</f>
        <v>#N/A</v>
      </c>
      <c r="G1548" t="e">
        <f>NA()</f>
        <v>#N/A</v>
      </c>
      <c r="H1548" t="e">
        <f>NA()</f>
        <v>#N/A</v>
      </c>
      <c r="I1548" t="e">
        <f>NA()</f>
        <v>#N/A</v>
      </c>
      <c r="J1548" t="e">
        <f>NA()</f>
        <v>#N/A</v>
      </c>
      <c r="K1548" t="e">
        <f>NA()</f>
        <v>#N/A</v>
      </c>
      <c r="L1548" t="e">
        <f>NA()</f>
        <v>#N/A</v>
      </c>
      <c r="M1548" t="e">
        <f>NA()</f>
        <v>#N/A</v>
      </c>
      <c r="N1548" t="e">
        <f>NA()</f>
        <v>#N/A</v>
      </c>
      <c r="O1548">
        <f>1.8</f>
        <v>1.8</v>
      </c>
    </row>
    <row r="1549" spans="1:15" x14ac:dyDescent="0.25">
      <c r="A1549" s="1">
        <v>43762</v>
      </c>
      <c r="B1549" t="e">
        <f>NA()</f>
        <v>#N/A</v>
      </c>
      <c r="C1549" t="e">
        <f>NA()</f>
        <v>#N/A</v>
      </c>
      <c r="D1549" t="e">
        <f>NA()</f>
        <v>#N/A</v>
      </c>
      <c r="E1549" t="e">
        <f>NA()</f>
        <v>#N/A</v>
      </c>
      <c r="F1549" t="e">
        <f>NA()</f>
        <v>#N/A</v>
      </c>
      <c r="G1549" t="e">
        <f>NA()</f>
        <v>#N/A</v>
      </c>
      <c r="H1549" t="e">
        <f>NA()</f>
        <v>#N/A</v>
      </c>
      <c r="I1549" t="e">
        <f>NA()</f>
        <v>#N/A</v>
      </c>
      <c r="J1549" t="e">
        <f>NA()</f>
        <v>#N/A</v>
      </c>
      <c r="K1549" t="e">
        <f>NA()</f>
        <v>#N/A</v>
      </c>
      <c r="L1549" t="e">
        <f>NA()</f>
        <v>#N/A</v>
      </c>
      <c r="M1549" t="e">
        <f>NA()</f>
        <v>#N/A</v>
      </c>
      <c r="N1549" t="e">
        <f>NA()</f>
        <v>#N/A</v>
      </c>
      <c r="O1549">
        <f t="shared" ref="O1549:O1556" si="55">1.9</f>
        <v>1.9</v>
      </c>
    </row>
    <row r="1550" spans="1:15" x14ac:dyDescent="0.25">
      <c r="A1550" s="1">
        <v>43761</v>
      </c>
      <c r="B1550" t="e">
        <f>NA()</f>
        <v>#N/A</v>
      </c>
      <c r="C1550" t="e">
        <f>NA()</f>
        <v>#N/A</v>
      </c>
      <c r="D1550" t="e">
        <f>NA()</f>
        <v>#N/A</v>
      </c>
      <c r="E1550" t="e">
        <f>NA()</f>
        <v>#N/A</v>
      </c>
      <c r="F1550" t="e">
        <f>NA()</f>
        <v>#N/A</v>
      </c>
      <c r="G1550" t="e">
        <f>NA()</f>
        <v>#N/A</v>
      </c>
      <c r="H1550" t="e">
        <f>NA()</f>
        <v>#N/A</v>
      </c>
      <c r="I1550" t="e">
        <f>NA()</f>
        <v>#N/A</v>
      </c>
      <c r="J1550" t="e">
        <f>NA()</f>
        <v>#N/A</v>
      </c>
      <c r="K1550" t="e">
        <f>NA()</f>
        <v>#N/A</v>
      </c>
      <c r="L1550" t="e">
        <f>NA()</f>
        <v>#N/A</v>
      </c>
      <c r="M1550" t="e">
        <f>NA()</f>
        <v>#N/A</v>
      </c>
      <c r="N1550" t="e">
        <f>NA()</f>
        <v>#N/A</v>
      </c>
      <c r="O1550">
        <f t="shared" si="55"/>
        <v>1.9</v>
      </c>
    </row>
    <row r="1551" spans="1:15" x14ac:dyDescent="0.25">
      <c r="A1551" s="1">
        <v>43760</v>
      </c>
      <c r="B1551" t="e">
        <f>NA()</f>
        <v>#N/A</v>
      </c>
      <c r="C1551" t="e">
        <f>NA()</f>
        <v>#N/A</v>
      </c>
      <c r="D1551" t="e">
        <f>NA()</f>
        <v>#N/A</v>
      </c>
      <c r="E1551" t="e">
        <f>NA()</f>
        <v>#N/A</v>
      </c>
      <c r="F1551" t="e">
        <f>NA()</f>
        <v>#N/A</v>
      </c>
      <c r="G1551" t="e">
        <f>NA()</f>
        <v>#N/A</v>
      </c>
      <c r="H1551" t="e">
        <f>NA()</f>
        <v>#N/A</v>
      </c>
      <c r="I1551" t="e">
        <f>NA()</f>
        <v>#N/A</v>
      </c>
      <c r="J1551" t="e">
        <f>NA()</f>
        <v>#N/A</v>
      </c>
      <c r="K1551" t="e">
        <f>NA()</f>
        <v>#N/A</v>
      </c>
      <c r="L1551" t="e">
        <f>NA()</f>
        <v>#N/A</v>
      </c>
      <c r="M1551" t="e">
        <f>NA()</f>
        <v>#N/A</v>
      </c>
      <c r="N1551" t="e">
        <f>NA()</f>
        <v>#N/A</v>
      </c>
      <c r="O1551">
        <f t="shared" si="55"/>
        <v>1.9</v>
      </c>
    </row>
    <row r="1552" spans="1:15" x14ac:dyDescent="0.25">
      <c r="A1552" s="1">
        <v>43759</v>
      </c>
      <c r="B1552" t="e">
        <f>NA()</f>
        <v>#N/A</v>
      </c>
      <c r="C1552" t="e">
        <f>NA()</f>
        <v>#N/A</v>
      </c>
      <c r="D1552" t="e">
        <f>NA()</f>
        <v>#N/A</v>
      </c>
      <c r="E1552" t="e">
        <f>NA()</f>
        <v>#N/A</v>
      </c>
      <c r="F1552" t="e">
        <f>NA()</f>
        <v>#N/A</v>
      </c>
      <c r="G1552" t="e">
        <f>NA()</f>
        <v>#N/A</v>
      </c>
      <c r="H1552" t="e">
        <f>NA()</f>
        <v>#N/A</v>
      </c>
      <c r="I1552" t="e">
        <f>NA()</f>
        <v>#N/A</v>
      </c>
      <c r="J1552" t="e">
        <f>NA()</f>
        <v>#N/A</v>
      </c>
      <c r="K1552" t="e">
        <f>NA()</f>
        <v>#N/A</v>
      </c>
      <c r="L1552" t="e">
        <f>NA()</f>
        <v>#N/A</v>
      </c>
      <c r="M1552" t="e">
        <f>NA()</f>
        <v>#N/A</v>
      </c>
      <c r="N1552" t="e">
        <f>NA()</f>
        <v>#N/A</v>
      </c>
      <c r="O1552">
        <f t="shared" si="55"/>
        <v>1.9</v>
      </c>
    </row>
    <row r="1553" spans="1:15" x14ac:dyDescent="0.25">
      <c r="A1553" s="1">
        <v>43756</v>
      </c>
      <c r="B1553">
        <f>-0.1</f>
        <v>-0.1</v>
      </c>
      <c r="C1553">
        <f>0</f>
        <v>0</v>
      </c>
      <c r="D1553" t="e">
        <f>NA()</f>
        <v>#N/A</v>
      </c>
      <c r="E1553" t="e">
        <f>NA()</f>
        <v>#N/A</v>
      </c>
      <c r="F1553" t="e">
        <f>NA()</f>
        <v>#N/A</v>
      </c>
      <c r="G1553" t="e">
        <f>NA()</f>
        <v>#N/A</v>
      </c>
      <c r="H1553" t="e">
        <f>NA()</f>
        <v>#N/A</v>
      </c>
      <c r="I1553" t="e">
        <f>NA()</f>
        <v>#N/A</v>
      </c>
      <c r="J1553" t="e">
        <f>NA()</f>
        <v>#N/A</v>
      </c>
      <c r="K1553" t="e">
        <f>NA()</f>
        <v>#N/A</v>
      </c>
      <c r="L1553" t="e">
        <f>NA()</f>
        <v>#N/A</v>
      </c>
      <c r="M1553" t="e">
        <f>NA()</f>
        <v>#N/A</v>
      </c>
      <c r="N1553" t="e">
        <f>NA()</f>
        <v>#N/A</v>
      </c>
      <c r="O1553">
        <f t="shared" si="55"/>
        <v>1.9</v>
      </c>
    </row>
    <row r="1554" spans="1:15" x14ac:dyDescent="0.25">
      <c r="A1554" s="1">
        <v>43755</v>
      </c>
      <c r="B1554" t="e">
        <f>NA()</f>
        <v>#N/A</v>
      </c>
      <c r="C1554" t="e">
        <f>NA()</f>
        <v>#N/A</v>
      </c>
      <c r="D1554" t="e">
        <f>NA()</f>
        <v>#N/A</v>
      </c>
      <c r="E1554" t="e">
        <f>NA()</f>
        <v>#N/A</v>
      </c>
      <c r="F1554" t="e">
        <f>NA()</f>
        <v>#N/A</v>
      </c>
      <c r="G1554" t="e">
        <f>NA()</f>
        <v>#N/A</v>
      </c>
      <c r="H1554" t="e">
        <f>NA()</f>
        <v>#N/A</v>
      </c>
      <c r="I1554" t="e">
        <f>NA()</f>
        <v>#N/A</v>
      </c>
      <c r="J1554" t="e">
        <f>NA()</f>
        <v>#N/A</v>
      </c>
      <c r="K1554" t="e">
        <f>NA()</f>
        <v>#N/A</v>
      </c>
      <c r="L1554" t="e">
        <f>NA()</f>
        <v>#N/A</v>
      </c>
      <c r="M1554" t="e">
        <f>NA()</f>
        <v>#N/A</v>
      </c>
      <c r="N1554" t="e">
        <f>NA()</f>
        <v>#N/A</v>
      </c>
      <c r="O1554">
        <f t="shared" si="55"/>
        <v>1.9</v>
      </c>
    </row>
    <row r="1555" spans="1:15" x14ac:dyDescent="0.25">
      <c r="A1555" s="1">
        <v>43754</v>
      </c>
      <c r="B1555" t="e">
        <f>NA()</f>
        <v>#N/A</v>
      </c>
      <c r="C1555" t="e">
        <f>NA()</f>
        <v>#N/A</v>
      </c>
      <c r="D1555" t="e">
        <f>NA()</f>
        <v>#N/A</v>
      </c>
      <c r="E1555" t="e">
        <f>NA()</f>
        <v>#N/A</v>
      </c>
      <c r="F1555" t="e">
        <f>NA()</f>
        <v>#N/A</v>
      </c>
      <c r="G1555" t="e">
        <f>NA()</f>
        <v>#N/A</v>
      </c>
      <c r="H1555" t="e">
        <f>NA()</f>
        <v>#N/A</v>
      </c>
      <c r="I1555" t="e">
        <f>NA()</f>
        <v>#N/A</v>
      </c>
      <c r="J1555" t="e">
        <f>NA()</f>
        <v>#N/A</v>
      </c>
      <c r="K1555" t="e">
        <f>NA()</f>
        <v>#N/A</v>
      </c>
      <c r="L1555" t="e">
        <f>NA()</f>
        <v>#N/A</v>
      </c>
      <c r="M1555" t="e">
        <f>NA()</f>
        <v>#N/A</v>
      </c>
      <c r="N1555" t="e">
        <f>NA()</f>
        <v>#N/A</v>
      </c>
      <c r="O1555">
        <f t="shared" si="55"/>
        <v>1.9</v>
      </c>
    </row>
    <row r="1556" spans="1:15" x14ac:dyDescent="0.25">
      <c r="A1556" s="1">
        <v>43753</v>
      </c>
      <c r="B1556" t="e">
        <f>NA()</f>
        <v>#N/A</v>
      </c>
      <c r="C1556" t="e">
        <f>NA()</f>
        <v>#N/A</v>
      </c>
      <c r="D1556" t="e">
        <f>NA()</f>
        <v>#N/A</v>
      </c>
      <c r="E1556" t="e">
        <f>NA()</f>
        <v>#N/A</v>
      </c>
      <c r="F1556" t="e">
        <f>NA()</f>
        <v>#N/A</v>
      </c>
      <c r="G1556" t="e">
        <f>NA()</f>
        <v>#N/A</v>
      </c>
      <c r="H1556" t="e">
        <f>NA()</f>
        <v>#N/A</v>
      </c>
      <c r="I1556" t="e">
        <f>NA()</f>
        <v>#N/A</v>
      </c>
      <c r="J1556" t="e">
        <f>NA()</f>
        <v>#N/A</v>
      </c>
      <c r="K1556" t="e">
        <f>NA()</f>
        <v>#N/A</v>
      </c>
      <c r="L1556" t="e">
        <f>NA()</f>
        <v>#N/A</v>
      </c>
      <c r="M1556" t="e">
        <f>NA()</f>
        <v>#N/A</v>
      </c>
      <c r="N1556" t="e">
        <f>NA()</f>
        <v>#N/A</v>
      </c>
      <c r="O1556">
        <f t="shared" si="55"/>
        <v>1.9</v>
      </c>
    </row>
    <row r="1557" spans="1:15" x14ac:dyDescent="0.25">
      <c r="A1557" s="1">
        <v>43749</v>
      </c>
      <c r="B1557">
        <f>0.1</f>
        <v>0.1</v>
      </c>
      <c r="C1557">
        <f>0</f>
        <v>0</v>
      </c>
      <c r="D1557" t="e">
        <f>NA()</f>
        <v>#N/A</v>
      </c>
      <c r="E1557" t="e">
        <f>NA()</f>
        <v>#N/A</v>
      </c>
      <c r="F1557" t="e">
        <f>NA()</f>
        <v>#N/A</v>
      </c>
      <c r="G1557" t="e">
        <f>NA()</f>
        <v>#N/A</v>
      </c>
      <c r="H1557" t="e">
        <f>NA()</f>
        <v>#N/A</v>
      </c>
      <c r="I1557" t="e">
        <f>NA()</f>
        <v>#N/A</v>
      </c>
      <c r="J1557" t="e">
        <f>NA()</f>
        <v>#N/A</v>
      </c>
      <c r="K1557" t="e">
        <f>NA()</f>
        <v>#N/A</v>
      </c>
      <c r="L1557" t="e">
        <f>NA()</f>
        <v>#N/A</v>
      </c>
      <c r="M1557" t="e">
        <f>NA()</f>
        <v>#N/A</v>
      </c>
      <c r="N1557" t="e">
        <f>NA()</f>
        <v>#N/A</v>
      </c>
      <c r="O1557">
        <f t="shared" ref="O1557:O1563" si="56">1.8</f>
        <v>1.8</v>
      </c>
    </row>
    <row r="1558" spans="1:15" x14ac:dyDescent="0.25">
      <c r="A1558" s="1">
        <v>43748</v>
      </c>
      <c r="B1558" t="e">
        <f>NA()</f>
        <v>#N/A</v>
      </c>
      <c r="C1558" t="e">
        <f>NA()</f>
        <v>#N/A</v>
      </c>
      <c r="D1558" t="e">
        <f>NA()</f>
        <v>#N/A</v>
      </c>
      <c r="E1558" t="e">
        <f>NA()</f>
        <v>#N/A</v>
      </c>
      <c r="F1558" t="e">
        <f>NA()</f>
        <v>#N/A</v>
      </c>
      <c r="G1558" t="e">
        <f>NA()</f>
        <v>#N/A</v>
      </c>
      <c r="H1558" t="e">
        <f>NA()</f>
        <v>#N/A</v>
      </c>
      <c r="I1558" t="e">
        <f>NA()</f>
        <v>#N/A</v>
      </c>
      <c r="J1558" t="e">
        <f>NA()</f>
        <v>#N/A</v>
      </c>
      <c r="K1558" t="e">
        <f>NA()</f>
        <v>#N/A</v>
      </c>
      <c r="L1558" t="e">
        <f>NA()</f>
        <v>#N/A</v>
      </c>
      <c r="M1558" t="e">
        <f>NA()</f>
        <v>#N/A</v>
      </c>
      <c r="N1558" t="e">
        <f>NA()</f>
        <v>#N/A</v>
      </c>
      <c r="O1558">
        <f t="shared" si="56"/>
        <v>1.8</v>
      </c>
    </row>
    <row r="1559" spans="1:15" x14ac:dyDescent="0.25">
      <c r="A1559" s="1">
        <v>43747</v>
      </c>
      <c r="B1559" t="e">
        <f>NA()</f>
        <v>#N/A</v>
      </c>
      <c r="C1559" t="e">
        <f>NA()</f>
        <v>#N/A</v>
      </c>
      <c r="D1559" t="e">
        <f>NA()</f>
        <v>#N/A</v>
      </c>
      <c r="E1559" t="e">
        <f>NA()</f>
        <v>#N/A</v>
      </c>
      <c r="F1559" t="e">
        <f>NA()</f>
        <v>#N/A</v>
      </c>
      <c r="G1559" t="e">
        <f>NA()</f>
        <v>#N/A</v>
      </c>
      <c r="H1559" t="e">
        <f>NA()</f>
        <v>#N/A</v>
      </c>
      <c r="I1559" t="e">
        <f>NA()</f>
        <v>#N/A</v>
      </c>
      <c r="J1559" t="e">
        <f>NA()</f>
        <v>#N/A</v>
      </c>
      <c r="K1559" t="e">
        <f>NA()</f>
        <v>#N/A</v>
      </c>
      <c r="L1559" t="e">
        <f>NA()</f>
        <v>#N/A</v>
      </c>
      <c r="M1559" t="e">
        <f>NA()</f>
        <v>#N/A</v>
      </c>
      <c r="N1559" t="e">
        <f>NA()</f>
        <v>#N/A</v>
      </c>
      <c r="O1559">
        <f t="shared" si="56"/>
        <v>1.8</v>
      </c>
    </row>
    <row r="1560" spans="1:15" x14ac:dyDescent="0.25">
      <c r="A1560" s="1">
        <v>43746</v>
      </c>
      <c r="B1560" t="e">
        <f>NA()</f>
        <v>#N/A</v>
      </c>
      <c r="C1560" t="e">
        <f>NA()</f>
        <v>#N/A</v>
      </c>
      <c r="D1560" t="e">
        <f>NA()</f>
        <v>#N/A</v>
      </c>
      <c r="E1560" t="e">
        <f>NA()</f>
        <v>#N/A</v>
      </c>
      <c r="F1560" t="e">
        <f>NA()</f>
        <v>#N/A</v>
      </c>
      <c r="G1560" t="e">
        <f>NA()</f>
        <v>#N/A</v>
      </c>
      <c r="H1560" t="e">
        <f>NA()</f>
        <v>#N/A</v>
      </c>
      <c r="I1560" t="e">
        <f>NA()</f>
        <v>#N/A</v>
      </c>
      <c r="J1560" t="e">
        <f>NA()</f>
        <v>#N/A</v>
      </c>
      <c r="K1560" t="e">
        <f>NA()</f>
        <v>#N/A</v>
      </c>
      <c r="L1560" t="e">
        <f>NA()</f>
        <v>#N/A</v>
      </c>
      <c r="M1560" t="e">
        <f>NA()</f>
        <v>#N/A</v>
      </c>
      <c r="N1560" t="e">
        <f>NA()</f>
        <v>#N/A</v>
      </c>
      <c r="O1560">
        <f t="shared" si="56"/>
        <v>1.8</v>
      </c>
    </row>
    <row r="1561" spans="1:15" x14ac:dyDescent="0.25">
      <c r="A1561" s="1">
        <v>43745</v>
      </c>
      <c r="B1561" t="e">
        <f>NA()</f>
        <v>#N/A</v>
      </c>
      <c r="C1561" t="e">
        <f>NA()</f>
        <v>#N/A</v>
      </c>
      <c r="D1561" t="e">
        <f>NA()</f>
        <v>#N/A</v>
      </c>
      <c r="E1561" t="e">
        <f>NA()</f>
        <v>#N/A</v>
      </c>
      <c r="F1561" t="e">
        <f>NA()</f>
        <v>#N/A</v>
      </c>
      <c r="G1561" t="e">
        <f>NA()</f>
        <v>#N/A</v>
      </c>
      <c r="H1561" t="e">
        <f>NA()</f>
        <v>#N/A</v>
      </c>
      <c r="I1561" t="e">
        <f>NA()</f>
        <v>#N/A</v>
      </c>
      <c r="J1561" t="e">
        <f>NA()</f>
        <v>#N/A</v>
      </c>
      <c r="K1561" t="e">
        <f>NA()</f>
        <v>#N/A</v>
      </c>
      <c r="L1561" t="e">
        <f>NA()</f>
        <v>#N/A</v>
      </c>
      <c r="M1561" t="e">
        <f>NA()</f>
        <v>#N/A</v>
      </c>
      <c r="N1561" t="e">
        <f>NA()</f>
        <v>#N/A</v>
      </c>
      <c r="O1561">
        <f t="shared" si="56"/>
        <v>1.8</v>
      </c>
    </row>
    <row r="1562" spans="1:15" x14ac:dyDescent="0.25">
      <c r="A1562" s="1">
        <v>43742</v>
      </c>
      <c r="B1562">
        <f>0.4</f>
        <v>0.4</v>
      </c>
      <c r="C1562">
        <f>0</f>
        <v>0</v>
      </c>
      <c r="D1562" t="e">
        <f>NA()</f>
        <v>#N/A</v>
      </c>
      <c r="E1562" t="e">
        <f>NA()</f>
        <v>#N/A</v>
      </c>
      <c r="F1562" t="e">
        <f>NA()</f>
        <v>#N/A</v>
      </c>
      <c r="G1562" t="e">
        <f>NA()</f>
        <v>#N/A</v>
      </c>
      <c r="H1562" t="e">
        <f>NA()</f>
        <v>#N/A</v>
      </c>
      <c r="I1562" t="e">
        <f>NA()</f>
        <v>#N/A</v>
      </c>
      <c r="J1562" t="e">
        <f>NA()</f>
        <v>#N/A</v>
      </c>
      <c r="K1562" t="e">
        <f>NA()</f>
        <v>#N/A</v>
      </c>
      <c r="L1562" t="e">
        <f>NA()</f>
        <v>#N/A</v>
      </c>
      <c r="M1562" t="e">
        <f>NA()</f>
        <v>#N/A</v>
      </c>
      <c r="N1562" t="e">
        <f>NA()</f>
        <v>#N/A</v>
      </c>
      <c r="O1562">
        <f t="shared" si="56"/>
        <v>1.8</v>
      </c>
    </row>
    <row r="1563" spans="1:15" x14ac:dyDescent="0.25">
      <c r="A1563" s="1">
        <v>43741</v>
      </c>
      <c r="B1563" t="e">
        <f>NA()</f>
        <v>#N/A</v>
      </c>
      <c r="C1563" t="e">
        <f>NA()</f>
        <v>#N/A</v>
      </c>
      <c r="D1563" t="e">
        <f>NA()</f>
        <v>#N/A</v>
      </c>
      <c r="E1563" t="e">
        <f>NA()</f>
        <v>#N/A</v>
      </c>
      <c r="F1563" t="e">
        <f>NA()</f>
        <v>#N/A</v>
      </c>
      <c r="G1563" t="e">
        <f>NA()</f>
        <v>#N/A</v>
      </c>
      <c r="H1563" t="e">
        <f>NA()</f>
        <v>#N/A</v>
      </c>
      <c r="I1563" t="e">
        <f>NA()</f>
        <v>#N/A</v>
      </c>
      <c r="J1563" t="e">
        <f>NA()</f>
        <v>#N/A</v>
      </c>
      <c r="K1563" t="e">
        <f>NA()</f>
        <v>#N/A</v>
      </c>
      <c r="L1563" t="e">
        <f>NA()</f>
        <v>#N/A</v>
      </c>
      <c r="M1563" t="e">
        <f>NA()</f>
        <v>#N/A</v>
      </c>
      <c r="N1563" t="e">
        <f>NA()</f>
        <v>#N/A</v>
      </c>
      <c r="O1563">
        <f t="shared" si="56"/>
        <v>1.8</v>
      </c>
    </row>
    <row r="1564" spans="1:15" x14ac:dyDescent="0.25">
      <c r="A1564" s="1">
        <v>43740</v>
      </c>
      <c r="B1564" t="e">
        <f>NA()</f>
        <v>#N/A</v>
      </c>
      <c r="C1564" t="e">
        <f>NA()</f>
        <v>#N/A</v>
      </c>
      <c r="D1564" t="e">
        <f>NA()</f>
        <v>#N/A</v>
      </c>
      <c r="E1564" t="e">
        <f>NA()</f>
        <v>#N/A</v>
      </c>
      <c r="F1564" t="e">
        <f>NA()</f>
        <v>#N/A</v>
      </c>
      <c r="G1564" t="e">
        <f>NA()</f>
        <v>#N/A</v>
      </c>
      <c r="H1564" t="e">
        <f>NA()</f>
        <v>#N/A</v>
      </c>
      <c r="I1564" t="e">
        <f>NA()</f>
        <v>#N/A</v>
      </c>
      <c r="J1564" t="e">
        <f>NA()</f>
        <v>#N/A</v>
      </c>
      <c r="K1564" t="e">
        <f>NA()</f>
        <v>#N/A</v>
      </c>
      <c r="L1564" t="e">
        <f>NA()</f>
        <v>#N/A</v>
      </c>
      <c r="M1564" t="e">
        <f>NA()</f>
        <v>#N/A</v>
      </c>
      <c r="N1564" t="e">
        <f>NA()</f>
        <v>#N/A</v>
      </c>
      <c r="O1564">
        <f>1.9</f>
        <v>1.9</v>
      </c>
    </row>
    <row r="1565" spans="1:15" x14ac:dyDescent="0.25">
      <c r="A1565" s="1">
        <v>43739</v>
      </c>
      <c r="B1565" t="e">
        <f>NA()</f>
        <v>#N/A</v>
      </c>
      <c r="C1565" t="e">
        <f>NA()</f>
        <v>#N/A</v>
      </c>
      <c r="D1565" t="e">
        <f>NA()</f>
        <v>#N/A</v>
      </c>
      <c r="E1565" t="e">
        <f>NA()</f>
        <v>#N/A</v>
      </c>
      <c r="F1565" t="e">
        <f>NA()</f>
        <v>#N/A</v>
      </c>
      <c r="G1565" t="e">
        <f>NA()</f>
        <v>#N/A</v>
      </c>
      <c r="H1565" t="e">
        <f>NA()</f>
        <v>#N/A</v>
      </c>
      <c r="I1565" t="e">
        <f>NA()</f>
        <v>#N/A</v>
      </c>
      <c r="J1565" t="e">
        <f>NA()</f>
        <v>#N/A</v>
      </c>
      <c r="K1565" t="e">
        <f>NA()</f>
        <v>#N/A</v>
      </c>
      <c r="L1565" t="e">
        <f>NA()</f>
        <v>#N/A</v>
      </c>
      <c r="M1565" t="e">
        <f>NA()</f>
        <v>#N/A</v>
      </c>
      <c r="N1565" t="e">
        <f>NA()</f>
        <v>#N/A</v>
      </c>
      <c r="O1565">
        <f>1.9</f>
        <v>1.9</v>
      </c>
    </row>
    <row r="1566" spans="1:15" x14ac:dyDescent="0.25">
      <c r="A1566" s="1">
        <v>43738</v>
      </c>
      <c r="B1566" t="e">
        <f>NA()</f>
        <v>#N/A</v>
      </c>
      <c r="C1566" t="e">
        <f>NA()</f>
        <v>#N/A</v>
      </c>
      <c r="D1566">
        <f>0.1</f>
        <v>0.1</v>
      </c>
      <c r="E1566">
        <f>1.4</f>
        <v>1.4</v>
      </c>
      <c r="F1566">
        <f>7124</f>
        <v>7124</v>
      </c>
      <c r="G1566">
        <f>63.2</f>
        <v>63.2</v>
      </c>
      <c r="H1566">
        <f>4.1</f>
        <v>4.0999999999999996</v>
      </c>
      <c r="I1566">
        <f>256.8</f>
        <v>256.8</v>
      </c>
      <c r="J1566">
        <f>1.7</f>
        <v>1.7</v>
      </c>
      <c r="K1566">
        <f>48.1</f>
        <v>48.1</v>
      </c>
      <c r="L1566">
        <f>-0.3</f>
        <v>-0.3</v>
      </c>
      <c r="M1566">
        <f>4.8</f>
        <v>4.8</v>
      </c>
      <c r="N1566">
        <f>3.5</f>
        <v>3.5</v>
      </c>
      <c r="O1566">
        <f>1.9</f>
        <v>1.9</v>
      </c>
    </row>
    <row r="1567" spans="1:15" x14ac:dyDescent="0.25">
      <c r="A1567" s="1">
        <v>43735</v>
      </c>
      <c r="B1567">
        <f>0.1</f>
        <v>0.1</v>
      </c>
      <c r="C1567">
        <f>0</f>
        <v>0</v>
      </c>
      <c r="D1567" t="e">
        <f>NA()</f>
        <v>#N/A</v>
      </c>
      <c r="E1567" t="e">
        <f>NA()</f>
        <v>#N/A</v>
      </c>
      <c r="F1567" t="e">
        <f>NA()</f>
        <v>#N/A</v>
      </c>
      <c r="G1567" t="e">
        <f>NA()</f>
        <v>#N/A</v>
      </c>
      <c r="H1567" t="e">
        <f>NA()</f>
        <v>#N/A</v>
      </c>
      <c r="I1567" t="e">
        <f>NA()</f>
        <v>#N/A</v>
      </c>
      <c r="J1567" t="e">
        <f>NA()</f>
        <v>#N/A</v>
      </c>
      <c r="K1567" t="e">
        <f>NA()</f>
        <v>#N/A</v>
      </c>
      <c r="L1567" t="e">
        <f>NA()</f>
        <v>#N/A</v>
      </c>
      <c r="M1567" t="e">
        <f>NA()</f>
        <v>#N/A</v>
      </c>
      <c r="N1567" t="e">
        <f>NA()</f>
        <v>#N/A</v>
      </c>
      <c r="O1567">
        <f>1.8</f>
        <v>1.8</v>
      </c>
    </row>
    <row r="1568" spans="1:15" x14ac:dyDescent="0.25">
      <c r="A1568" s="1">
        <v>43734</v>
      </c>
      <c r="B1568" t="e">
        <f>NA()</f>
        <v>#N/A</v>
      </c>
      <c r="C1568" t="e">
        <f>NA()</f>
        <v>#N/A</v>
      </c>
      <c r="D1568" t="e">
        <f>NA()</f>
        <v>#N/A</v>
      </c>
      <c r="E1568" t="e">
        <f>NA()</f>
        <v>#N/A</v>
      </c>
      <c r="F1568" t="e">
        <f>NA()</f>
        <v>#N/A</v>
      </c>
      <c r="G1568" t="e">
        <f>NA()</f>
        <v>#N/A</v>
      </c>
      <c r="H1568" t="e">
        <f>NA()</f>
        <v>#N/A</v>
      </c>
      <c r="I1568" t="e">
        <f>NA()</f>
        <v>#N/A</v>
      </c>
      <c r="J1568" t="e">
        <f>NA()</f>
        <v>#N/A</v>
      </c>
      <c r="K1568" t="e">
        <f>NA()</f>
        <v>#N/A</v>
      </c>
      <c r="L1568" t="e">
        <f>NA()</f>
        <v>#N/A</v>
      </c>
      <c r="M1568" t="e">
        <f>NA()</f>
        <v>#N/A</v>
      </c>
      <c r="N1568" t="e">
        <f>NA()</f>
        <v>#N/A</v>
      </c>
      <c r="O1568">
        <f t="shared" ref="O1568:O1573" si="57">1.9</f>
        <v>1.9</v>
      </c>
    </row>
    <row r="1569" spans="1:15" x14ac:dyDescent="0.25">
      <c r="A1569" s="1">
        <v>43733</v>
      </c>
      <c r="B1569" t="e">
        <f>NA()</f>
        <v>#N/A</v>
      </c>
      <c r="C1569" t="e">
        <f>NA()</f>
        <v>#N/A</v>
      </c>
      <c r="D1569" t="e">
        <f>NA()</f>
        <v>#N/A</v>
      </c>
      <c r="E1569" t="e">
        <f>NA()</f>
        <v>#N/A</v>
      </c>
      <c r="F1569" t="e">
        <f>NA()</f>
        <v>#N/A</v>
      </c>
      <c r="G1569" t="e">
        <f>NA()</f>
        <v>#N/A</v>
      </c>
      <c r="H1569" t="e">
        <f>NA()</f>
        <v>#N/A</v>
      </c>
      <c r="I1569" t="e">
        <f>NA()</f>
        <v>#N/A</v>
      </c>
      <c r="J1569" t="e">
        <f>NA()</f>
        <v>#N/A</v>
      </c>
      <c r="K1569" t="e">
        <f>NA()</f>
        <v>#N/A</v>
      </c>
      <c r="L1569" t="e">
        <f>NA()</f>
        <v>#N/A</v>
      </c>
      <c r="M1569" t="e">
        <f>NA()</f>
        <v>#N/A</v>
      </c>
      <c r="N1569" t="e">
        <f>NA()</f>
        <v>#N/A</v>
      </c>
      <c r="O1569">
        <f t="shared" si="57"/>
        <v>1.9</v>
      </c>
    </row>
    <row r="1570" spans="1:15" x14ac:dyDescent="0.25">
      <c r="A1570" s="1">
        <v>43732</v>
      </c>
      <c r="B1570" t="e">
        <f>NA()</f>
        <v>#N/A</v>
      </c>
      <c r="C1570" t="e">
        <f>NA()</f>
        <v>#N/A</v>
      </c>
      <c r="D1570" t="e">
        <f>NA()</f>
        <v>#N/A</v>
      </c>
      <c r="E1570" t="e">
        <f>NA()</f>
        <v>#N/A</v>
      </c>
      <c r="F1570" t="e">
        <f>NA()</f>
        <v>#N/A</v>
      </c>
      <c r="G1570" t="e">
        <f>NA()</f>
        <v>#N/A</v>
      </c>
      <c r="H1570" t="e">
        <f>NA()</f>
        <v>#N/A</v>
      </c>
      <c r="I1570" t="e">
        <f>NA()</f>
        <v>#N/A</v>
      </c>
      <c r="J1570" t="e">
        <f>NA()</f>
        <v>#N/A</v>
      </c>
      <c r="K1570" t="e">
        <f>NA()</f>
        <v>#N/A</v>
      </c>
      <c r="L1570" t="e">
        <f>NA()</f>
        <v>#N/A</v>
      </c>
      <c r="M1570" t="e">
        <f>NA()</f>
        <v>#N/A</v>
      </c>
      <c r="N1570" t="e">
        <f>NA()</f>
        <v>#N/A</v>
      </c>
      <c r="O1570">
        <f t="shared" si="57"/>
        <v>1.9</v>
      </c>
    </row>
    <row r="1571" spans="1:15" x14ac:dyDescent="0.25">
      <c r="A1571" s="1">
        <v>43731</v>
      </c>
      <c r="B1571" t="e">
        <f>NA()</f>
        <v>#N/A</v>
      </c>
      <c r="C1571" t="e">
        <f>NA()</f>
        <v>#N/A</v>
      </c>
      <c r="D1571" t="e">
        <f>NA()</f>
        <v>#N/A</v>
      </c>
      <c r="E1571" t="e">
        <f>NA()</f>
        <v>#N/A</v>
      </c>
      <c r="F1571" t="e">
        <f>NA()</f>
        <v>#N/A</v>
      </c>
      <c r="G1571" t="e">
        <f>NA()</f>
        <v>#N/A</v>
      </c>
      <c r="H1571" t="e">
        <f>NA()</f>
        <v>#N/A</v>
      </c>
      <c r="I1571" t="e">
        <f>NA()</f>
        <v>#N/A</v>
      </c>
      <c r="J1571" t="e">
        <f>NA()</f>
        <v>#N/A</v>
      </c>
      <c r="K1571" t="e">
        <f>NA()</f>
        <v>#N/A</v>
      </c>
      <c r="L1571" t="e">
        <f>NA()</f>
        <v>#N/A</v>
      </c>
      <c r="M1571" t="e">
        <f>NA()</f>
        <v>#N/A</v>
      </c>
      <c r="N1571" t="e">
        <f>NA()</f>
        <v>#N/A</v>
      </c>
      <c r="O1571">
        <f t="shared" si="57"/>
        <v>1.9</v>
      </c>
    </row>
    <row r="1572" spans="1:15" x14ac:dyDescent="0.25">
      <c r="A1572" s="1">
        <v>43728</v>
      </c>
      <c r="B1572">
        <f>-0.2</f>
        <v>-0.2</v>
      </c>
      <c r="C1572">
        <f>0</f>
        <v>0</v>
      </c>
      <c r="D1572" t="e">
        <f>NA()</f>
        <v>#N/A</v>
      </c>
      <c r="E1572" t="e">
        <f>NA()</f>
        <v>#N/A</v>
      </c>
      <c r="F1572" t="e">
        <f>NA()</f>
        <v>#N/A</v>
      </c>
      <c r="G1572" t="e">
        <f>NA()</f>
        <v>#N/A</v>
      </c>
      <c r="H1572" t="e">
        <f>NA()</f>
        <v>#N/A</v>
      </c>
      <c r="I1572" t="e">
        <f>NA()</f>
        <v>#N/A</v>
      </c>
      <c r="J1572" t="e">
        <f>NA()</f>
        <v>#N/A</v>
      </c>
      <c r="K1572" t="e">
        <f>NA()</f>
        <v>#N/A</v>
      </c>
      <c r="L1572" t="e">
        <f>NA()</f>
        <v>#N/A</v>
      </c>
      <c r="M1572" t="e">
        <f>NA()</f>
        <v>#N/A</v>
      </c>
      <c r="N1572" t="e">
        <f>NA()</f>
        <v>#N/A</v>
      </c>
      <c r="O1572">
        <f t="shared" si="57"/>
        <v>1.9</v>
      </c>
    </row>
    <row r="1573" spans="1:15" x14ac:dyDescent="0.25">
      <c r="A1573" s="1">
        <v>43727</v>
      </c>
      <c r="B1573" t="e">
        <f>NA()</f>
        <v>#N/A</v>
      </c>
      <c r="C1573" t="e">
        <f>NA()</f>
        <v>#N/A</v>
      </c>
      <c r="D1573" t="e">
        <f>NA()</f>
        <v>#N/A</v>
      </c>
      <c r="E1573" t="e">
        <f>NA()</f>
        <v>#N/A</v>
      </c>
      <c r="F1573" t="e">
        <f>NA()</f>
        <v>#N/A</v>
      </c>
      <c r="G1573" t="e">
        <f>NA()</f>
        <v>#N/A</v>
      </c>
      <c r="H1573" t="e">
        <f>NA()</f>
        <v>#N/A</v>
      </c>
      <c r="I1573" t="e">
        <f>NA()</f>
        <v>#N/A</v>
      </c>
      <c r="J1573" t="e">
        <f>NA()</f>
        <v>#N/A</v>
      </c>
      <c r="K1573" t="e">
        <f>NA()</f>
        <v>#N/A</v>
      </c>
      <c r="L1573" t="e">
        <f>NA()</f>
        <v>#N/A</v>
      </c>
      <c r="M1573" t="e">
        <f>NA()</f>
        <v>#N/A</v>
      </c>
      <c r="N1573" t="e">
        <f>NA()</f>
        <v>#N/A</v>
      </c>
      <c r="O1573">
        <f t="shared" si="57"/>
        <v>1.9</v>
      </c>
    </row>
    <row r="1574" spans="1:15" x14ac:dyDescent="0.25">
      <c r="A1574" s="1">
        <v>43726</v>
      </c>
      <c r="B1574" t="e">
        <f>NA()</f>
        <v>#N/A</v>
      </c>
      <c r="C1574" t="e">
        <f>NA()</f>
        <v>#N/A</v>
      </c>
      <c r="D1574" t="e">
        <f>NA()</f>
        <v>#N/A</v>
      </c>
      <c r="E1574" t="e">
        <f>NA()</f>
        <v>#N/A</v>
      </c>
      <c r="F1574" t="e">
        <f>NA()</f>
        <v>#N/A</v>
      </c>
      <c r="G1574" t="e">
        <f>NA()</f>
        <v>#N/A</v>
      </c>
      <c r="H1574" t="e">
        <f>NA()</f>
        <v>#N/A</v>
      </c>
      <c r="I1574" t="e">
        <f>NA()</f>
        <v>#N/A</v>
      </c>
      <c r="J1574" t="e">
        <f>NA()</f>
        <v>#N/A</v>
      </c>
      <c r="K1574" t="e">
        <f>NA()</f>
        <v>#N/A</v>
      </c>
      <c r="L1574" t="e">
        <f>NA()</f>
        <v>#N/A</v>
      </c>
      <c r="M1574" t="e">
        <f>NA()</f>
        <v>#N/A</v>
      </c>
      <c r="N1574" t="e">
        <f>NA()</f>
        <v>#N/A</v>
      </c>
      <c r="O1574">
        <f>2.3</f>
        <v>2.2999999999999998</v>
      </c>
    </row>
    <row r="1575" spans="1:15" x14ac:dyDescent="0.25">
      <c r="A1575" s="1">
        <v>43725</v>
      </c>
      <c r="B1575" t="e">
        <f>NA()</f>
        <v>#N/A</v>
      </c>
      <c r="C1575" t="e">
        <f>NA()</f>
        <v>#N/A</v>
      </c>
      <c r="D1575" t="e">
        <f>NA()</f>
        <v>#N/A</v>
      </c>
      <c r="E1575" t="e">
        <f>NA()</f>
        <v>#N/A</v>
      </c>
      <c r="F1575" t="e">
        <f>NA()</f>
        <v>#N/A</v>
      </c>
      <c r="G1575" t="e">
        <f>NA()</f>
        <v>#N/A</v>
      </c>
      <c r="H1575" t="e">
        <f>NA()</f>
        <v>#N/A</v>
      </c>
      <c r="I1575" t="e">
        <f>NA()</f>
        <v>#N/A</v>
      </c>
      <c r="J1575" t="e">
        <f>NA()</f>
        <v>#N/A</v>
      </c>
      <c r="K1575" t="e">
        <f>NA()</f>
        <v>#N/A</v>
      </c>
      <c r="L1575" t="e">
        <f>NA()</f>
        <v>#N/A</v>
      </c>
      <c r="M1575" t="e">
        <f>NA()</f>
        <v>#N/A</v>
      </c>
      <c r="N1575" t="e">
        <f>NA()</f>
        <v>#N/A</v>
      </c>
      <c r="O1575">
        <f>2.3</f>
        <v>2.2999999999999998</v>
      </c>
    </row>
    <row r="1576" spans="1:15" x14ac:dyDescent="0.25">
      <c r="A1576" s="1">
        <v>43724</v>
      </c>
      <c r="B1576" t="e">
        <f>NA()</f>
        <v>#N/A</v>
      </c>
      <c r="C1576" t="e">
        <f>NA()</f>
        <v>#N/A</v>
      </c>
      <c r="D1576" t="e">
        <f>NA()</f>
        <v>#N/A</v>
      </c>
      <c r="E1576" t="e">
        <f>NA()</f>
        <v>#N/A</v>
      </c>
      <c r="F1576" t="e">
        <f>NA()</f>
        <v>#N/A</v>
      </c>
      <c r="G1576" t="e">
        <f>NA()</f>
        <v>#N/A</v>
      </c>
      <c r="H1576" t="e">
        <f>NA()</f>
        <v>#N/A</v>
      </c>
      <c r="I1576" t="e">
        <f>NA()</f>
        <v>#N/A</v>
      </c>
      <c r="J1576" t="e">
        <f>NA()</f>
        <v>#N/A</v>
      </c>
      <c r="K1576" t="e">
        <f>NA()</f>
        <v>#N/A</v>
      </c>
      <c r="L1576" t="e">
        <f>NA()</f>
        <v>#N/A</v>
      </c>
      <c r="M1576" t="e">
        <f>NA()</f>
        <v>#N/A</v>
      </c>
      <c r="N1576" t="e">
        <f>NA()</f>
        <v>#N/A</v>
      </c>
      <c r="O1576">
        <f>2.3</f>
        <v>2.2999999999999998</v>
      </c>
    </row>
    <row r="1577" spans="1:15" x14ac:dyDescent="0.25">
      <c r="A1577" s="1">
        <v>43721</v>
      </c>
      <c r="B1577">
        <f>-0.4</f>
        <v>-0.4</v>
      </c>
      <c r="C1577">
        <f>0</f>
        <v>0</v>
      </c>
      <c r="D1577" t="e">
        <f>NA()</f>
        <v>#N/A</v>
      </c>
      <c r="E1577" t="e">
        <f>NA()</f>
        <v>#N/A</v>
      </c>
      <c r="F1577" t="e">
        <f>NA()</f>
        <v>#N/A</v>
      </c>
      <c r="G1577" t="e">
        <f>NA()</f>
        <v>#N/A</v>
      </c>
      <c r="H1577" t="e">
        <f>NA()</f>
        <v>#N/A</v>
      </c>
      <c r="I1577" t="e">
        <f>NA()</f>
        <v>#N/A</v>
      </c>
      <c r="J1577" t="e">
        <f>NA()</f>
        <v>#N/A</v>
      </c>
      <c r="K1577" t="e">
        <f>NA()</f>
        <v>#N/A</v>
      </c>
      <c r="L1577" t="e">
        <f>NA()</f>
        <v>#N/A</v>
      </c>
      <c r="M1577" t="e">
        <f>NA()</f>
        <v>#N/A</v>
      </c>
      <c r="N1577" t="e">
        <f>NA()</f>
        <v>#N/A</v>
      </c>
      <c r="O1577">
        <f t="shared" ref="O1577:O1585" si="58">2.1</f>
        <v>2.1</v>
      </c>
    </row>
    <row r="1578" spans="1:15" x14ac:dyDescent="0.25">
      <c r="A1578" s="1">
        <v>43720</v>
      </c>
      <c r="B1578" t="e">
        <f>NA()</f>
        <v>#N/A</v>
      </c>
      <c r="C1578" t="e">
        <f>NA()</f>
        <v>#N/A</v>
      </c>
      <c r="D1578" t="e">
        <f>NA()</f>
        <v>#N/A</v>
      </c>
      <c r="E1578" t="e">
        <f>NA()</f>
        <v>#N/A</v>
      </c>
      <c r="F1578" t="e">
        <f>NA()</f>
        <v>#N/A</v>
      </c>
      <c r="G1578" t="e">
        <f>NA()</f>
        <v>#N/A</v>
      </c>
      <c r="H1578" t="e">
        <f>NA()</f>
        <v>#N/A</v>
      </c>
      <c r="I1578" t="e">
        <f>NA()</f>
        <v>#N/A</v>
      </c>
      <c r="J1578" t="e">
        <f>NA()</f>
        <v>#N/A</v>
      </c>
      <c r="K1578" t="e">
        <f>NA()</f>
        <v>#N/A</v>
      </c>
      <c r="L1578" t="e">
        <f>NA()</f>
        <v>#N/A</v>
      </c>
      <c r="M1578" t="e">
        <f>NA()</f>
        <v>#N/A</v>
      </c>
      <c r="N1578" t="e">
        <f>NA()</f>
        <v>#N/A</v>
      </c>
      <c r="O1578">
        <f t="shared" si="58"/>
        <v>2.1</v>
      </c>
    </row>
    <row r="1579" spans="1:15" x14ac:dyDescent="0.25">
      <c r="A1579" s="1">
        <v>43719</v>
      </c>
      <c r="B1579" t="e">
        <f>NA()</f>
        <v>#N/A</v>
      </c>
      <c r="C1579" t="e">
        <f>NA()</f>
        <v>#N/A</v>
      </c>
      <c r="D1579" t="e">
        <f>NA()</f>
        <v>#N/A</v>
      </c>
      <c r="E1579" t="e">
        <f>NA()</f>
        <v>#N/A</v>
      </c>
      <c r="F1579" t="e">
        <f>NA()</f>
        <v>#N/A</v>
      </c>
      <c r="G1579" t="e">
        <f>NA()</f>
        <v>#N/A</v>
      </c>
      <c r="H1579" t="e">
        <f>NA()</f>
        <v>#N/A</v>
      </c>
      <c r="I1579" t="e">
        <f>NA()</f>
        <v>#N/A</v>
      </c>
      <c r="J1579" t="e">
        <f>NA()</f>
        <v>#N/A</v>
      </c>
      <c r="K1579" t="e">
        <f>NA()</f>
        <v>#N/A</v>
      </c>
      <c r="L1579" t="e">
        <f>NA()</f>
        <v>#N/A</v>
      </c>
      <c r="M1579" t="e">
        <f>NA()</f>
        <v>#N/A</v>
      </c>
      <c r="N1579" t="e">
        <f>NA()</f>
        <v>#N/A</v>
      </c>
      <c r="O1579">
        <f t="shared" si="58"/>
        <v>2.1</v>
      </c>
    </row>
    <row r="1580" spans="1:15" x14ac:dyDescent="0.25">
      <c r="A1580" s="1">
        <v>43718</v>
      </c>
      <c r="B1580" t="e">
        <f>NA()</f>
        <v>#N/A</v>
      </c>
      <c r="C1580" t="e">
        <f>NA()</f>
        <v>#N/A</v>
      </c>
      <c r="D1580" t="e">
        <f>NA()</f>
        <v>#N/A</v>
      </c>
      <c r="E1580" t="e">
        <f>NA()</f>
        <v>#N/A</v>
      </c>
      <c r="F1580" t="e">
        <f>NA()</f>
        <v>#N/A</v>
      </c>
      <c r="G1580" t="e">
        <f>NA()</f>
        <v>#N/A</v>
      </c>
      <c r="H1580" t="e">
        <f>NA()</f>
        <v>#N/A</v>
      </c>
      <c r="I1580" t="e">
        <f>NA()</f>
        <v>#N/A</v>
      </c>
      <c r="J1580" t="e">
        <f>NA()</f>
        <v>#N/A</v>
      </c>
      <c r="K1580" t="e">
        <f>NA()</f>
        <v>#N/A</v>
      </c>
      <c r="L1580" t="e">
        <f>NA()</f>
        <v>#N/A</v>
      </c>
      <c r="M1580" t="e">
        <f>NA()</f>
        <v>#N/A</v>
      </c>
      <c r="N1580" t="e">
        <f>NA()</f>
        <v>#N/A</v>
      </c>
      <c r="O1580">
        <f t="shared" si="58"/>
        <v>2.1</v>
      </c>
    </row>
    <row r="1581" spans="1:15" x14ac:dyDescent="0.25">
      <c r="A1581" s="1">
        <v>43717</v>
      </c>
      <c r="B1581" t="e">
        <f>NA()</f>
        <v>#N/A</v>
      </c>
      <c r="C1581" t="e">
        <f>NA()</f>
        <v>#N/A</v>
      </c>
      <c r="D1581" t="e">
        <f>NA()</f>
        <v>#N/A</v>
      </c>
      <c r="E1581" t="e">
        <f>NA()</f>
        <v>#N/A</v>
      </c>
      <c r="F1581" t="e">
        <f>NA()</f>
        <v>#N/A</v>
      </c>
      <c r="G1581" t="e">
        <f>NA()</f>
        <v>#N/A</v>
      </c>
      <c r="H1581" t="e">
        <f>NA()</f>
        <v>#N/A</v>
      </c>
      <c r="I1581" t="e">
        <f>NA()</f>
        <v>#N/A</v>
      </c>
      <c r="J1581" t="e">
        <f>NA()</f>
        <v>#N/A</v>
      </c>
      <c r="K1581" t="e">
        <f>NA()</f>
        <v>#N/A</v>
      </c>
      <c r="L1581" t="e">
        <f>NA()</f>
        <v>#N/A</v>
      </c>
      <c r="M1581" t="e">
        <f>NA()</f>
        <v>#N/A</v>
      </c>
      <c r="N1581" t="e">
        <f>NA()</f>
        <v>#N/A</v>
      </c>
      <c r="O1581">
        <f t="shared" si="58"/>
        <v>2.1</v>
      </c>
    </row>
    <row r="1582" spans="1:15" x14ac:dyDescent="0.25">
      <c r="A1582" s="1">
        <v>43714</v>
      </c>
      <c r="B1582">
        <f>-0.1</f>
        <v>-0.1</v>
      </c>
      <c r="C1582">
        <f>0</f>
        <v>0</v>
      </c>
      <c r="D1582" t="e">
        <f>NA()</f>
        <v>#N/A</v>
      </c>
      <c r="E1582" t="e">
        <f>NA()</f>
        <v>#N/A</v>
      </c>
      <c r="F1582" t="e">
        <f>NA()</f>
        <v>#N/A</v>
      </c>
      <c r="G1582" t="e">
        <f>NA()</f>
        <v>#N/A</v>
      </c>
      <c r="H1582" t="e">
        <f>NA()</f>
        <v>#N/A</v>
      </c>
      <c r="I1582" t="e">
        <f>NA()</f>
        <v>#N/A</v>
      </c>
      <c r="J1582" t="e">
        <f>NA()</f>
        <v>#N/A</v>
      </c>
      <c r="K1582" t="e">
        <f>NA()</f>
        <v>#N/A</v>
      </c>
      <c r="L1582" t="e">
        <f>NA()</f>
        <v>#N/A</v>
      </c>
      <c r="M1582" t="e">
        <f>NA()</f>
        <v>#N/A</v>
      </c>
      <c r="N1582" t="e">
        <f>NA()</f>
        <v>#N/A</v>
      </c>
      <c r="O1582">
        <f t="shared" si="58"/>
        <v>2.1</v>
      </c>
    </row>
    <row r="1583" spans="1:15" x14ac:dyDescent="0.25">
      <c r="A1583" s="1">
        <v>43713</v>
      </c>
      <c r="B1583" t="e">
        <f>NA()</f>
        <v>#N/A</v>
      </c>
      <c r="C1583" t="e">
        <f>NA()</f>
        <v>#N/A</v>
      </c>
      <c r="D1583" t="e">
        <f>NA()</f>
        <v>#N/A</v>
      </c>
      <c r="E1583" t="e">
        <f>NA()</f>
        <v>#N/A</v>
      </c>
      <c r="F1583" t="e">
        <f>NA()</f>
        <v>#N/A</v>
      </c>
      <c r="G1583" t="e">
        <f>NA()</f>
        <v>#N/A</v>
      </c>
      <c r="H1583" t="e">
        <f>NA()</f>
        <v>#N/A</v>
      </c>
      <c r="I1583" t="e">
        <f>NA()</f>
        <v>#N/A</v>
      </c>
      <c r="J1583" t="e">
        <f>NA()</f>
        <v>#N/A</v>
      </c>
      <c r="K1583" t="e">
        <f>NA()</f>
        <v>#N/A</v>
      </c>
      <c r="L1583" t="e">
        <f>NA()</f>
        <v>#N/A</v>
      </c>
      <c r="M1583" t="e">
        <f>NA()</f>
        <v>#N/A</v>
      </c>
      <c r="N1583" t="e">
        <f>NA()</f>
        <v>#N/A</v>
      </c>
      <c r="O1583">
        <f t="shared" si="58"/>
        <v>2.1</v>
      </c>
    </row>
    <row r="1584" spans="1:15" x14ac:dyDescent="0.25">
      <c r="A1584" s="1">
        <v>43712</v>
      </c>
      <c r="B1584" t="e">
        <f>NA()</f>
        <v>#N/A</v>
      </c>
      <c r="C1584" t="e">
        <f>NA()</f>
        <v>#N/A</v>
      </c>
      <c r="D1584" t="e">
        <f>NA()</f>
        <v>#N/A</v>
      </c>
      <c r="E1584" t="e">
        <f>NA()</f>
        <v>#N/A</v>
      </c>
      <c r="F1584" t="e">
        <f>NA()</f>
        <v>#N/A</v>
      </c>
      <c r="G1584" t="e">
        <f>NA()</f>
        <v>#N/A</v>
      </c>
      <c r="H1584" t="e">
        <f>NA()</f>
        <v>#N/A</v>
      </c>
      <c r="I1584" t="e">
        <f>NA()</f>
        <v>#N/A</v>
      </c>
      <c r="J1584" t="e">
        <f>NA()</f>
        <v>#N/A</v>
      </c>
      <c r="K1584" t="e">
        <f>NA()</f>
        <v>#N/A</v>
      </c>
      <c r="L1584" t="e">
        <f>NA()</f>
        <v>#N/A</v>
      </c>
      <c r="M1584" t="e">
        <f>NA()</f>
        <v>#N/A</v>
      </c>
      <c r="N1584" t="e">
        <f>NA()</f>
        <v>#N/A</v>
      </c>
      <c r="O1584">
        <f t="shared" si="58"/>
        <v>2.1</v>
      </c>
    </row>
    <row r="1585" spans="1:15" x14ac:dyDescent="0.25">
      <c r="A1585" s="1">
        <v>43711</v>
      </c>
      <c r="B1585" t="e">
        <f>NA()</f>
        <v>#N/A</v>
      </c>
      <c r="C1585" t="e">
        <f>NA()</f>
        <v>#N/A</v>
      </c>
      <c r="D1585" t="e">
        <f>NA()</f>
        <v>#N/A</v>
      </c>
      <c r="E1585" t="e">
        <f>NA()</f>
        <v>#N/A</v>
      </c>
      <c r="F1585" t="e">
        <f>NA()</f>
        <v>#N/A</v>
      </c>
      <c r="G1585" t="e">
        <f>NA()</f>
        <v>#N/A</v>
      </c>
      <c r="H1585" t="e">
        <f>NA()</f>
        <v>#N/A</v>
      </c>
      <c r="I1585" t="e">
        <f>NA()</f>
        <v>#N/A</v>
      </c>
      <c r="J1585" t="e">
        <f>NA()</f>
        <v>#N/A</v>
      </c>
      <c r="K1585" t="e">
        <f>NA()</f>
        <v>#N/A</v>
      </c>
      <c r="L1585" t="e">
        <f>NA()</f>
        <v>#N/A</v>
      </c>
      <c r="M1585" t="e">
        <f>NA()</f>
        <v>#N/A</v>
      </c>
      <c r="N1585" t="e">
        <f>NA()</f>
        <v>#N/A</v>
      </c>
      <c r="O1585">
        <f t="shared" si="58"/>
        <v>2.1</v>
      </c>
    </row>
    <row r="1586" spans="1:15" x14ac:dyDescent="0.25">
      <c r="A1586" s="1">
        <v>43708</v>
      </c>
      <c r="B1586" t="e">
        <f>NA()</f>
        <v>#N/A</v>
      </c>
      <c r="C1586" t="e">
        <f>NA()</f>
        <v>#N/A</v>
      </c>
      <c r="D1586">
        <f>0.4</f>
        <v>0.4</v>
      </c>
      <c r="E1586">
        <f>1.7</f>
        <v>1.7</v>
      </c>
      <c r="F1586">
        <f>7178</f>
        <v>7178</v>
      </c>
      <c r="G1586">
        <f>63.1</f>
        <v>63.1</v>
      </c>
      <c r="H1586">
        <f>3.9</f>
        <v>3.9</v>
      </c>
      <c r="I1586">
        <f>256.6</f>
        <v>256.60000000000002</v>
      </c>
      <c r="J1586">
        <f>1.7</f>
        <v>1.7</v>
      </c>
      <c r="K1586">
        <f>48.5</f>
        <v>48.5</v>
      </c>
      <c r="L1586">
        <f>0.8</f>
        <v>0.8</v>
      </c>
      <c r="M1586" t="e">
        <f>NA()</f>
        <v>#N/A</v>
      </c>
      <c r="N1586">
        <f>3.6</f>
        <v>3.6</v>
      </c>
      <c r="O1586" t="e">
        <f>NA()</f>
        <v>#N/A</v>
      </c>
    </row>
    <row r="1587" spans="1:15" x14ac:dyDescent="0.25">
      <c r="A1587" s="1">
        <v>43707</v>
      </c>
      <c r="B1587">
        <f>-0.1</f>
        <v>-0.1</v>
      </c>
      <c r="C1587">
        <f>0</f>
        <v>0</v>
      </c>
      <c r="D1587" t="e">
        <f>NA()</f>
        <v>#N/A</v>
      </c>
      <c r="E1587" t="e">
        <f>NA()</f>
        <v>#N/A</v>
      </c>
      <c r="F1587" t="e">
        <f>NA()</f>
        <v>#N/A</v>
      </c>
      <c r="G1587" t="e">
        <f>NA()</f>
        <v>#N/A</v>
      </c>
      <c r="H1587" t="e">
        <f>NA()</f>
        <v>#N/A</v>
      </c>
      <c r="I1587" t="e">
        <f>NA()</f>
        <v>#N/A</v>
      </c>
      <c r="J1587" t="e">
        <f>NA()</f>
        <v>#N/A</v>
      </c>
      <c r="K1587" t="e">
        <f>NA()</f>
        <v>#N/A</v>
      </c>
      <c r="L1587" t="e">
        <f>NA()</f>
        <v>#N/A</v>
      </c>
      <c r="M1587" t="e">
        <f>NA()</f>
        <v>#N/A</v>
      </c>
      <c r="N1587" t="e">
        <f>NA()</f>
        <v>#N/A</v>
      </c>
      <c r="O1587">
        <f t="shared" ref="O1587:O1608" si="59">2.1</f>
        <v>2.1</v>
      </c>
    </row>
    <row r="1588" spans="1:15" x14ac:dyDescent="0.25">
      <c r="A1588" s="1">
        <v>43706</v>
      </c>
      <c r="B1588" t="e">
        <f>NA()</f>
        <v>#N/A</v>
      </c>
      <c r="C1588" t="e">
        <f>NA()</f>
        <v>#N/A</v>
      </c>
      <c r="D1588" t="e">
        <f>NA()</f>
        <v>#N/A</v>
      </c>
      <c r="E1588" t="e">
        <f>NA()</f>
        <v>#N/A</v>
      </c>
      <c r="F1588" t="e">
        <f>NA()</f>
        <v>#N/A</v>
      </c>
      <c r="G1588" t="e">
        <f>NA()</f>
        <v>#N/A</v>
      </c>
      <c r="H1588" t="e">
        <f>NA()</f>
        <v>#N/A</v>
      </c>
      <c r="I1588" t="e">
        <f>NA()</f>
        <v>#N/A</v>
      </c>
      <c r="J1588" t="e">
        <f>NA()</f>
        <v>#N/A</v>
      </c>
      <c r="K1588" t="e">
        <f>NA()</f>
        <v>#N/A</v>
      </c>
      <c r="L1588" t="e">
        <f>NA()</f>
        <v>#N/A</v>
      </c>
      <c r="M1588" t="e">
        <f>NA()</f>
        <v>#N/A</v>
      </c>
      <c r="N1588" t="e">
        <f>NA()</f>
        <v>#N/A</v>
      </c>
      <c r="O1588">
        <f t="shared" si="59"/>
        <v>2.1</v>
      </c>
    </row>
    <row r="1589" spans="1:15" x14ac:dyDescent="0.25">
      <c r="A1589" s="1">
        <v>43705</v>
      </c>
      <c r="B1589" t="e">
        <f>NA()</f>
        <v>#N/A</v>
      </c>
      <c r="C1589" t="e">
        <f>NA()</f>
        <v>#N/A</v>
      </c>
      <c r="D1589" t="e">
        <f>NA()</f>
        <v>#N/A</v>
      </c>
      <c r="E1589" t="e">
        <f>NA()</f>
        <v>#N/A</v>
      </c>
      <c r="F1589" t="e">
        <f>NA()</f>
        <v>#N/A</v>
      </c>
      <c r="G1589" t="e">
        <f>NA()</f>
        <v>#N/A</v>
      </c>
      <c r="H1589" t="e">
        <f>NA()</f>
        <v>#N/A</v>
      </c>
      <c r="I1589" t="e">
        <f>NA()</f>
        <v>#N/A</v>
      </c>
      <c r="J1589" t="e">
        <f>NA()</f>
        <v>#N/A</v>
      </c>
      <c r="K1589" t="e">
        <f>NA()</f>
        <v>#N/A</v>
      </c>
      <c r="L1589" t="e">
        <f>NA()</f>
        <v>#N/A</v>
      </c>
      <c r="M1589" t="e">
        <f>NA()</f>
        <v>#N/A</v>
      </c>
      <c r="N1589" t="e">
        <f>NA()</f>
        <v>#N/A</v>
      </c>
      <c r="O1589">
        <f t="shared" si="59"/>
        <v>2.1</v>
      </c>
    </row>
    <row r="1590" spans="1:15" x14ac:dyDescent="0.25">
      <c r="A1590" s="1">
        <v>43704</v>
      </c>
      <c r="B1590" t="e">
        <f>NA()</f>
        <v>#N/A</v>
      </c>
      <c r="C1590" t="e">
        <f>NA()</f>
        <v>#N/A</v>
      </c>
      <c r="D1590" t="e">
        <f>NA()</f>
        <v>#N/A</v>
      </c>
      <c r="E1590" t="e">
        <f>NA()</f>
        <v>#N/A</v>
      </c>
      <c r="F1590" t="e">
        <f>NA()</f>
        <v>#N/A</v>
      </c>
      <c r="G1590" t="e">
        <f>NA()</f>
        <v>#N/A</v>
      </c>
      <c r="H1590" t="e">
        <f>NA()</f>
        <v>#N/A</v>
      </c>
      <c r="I1590" t="e">
        <f>NA()</f>
        <v>#N/A</v>
      </c>
      <c r="J1590" t="e">
        <f>NA()</f>
        <v>#N/A</v>
      </c>
      <c r="K1590" t="e">
        <f>NA()</f>
        <v>#N/A</v>
      </c>
      <c r="L1590" t="e">
        <f>NA()</f>
        <v>#N/A</v>
      </c>
      <c r="M1590" t="e">
        <f>NA()</f>
        <v>#N/A</v>
      </c>
      <c r="N1590" t="e">
        <f>NA()</f>
        <v>#N/A</v>
      </c>
      <c r="O1590">
        <f t="shared" si="59"/>
        <v>2.1</v>
      </c>
    </row>
    <row r="1591" spans="1:15" x14ac:dyDescent="0.25">
      <c r="A1591" s="1">
        <v>43703</v>
      </c>
      <c r="B1591" t="e">
        <f>NA()</f>
        <v>#N/A</v>
      </c>
      <c r="C1591" t="e">
        <f>NA()</f>
        <v>#N/A</v>
      </c>
      <c r="D1591" t="e">
        <f>NA()</f>
        <v>#N/A</v>
      </c>
      <c r="E1591" t="e">
        <f>NA()</f>
        <v>#N/A</v>
      </c>
      <c r="F1591" t="e">
        <f>NA()</f>
        <v>#N/A</v>
      </c>
      <c r="G1591" t="e">
        <f>NA()</f>
        <v>#N/A</v>
      </c>
      <c r="H1591" t="e">
        <f>NA()</f>
        <v>#N/A</v>
      </c>
      <c r="I1591" t="e">
        <f>NA()</f>
        <v>#N/A</v>
      </c>
      <c r="J1591" t="e">
        <f>NA()</f>
        <v>#N/A</v>
      </c>
      <c r="K1591" t="e">
        <f>NA()</f>
        <v>#N/A</v>
      </c>
      <c r="L1591" t="e">
        <f>NA()</f>
        <v>#N/A</v>
      </c>
      <c r="M1591" t="e">
        <f>NA()</f>
        <v>#N/A</v>
      </c>
      <c r="N1591" t="e">
        <f>NA()</f>
        <v>#N/A</v>
      </c>
      <c r="O1591">
        <f t="shared" si="59"/>
        <v>2.1</v>
      </c>
    </row>
    <row r="1592" spans="1:15" x14ac:dyDescent="0.25">
      <c r="A1592" s="1">
        <v>43700</v>
      </c>
      <c r="B1592">
        <f>-0.1</f>
        <v>-0.1</v>
      </c>
      <c r="C1592">
        <f>0</f>
        <v>0</v>
      </c>
      <c r="D1592" t="e">
        <f>NA()</f>
        <v>#N/A</v>
      </c>
      <c r="E1592" t="e">
        <f>NA()</f>
        <v>#N/A</v>
      </c>
      <c r="F1592" t="e">
        <f>NA()</f>
        <v>#N/A</v>
      </c>
      <c r="G1592" t="e">
        <f>NA()</f>
        <v>#N/A</v>
      </c>
      <c r="H1592" t="e">
        <f>NA()</f>
        <v>#N/A</v>
      </c>
      <c r="I1592" t="e">
        <f>NA()</f>
        <v>#N/A</v>
      </c>
      <c r="J1592" t="e">
        <f>NA()</f>
        <v>#N/A</v>
      </c>
      <c r="K1592" t="e">
        <f>NA()</f>
        <v>#N/A</v>
      </c>
      <c r="L1592" t="e">
        <f>NA()</f>
        <v>#N/A</v>
      </c>
      <c r="M1592" t="e">
        <f>NA()</f>
        <v>#N/A</v>
      </c>
      <c r="N1592" t="e">
        <f>NA()</f>
        <v>#N/A</v>
      </c>
      <c r="O1592">
        <f t="shared" si="59"/>
        <v>2.1</v>
      </c>
    </row>
    <row r="1593" spans="1:15" x14ac:dyDescent="0.25">
      <c r="A1593" s="1">
        <v>43699</v>
      </c>
      <c r="B1593" t="e">
        <f>NA()</f>
        <v>#N/A</v>
      </c>
      <c r="C1593" t="e">
        <f>NA()</f>
        <v>#N/A</v>
      </c>
      <c r="D1593" t="e">
        <f>NA()</f>
        <v>#N/A</v>
      </c>
      <c r="E1593" t="e">
        <f>NA()</f>
        <v>#N/A</v>
      </c>
      <c r="F1593" t="e">
        <f>NA()</f>
        <v>#N/A</v>
      </c>
      <c r="G1593" t="e">
        <f>NA()</f>
        <v>#N/A</v>
      </c>
      <c r="H1593" t="e">
        <f>NA()</f>
        <v>#N/A</v>
      </c>
      <c r="I1593" t="e">
        <f>NA()</f>
        <v>#N/A</v>
      </c>
      <c r="J1593" t="e">
        <f>NA()</f>
        <v>#N/A</v>
      </c>
      <c r="K1593" t="e">
        <f>NA()</f>
        <v>#N/A</v>
      </c>
      <c r="L1593" t="e">
        <f>NA()</f>
        <v>#N/A</v>
      </c>
      <c r="M1593" t="e">
        <f>NA()</f>
        <v>#N/A</v>
      </c>
      <c r="N1593" t="e">
        <f>NA()</f>
        <v>#N/A</v>
      </c>
      <c r="O1593">
        <f t="shared" si="59"/>
        <v>2.1</v>
      </c>
    </row>
    <row r="1594" spans="1:15" x14ac:dyDescent="0.25">
      <c r="A1594" s="1">
        <v>43698</v>
      </c>
      <c r="B1594" t="e">
        <f>NA()</f>
        <v>#N/A</v>
      </c>
      <c r="C1594" t="e">
        <f>NA()</f>
        <v>#N/A</v>
      </c>
      <c r="D1594" t="e">
        <f>NA()</f>
        <v>#N/A</v>
      </c>
      <c r="E1594" t="e">
        <f>NA()</f>
        <v>#N/A</v>
      </c>
      <c r="F1594" t="e">
        <f>NA()</f>
        <v>#N/A</v>
      </c>
      <c r="G1594" t="e">
        <f>NA()</f>
        <v>#N/A</v>
      </c>
      <c r="H1594" t="e">
        <f>NA()</f>
        <v>#N/A</v>
      </c>
      <c r="I1594" t="e">
        <f>NA()</f>
        <v>#N/A</v>
      </c>
      <c r="J1594" t="e">
        <f>NA()</f>
        <v>#N/A</v>
      </c>
      <c r="K1594" t="e">
        <f>NA()</f>
        <v>#N/A</v>
      </c>
      <c r="L1594" t="e">
        <f>NA()</f>
        <v>#N/A</v>
      </c>
      <c r="M1594" t="e">
        <f>NA()</f>
        <v>#N/A</v>
      </c>
      <c r="N1594" t="e">
        <f>NA()</f>
        <v>#N/A</v>
      </c>
      <c r="O1594">
        <f t="shared" si="59"/>
        <v>2.1</v>
      </c>
    </row>
    <row r="1595" spans="1:15" x14ac:dyDescent="0.25">
      <c r="A1595" s="1">
        <v>43697</v>
      </c>
      <c r="B1595" t="e">
        <f>NA()</f>
        <v>#N/A</v>
      </c>
      <c r="C1595" t="e">
        <f>NA()</f>
        <v>#N/A</v>
      </c>
      <c r="D1595" t="e">
        <f>NA()</f>
        <v>#N/A</v>
      </c>
      <c r="E1595" t="e">
        <f>NA()</f>
        <v>#N/A</v>
      </c>
      <c r="F1595" t="e">
        <f>NA()</f>
        <v>#N/A</v>
      </c>
      <c r="G1595" t="e">
        <f>NA()</f>
        <v>#N/A</v>
      </c>
      <c r="H1595" t="e">
        <f>NA()</f>
        <v>#N/A</v>
      </c>
      <c r="I1595" t="e">
        <f>NA()</f>
        <v>#N/A</v>
      </c>
      <c r="J1595" t="e">
        <f>NA()</f>
        <v>#N/A</v>
      </c>
      <c r="K1595" t="e">
        <f>NA()</f>
        <v>#N/A</v>
      </c>
      <c r="L1595" t="e">
        <f>NA()</f>
        <v>#N/A</v>
      </c>
      <c r="M1595" t="e">
        <f>NA()</f>
        <v>#N/A</v>
      </c>
      <c r="N1595" t="e">
        <f>NA()</f>
        <v>#N/A</v>
      </c>
      <c r="O1595">
        <f t="shared" si="59"/>
        <v>2.1</v>
      </c>
    </row>
    <row r="1596" spans="1:15" x14ac:dyDescent="0.25">
      <c r="A1596" s="1">
        <v>43696</v>
      </c>
      <c r="B1596" t="e">
        <f>NA()</f>
        <v>#N/A</v>
      </c>
      <c r="C1596" t="e">
        <f>NA()</f>
        <v>#N/A</v>
      </c>
      <c r="D1596" t="e">
        <f>NA()</f>
        <v>#N/A</v>
      </c>
      <c r="E1596" t="e">
        <f>NA()</f>
        <v>#N/A</v>
      </c>
      <c r="F1596" t="e">
        <f>NA()</f>
        <v>#N/A</v>
      </c>
      <c r="G1596" t="e">
        <f>NA()</f>
        <v>#N/A</v>
      </c>
      <c r="H1596" t="e">
        <f>NA()</f>
        <v>#N/A</v>
      </c>
      <c r="I1596" t="e">
        <f>NA()</f>
        <v>#N/A</v>
      </c>
      <c r="J1596" t="e">
        <f>NA()</f>
        <v>#N/A</v>
      </c>
      <c r="K1596" t="e">
        <f>NA()</f>
        <v>#N/A</v>
      </c>
      <c r="L1596" t="e">
        <f>NA()</f>
        <v>#N/A</v>
      </c>
      <c r="M1596" t="e">
        <f>NA()</f>
        <v>#N/A</v>
      </c>
      <c r="N1596" t="e">
        <f>NA()</f>
        <v>#N/A</v>
      </c>
      <c r="O1596">
        <f t="shared" si="59"/>
        <v>2.1</v>
      </c>
    </row>
    <row r="1597" spans="1:15" x14ac:dyDescent="0.25">
      <c r="A1597" s="1">
        <v>43693</v>
      </c>
      <c r="B1597">
        <f>0.2</f>
        <v>0.2</v>
      </c>
      <c r="C1597">
        <f>0</f>
        <v>0</v>
      </c>
      <c r="D1597" t="e">
        <f>NA()</f>
        <v>#N/A</v>
      </c>
      <c r="E1597" t="e">
        <f>NA()</f>
        <v>#N/A</v>
      </c>
      <c r="F1597" t="e">
        <f>NA()</f>
        <v>#N/A</v>
      </c>
      <c r="G1597" t="e">
        <f>NA()</f>
        <v>#N/A</v>
      </c>
      <c r="H1597" t="e">
        <f>NA()</f>
        <v>#N/A</v>
      </c>
      <c r="I1597" t="e">
        <f>NA()</f>
        <v>#N/A</v>
      </c>
      <c r="J1597" t="e">
        <f>NA()</f>
        <v>#N/A</v>
      </c>
      <c r="K1597" t="e">
        <f>NA()</f>
        <v>#N/A</v>
      </c>
      <c r="L1597" t="e">
        <f>NA()</f>
        <v>#N/A</v>
      </c>
      <c r="M1597" t="e">
        <f>NA()</f>
        <v>#N/A</v>
      </c>
      <c r="N1597" t="e">
        <f>NA()</f>
        <v>#N/A</v>
      </c>
      <c r="O1597">
        <f t="shared" si="59"/>
        <v>2.1</v>
      </c>
    </row>
    <row r="1598" spans="1:15" x14ac:dyDescent="0.25">
      <c r="A1598" s="1">
        <v>43692</v>
      </c>
      <c r="B1598" t="e">
        <f>NA()</f>
        <v>#N/A</v>
      </c>
      <c r="C1598" t="e">
        <f>NA()</f>
        <v>#N/A</v>
      </c>
      <c r="D1598" t="e">
        <f>NA()</f>
        <v>#N/A</v>
      </c>
      <c r="E1598" t="e">
        <f>NA()</f>
        <v>#N/A</v>
      </c>
      <c r="F1598" t="e">
        <f>NA()</f>
        <v>#N/A</v>
      </c>
      <c r="G1598" t="e">
        <f>NA()</f>
        <v>#N/A</v>
      </c>
      <c r="H1598" t="e">
        <f>NA()</f>
        <v>#N/A</v>
      </c>
      <c r="I1598" t="e">
        <f>NA()</f>
        <v>#N/A</v>
      </c>
      <c r="J1598" t="e">
        <f>NA()</f>
        <v>#N/A</v>
      </c>
      <c r="K1598" t="e">
        <f>NA()</f>
        <v>#N/A</v>
      </c>
      <c r="L1598" t="e">
        <f>NA()</f>
        <v>#N/A</v>
      </c>
      <c r="M1598" t="e">
        <f>NA()</f>
        <v>#N/A</v>
      </c>
      <c r="N1598" t="e">
        <f>NA()</f>
        <v>#N/A</v>
      </c>
      <c r="O1598">
        <f t="shared" si="59"/>
        <v>2.1</v>
      </c>
    </row>
    <row r="1599" spans="1:15" x14ac:dyDescent="0.25">
      <c r="A1599" s="1">
        <v>43691</v>
      </c>
      <c r="B1599" t="e">
        <f>NA()</f>
        <v>#N/A</v>
      </c>
      <c r="C1599" t="e">
        <f>NA()</f>
        <v>#N/A</v>
      </c>
      <c r="D1599" t="e">
        <f>NA()</f>
        <v>#N/A</v>
      </c>
      <c r="E1599" t="e">
        <f>NA()</f>
        <v>#N/A</v>
      </c>
      <c r="F1599" t="e">
        <f>NA()</f>
        <v>#N/A</v>
      </c>
      <c r="G1599" t="e">
        <f>NA()</f>
        <v>#N/A</v>
      </c>
      <c r="H1599" t="e">
        <f>NA()</f>
        <v>#N/A</v>
      </c>
      <c r="I1599" t="e">
        <f>NA()</f>
        <v>#N/A</v>
      </c>
      <c r="J1599" t="e">
        <f>NA()</f>
        <v>#N/A</v>
      </c>
      <c r="K1599" t="e">
        <f>NA()</f>
        <v>#N/A</v>
      </c>
      <c r="L1599" t="e">
        <f>NA()</f>
        <v>#N/A</v>
      </c>
      <c r="M1599" t="e">
        <f>NA()</f>
        <v>#N/A</v>
      </c>
      <c r="N1599" t="e">
        <f>NA()</f>
        <v>#N/A</v>
      </c>
      <c r="O1599">
        <f t="shared" si="59"/>
        <v>2.1</v>
      </c>
    </row>
    <row r="1600" spans="1:15" x14ac:dyDescent="0.25">
      <c r="A1600" s="1">
        <v>43690</v>
      </c>
      <c r="B1600" t="e">
        <f>NA()</f>
        <v>#N/A</v>
      </c>
      <c r="C1600" t="e">
        <f>NA()</f>
        <v>#N/A</v>
      </c>
      <c r="D1600" t="e">
        <f>NA()</f>
        <v>#N/A</v>
      </c>
      <c r="E1600" t="e">
        <f>NA()</f>
        <v>#N/A</v>
      </c>
      <c r="F1600" t="e">
        <f>NA()</f>
        <v>#N/A</v>
      </c>
      <c r="G1600" t="e">
        <f>NA()</f>
        <v>#N/A</v>
      </c>
      <c r="H1600" t="e">
        <f>NA()</f>
        <v>#N/A</v>
      </c>
      <c r="I1600" t="e">
        <f>NA()</f>
        <v>#N/A</v>
      </c>
      <c r="J1600" t="e">
        <f>NA()</f>
        <v>#N/A</v>
      </c>
      <c r="K1600" t="e">
        <f>NA()</f>
        <v>#N/A</v>
      </c>
      <c r="L1600" t="e">
        <f>NA()</f>
        <v>#N/A</v>
      </c>
      <c r="M1600" t="e">
        <f>NA()</f>
        <v>#N/A</v>
      </c>
      <c r="N1600" t="e">
        <f>NA()</f>
        <v>#N/A</v>
      </c>
      <c r="O1600">
        <f t="shared" si="59"/>
        <v>2.1</v>
      </c>
    </row>
    <row r="1601" spans="1:15" x14ac:dyDescent="0.25">
      <c r="A1601" s="1">
        <v>43689</v>
      </c>
      <c r="B1601" t="e">
        <f>NA()</f>
        <v>#N/A</v>
      </c>
      <c r="C1601" t="e">
        <f>NA()</f>
        <v>#N/A</v>
      </c>
      <c r="D1601" t="e">
        <f>NA()</f>
        <v>#N/A</v>
      </c>
      <c r="E1601" t="e">
        <f>NA()</f>
        <v>#N/A</v>
      </c>
      <c r="F1601" t="e">
        <f>NA()</f>
        <v>#N/A</v>
      </c>
      <c r="G1601" t="e">
        <f>NA()</f>
        <v>#N/A</v>
      </c>
      <c r="H1601" t="e">
        <f>NA()</f>
        <v>#N/A</v>
      </c>
      <c r="I1601" t="e">
        <f>NA()</f>
        <v>#N/A</v>
      </c>
      <c r="J1601" t="e">
        <f>NA()</f>
        <v>#N/A</v>
      </c>
      <c r="K1601" t="e">
        <f>NA()</f>
        <v>#N/A</v>
      </c>
      <c r="L1601" t="e">
        <f>NA()</f>
        <v>#N/A</v>
      </c>
      <c r="M1601" t="e">
        <f>NA()</f>
        <v>#N/A</v>
      </c>
      <c r="N1601" t="e">
        <f>NA()</f>
        <v>#N/A</v>
      </c>
      <c r="O1601">
        <f t="shared" si="59"/>
        <v>2.1</v>
      </c>
    </row>
    <row r="1602" spans="1:15" x14ac:dyDescent="0.25">
      <c r="A1602" s="1">
        <v>43686</v>
      </c>
      <c r="B1602">
        <f>0.2</f>
        <v>0.2</v>
      </c>
      <c r="C1602">
        <f>0</f>
        <v>0</v>
      </c>
      <c r="D1602" t="e">
        <f>NA()</f>
        <v>#N/A</v>
      </c>
      <c r="E1602" t="e">
        <f>NA()</f>
        <v>#N/A</v>
      </c>
      <c r="F1602" t="e">
        <f>NA()</f>
        <v>#N/A</v>
      </c>
      <c r="G1602" t="e">
        <f>NA()</f>
        <v>#N/A</v>
      </c>
      <c r="H1602" t="e">
        <f>NA()</f>
        <v>#N/A</v>
      </c>
      <c r="I1602" t="e">
        <f>NA()</f>
        <v>#N/A</v>
      </c>
      <c r="J1602" t="e">
        <f>NA()</f>
        <v>#N/A</v>
      </c>
      <c r="K1602" t="e">
        <f>NA()</f>
        <v>#N/A</v>
      </c>
      <c r="L1602" t="e">
        <f>NA()</f>
        <v>#N/A</v>
      </c>
      <c r="M1602" t="e">
        <f>NA()</f>
        <v>#N/A</v>
      </c>
      <c r="N1602" t="e">
        <f>NA()</f>
        <v>#N/A</v>
      </c>
      <c r="O1602">
        <f t="shared" si="59"/>
        <v>2.1</v>
      </c>
    </row>
    <row r="1603" spans="1:15" x14ac:dyDescent="0.25">
      <c r="A1603" s="1">
        <v>43685</v>
      </c>
      <c r="B1603" t="e">
        <f>NA()</f>
        <v>#N/A</v>
      </c>
      <c r="C1603" t="e">
        <f>NA()</f>
        <v>#N/A</v>
      </c>
      <c r="D1603" t="e">
        <f>NA()</f>
        <v>#N/A</v>
      </c>
      <c r="E1603" t="e">
        <f>NA()</f>
        <v>#N/A</v>
      </c>
      <c r="F1603" t="e">
        <f>NA()</f>
        <v>#N/A</v>
      </c>
      <c r="G1603" t="e">
        <f>NA()</f>
        <v>#N/A</v>
      </c>
      <c r="H1603" t="e">
        <f>NA()</f>
        <v>#N/A</v>
      </c>
      <c r="I1603" t="e">
        <f>NA()</f>
        <v>#N/A</v>
      </c>
      <c r="J1603" t="e">
        <f>NA()</f>
        <v>#N/A</v>
      </c>
      <c r="K1603" t="e">
        <f>NA()</f>
        <v>#N/A</v>
      </c>
      <c r="L1603" t="e">
        <f>NA()</f>
        <v>#N/A</v>
      </c>
      <c r="M1603" t="e">
        <f>NA()</f>
        <v>#N/A</v>
      </c>
      <c r="N1603" t="e">
        <f>NA()</f>
        <v>#N/A</v>
      </c>
      <c r="O1603">
        <f t="shared" si="59"/>
        <v>2.1</v>
      </c>
    </row>
    <row r="1604" spans="1:15" x14ac:dyDescent="0.25">
      <c r="A1604" s="1">
        <v>43684</v>
      </c>
      <c r="B1604" t="e">
        <f>NA()</f>
        <v>#N/A</v>
      </c>
      <c r="C1604" t="e">
        <f>NA()</f>
        <v>#N/A</v>
      </c>
      <c r="D1604" t="e">
        <f>NA()</f>
        <v>#N/A</v>
      </c>
      <c r="E1604" t="e">
        <f>NA()</f>
        <v>#N/A</v>
      </c>
      <c r="F1604" t="e">
        <f>NA()</f>
        <v>#N/A</v>
      </c>
      <c r="G1604" t="e">
        <f>NA()</f>
        <v>#N/A</v>
      </c>
      <c r="H1604" t="e">
        <f>NA()</f>
        <v>#N/A</v>
      </c>
      <c r="I1604" t="e">
        <f>NA()</f>
        <v>#N/A</v>
      </c>
      <c r="J1604" t="e">
        <f>NA()</f>
        <v>#N/A</v>
      </c>
      <c r="K1604" t="e">
        <f>NA()</f>
        <v>#N/A</v>
      </c>
      <c r="L1604" t="e">
        <f>NA()</f>
        <v>#N/A</v>
      </c>
      <c r="M1604" t="e">
        <f>NA()</f>
        <v>#N/A</v>
      </c>
      <c r="N1604" t="e">
        <f>NA()</f>
        <v>#N/A</v>
      </c>
      <c r="O1604">
        <f t="shared" si="59"/>
        <v>2.1</v>
      </c>
    </row>
    <row r="1605" spans="1:15" x14ac:dyDescent="0.25">
      <c r="A1605" s="1">
        <v>43683</v>
      </c>
      <c r="B1605" t="e">
        <f>NA()</f>
        <v>#N/A</v>
      </c>
      <c r="C1605" t="e">
        <f>NA()</f>
        <v>#N/A</v>
      </c>
      <c r="D1605" t="e">
        <f>NA()</f>
        <v>#N/A</v>
      </c>
      <c r="E1605" t="e">
        <f>NA()</f>
        <v>#N/A</v>
      </c>
      <c r="F1605" t="e">
        <f>NA()</f>
        <v>#N/A</v>
      </c>
      <c r="G1605" t="e">
        <f>NA()</f>
        <v>#N/A</v>
      </c>
      <c r="H1605" t="e">
        <f>NA()</f>
        <v>#N/A</v>
      </c>
      <c r="I1605" t="e">
        <f>NA()</f>
        <v>#N/A</v>
      </c>
      <c r="J1605" t="e">
        <f>NA()</f>
        <v>#N/A</v>
      </c>
      <c r="K1605" t="e">
        <f>NA()</f>
        <v>#N/A</v>
      </c>
      <c r="L1605" t="e">
        <f>NA()</f>
        <v>#N/A</v>
      </c>
      <c r="M1605" t="e">
        <f>NA()</f>
        <v>#N/A</v>
      </c>
      <c r="N1605" t="e">
        <f>NA()</f>
        <v>#N/A</v>
      </c>
      <c r="O1605">
        <f t="shared" si="59"/>
        <v>2.1</v>
      </c>
    </row>
    <row r="1606" spans="1:15" x14ac:dyDescent="0.25">
      <c r="A1606" s="1">
        <v>43682</v>
      </c>
      <c r="B1606" t="e">
        <f>NA()</f>
        <v>#N/A</v>
      </c>
      <c r="C1606" t="e">
        <f>NA()</f>
        <v>#N/A</v>
      </c>
      <c r="D1606" t="e">
        <f>NA()</f>
        <v>#N/A</v>
      </c>
      <c r="E1606" t="e">
        <f>NA()</f>
        <v>#N/A</v>
      </c>
      <c r="F1606" t="e">
        <f>NA()</f>
        <v>#N/A</v>
      </c>
      <c r="G1606" t="e">
        <f>NA()</f>
        <v>#N/A</v>
      </c>
      <c r="H1606" t="e">
        <f>NA()</f>
        <v>#N/A</v>
      </c>
      <c r="I1606" t="e">
        <f>NA()</f>
        <v>#N/A</v>
      </c>
      <c r="J1606" t="e">
        <f>NA()</f>
        <v>#N/A</v>
      </c>
      <c r="K1606" t="e">
        <f>NA()</f>
        <v>#N/A</v>
      </c>
      <c r="L1606" t="e">
        <f>NA()</f>
        <v>#N/A</v>
      </c>
      <c r="M1606" t="e">
        <f>NA()</f>
        <v>#N/A</v>
      </c>
      <c r="N1606" t="e">
        <f>NA()</f>
        <v>#N/A</v>
      </c>
      <c r="O1606">
        <f t="shared" si="59"/>
        <v>2.1</v>
      </c>
    </row>
    <row r="1607" spans="1:15" x14ac:dyDescent="0.25">
      <c r="A1607" s="1">
        <v>43679</v>
      </c>
      <c r="B1607">
        <f>-0.3</f>
        <v>-0.3</v>
      </c>
      <c r="C1607">
        <f>0</f>
        <v>0</v>
      </c>
      <c r="D1607" t="e">
        <f>NA()</f>
        <v>#N/A</v>
      </c>
      <c r="E1607" t="e">
        <f>NA()</f>
        <v>#N/A</v>
      </c>
      <c r="F1607" t="e">
        <f>NA()</f>
        <v>#N/A</v>
      </c>
      <c r="G1607" t="e">
        <f>NA()</f>
        <v>#N/A</v>
      </c>
      <c r="H1607" t="e">
        <f>NA()</f>
        <v>#N/A</v>
      </c>
      <c r="I1607" t="e">
        <f>NA()</f>
        <v>#N/A</v>
      </c>
      <c r="J1607" t="e">
        <f>NA()</f>
        <v>#N/A</v>
      </c>
      <c r="K1607" t="e">
        <f>NA()</f>
        <v>#N/A</v>
      </c>
      <c r="L1607" t="e">
        <f>NA()</f>
        <v>#N/A</v>
      </c>
      <c r="M1607" t="e">
        <f>NA()</f>
        <v>#N/A</v>
      </c>
      <c r="N1607" t="e">
        <f>NA()</f>
        <v>#N/A</v>
      </c>
      <c r="O1607">
        <f t="shared" si="59"/>
        <v>2.1</v>
      </c>
    </row>
    <row r="1608" spans="1:15" x14ac:dyDescent="0.25">
      <c r="A1608" s="1">
        <v>43678</v>
      </c>
      <c r="B1608" t="e">
        <f>NA()</f>
        <v>#N/A</v>
      </c>
      <c r="C1608" t="e">
        <f>NA()</f>
        <v>#N/A</v>
      </c>
      <c r="D1608" t="e">
        <f>NA()</f>
        <v>#N/A</v>
      </c>
      <c r="E1608" t="e">
        <f>NA()</f>
        <v>#N/A</v>
      </c>
      <c r="F1608" t="e">
        <f>NA()</f>
        <v>#N/A</v>
      </c>
      <c r="G1608" t="e">
        <f>NA()</f>
        <v>#N/A</v>
      </c>
      <c r="H1608" t="e">
        <f>NA()</f>
        <v>#N/A</v>
      </c>
      <c r="I1608" t="e">
        <f>NA()</f>
        <v>#N/A</v>
      </c>
      <c r="J1608" t="e">
        <f>NA()</f>
        <v>#N/A</v>
      </c>
      <c r="K1608" t="e">
        <f>NA()</f>
        <v>#N/A</v>
      </c>
      <c r="L1608" t="e">
        <f>NA()</f>
        <v>#N/A</v>
      </c>
      <c r="M1608" t="e">
        <f>NA()</f>
        <v>#N/A</v>
      </c>
      <c r="N1608" t="e">
        <f>NA()</f>
        <v>#N/A</v>
      </c>
      <c r="O1608">
        <f t="shared" si="59"/>
        <v>2.1</v>
      </c>
    </row>
    <row r="1609" spans="1:15" x14ac:dyDescent="0.25">
      <c r="A1609" s="1">
        <v>43677</v>
      </c>
      <c r="B1609" t="e">
        <f>NA()</f>
        <v>#N/A</v>
      </c>
      <c r="C1609" t="e">
        <f>NA()</f>
        <v>#N/A</v>
      </c>
      <c r="D1609">
        <f>0.3</f>
        <v>0.3</v>
      </c>
      <c r="E1609">
        <f>1.6</f>
        <v>1.6</v>
      </c>
      <c r="F1609">
        <f>7042</f>
        <v>7042</v>
      </c>
      <c r="G1609">
        <f>63.1</f>
        <v>63.1</v>
      </c>
      <c r="H1609">
        <f>3.7</f>
        <v>3.7</v>
      </c>
      <c r="I1609">
        <f>256.6</f>
        <v>256.60000000000002</v>
      </c>
      <c r="J1609">
        <f>1.8</f>
        <v>1.8</v>
      </c>
      <c r="K1609">
        <f>51</f>
        <v>51</v>
      </c>
      <c r="L1609">
        <f>-0.5</f>
        <v>-0.5</v>
      </c>
      <c r="M1609" t="e">
        <f>NA()</f>
        <v>#N/A</v>
      </c>
      <c r="N1609">
        <f>3.7</f>
        <v>3.7</v>
      </c>
      <c r="O1609">
        <f t="shared" ref="O1609:O1630" si="60">2.4</f>
        <v>2.4</v>
      </c>
    </row>
    <row r="1610" spans="1:15" x14ac:dyDescent="0.25">
      <c r="A1610" s="1">
        <v>43676</v>
      </c>
      <c r="B1610" t="e">
        <f>NA()</f>
        <v>#N/A</v>
      </c>
      <c r="C1610" t="e">
        <f>NA()</f>
        <v>#N/A</v>
      </c>
      <c r="D1610" t="e">
        <f>NA()</f>
        <v>#N/A</v>
      </c>
      <c r="E1610" t="e">
        <f>NA()</f>
        <v>#N/A</v>
      </c>
      <c r="F1610" t="e">
        <f>NA()</f>
        <v>#N/A</v>
      </c>
      <c r="G1610" t="e">
        <f>NA()</f>
        <v>#N/A</v>
      </c>
      <c r="H1610" t="e">
        <f>NA()</f>
        <v>#N/A</v>
      </c>
      <c r="I1610" t="e">
        <f>NA()</f>
        <v>#N/A</v>
      </c>
      <c r="J1610" t="e">
        <f>NA()</f>
        <v>#N/A</v>
      </c>
      <c r="K1610" t="e">
        <f>NA()</f>
        <v>#N/A</v>
      </c>
      <c r="L1610" t="e">
        <f>NA()</f>
        <v>#N/A</v>
      </c>
      <c r="M1610" t="e">
        <f>NA()</f>
        <v>#N/A</v>
      </c>
      <c r="N1610" t="e">
        <f>NA()</f>
        <v>#N/A</v>
      </c>
      <c r="O1610">
        <f t="shared" si="60"/>
        <v>2.4</v>
      </c>
    </row>
    <row r="1611" spans="1:15" x14ac:dyDescent="0.25">
      <c r="A1611" s="1">
        <v>43675</v>
      </c>
      <c r="B1611" t="e">
        <f>NA()</f>
        <v>#N/A</v>
      </c>
      <c r="C1611" t="e">
        <f>NA()</f>
        <v>#N/A</v>
      </c>
      <c r="D1611" t="e">
        <f>NA()</f>
        <v>#N/A</v>
      </c>
      <c r="E1611" t="e">
        <f>NA()</f>
        <v>#N/A</v>
      </c>
      <c r="F1611" t="e">
        <f>NA()</f>
        <v>#N/A</v>
      </c>
      <c r="G1611" t="e">
        <f>NA()</f>
        <v>#N/A</v>
      </c>
      <c r="H1611" t="e">
        <f>NA()</f>
        <v>#N/A</v>
      </c>
      <c r="I1611" t="e">
        <f>NA()</f>
        <v>#N/A</v>
      </c>
      <c r="J1611" t="e">
        <f>NA()</f>
        <v>#N/A</v>
      </c>
      <c r="K1611" t="e">
        <f>NA()</f>
        <v>#N/A</v>
      </c>
      <c r="L1611" t="e">
        <f>NA()</f>
        <v>#N/A</v>
      </c>
      <c r="M1611" t="e">
        <f>NA()</f>
        <v>#N/A</v>
      </c>
      <c r="N1611" t="e">
        <f>NA()</f>
        <v>#N/A</v>
      </c>
      <c r="O1611">
        <f t="shared" si="60"/>
        <v>2.4</v>
      </c>
    </row>
    <row r="1612" spans="1:15" x14ac:dyDescent="0.25">
      <c r="A1612" s="1">
        <v>43672</v>
      </c>
      <c r="B1612">
        <f>-0.5</f>
        <v>-0.5</v>
      </c>
      <c r="C1612">
        <f>0</f>
        <v>0</v>
      </c>
      <c r="D1612" t="e">
        <f>NA()</f>
        <v>#N/A</v>
      </c>
      <c r="E1612" t="e">
        <f>NA()</f>
        <v>#N/A</v>
      </c>
      <c r="F1612" t="e">
        <f>NA()</f>
        <v>#N/A</v>
      </c>
      <c r="G1612" t="e">
        <f>NA()</f>
        <v>#N/A</v>
      </c>
      <c r="H1612" t="e">
        <f>NA()</f>
        <v>#N/A</v>
      </c>
      <c r="I1612" t="e">
        <f>NA()</f>
        <v>#N/A</v>
      </c>
      <c r="J1612" t="e">
        <f>NA()</f>
        <v>#N/A</v>
      </c>
      <c r="K1612" t="e">
        <f>NA()</f>
        <v>#N/A</v>
      </c>
      <c r="L1612" t="e">
        <f>NA()</f>
        <v>#N/A</v>
      </c>
      <c r="M1612" t="e">
        <f>NA()</f>
        <v>#N/A</v>
      </c>
      <c r="N1612" t="e">
        <f>NA()</f>
        <v>#N/A</v>
      </c>
      <c r="O1612">
        <f t="shared" si="60"/>
        <v>2.4</v>
      </c>
    </row>
    <row r="1613" spans="1:15" x14ac:dyDescent="0.25">
      <c r="A1613" s="1">
        <v>43671</v>
      </c>
      <c r="B1613" t="e">
        <f>NA()</f>
        <v>#N/A</v>
      </c>
      <c r="C1613" t="e">
        <f>NA()</f>
        <v>#N/A</v>
      </c>
      <c r="D1613" t="e">
        <f>NA()</f>
        <v>#N/A</v>
      </c>
      <c r="E1613" t="e">
        <f>NA()</f>
        <v>#N/A</v>
      </c>
      <c r="F1613" t="e">
        <f>NA()</f>
        <v>#N/A</v>
      </c>
      <c r="G1613" t="e">
        <f>NA()</f>
        <v>#N/A</v>
      </c>
      <c r="H1613" t="e">
        <f>NA()</f>
        <v>#N/A</v>
      </c>
      <c r="I1613" t="e">
        <f>NA()</f>
        <v>#N/A</v>
      </c>
      <c r="J1613" t="e">
        <f>NA()</f>
        <v>#N/A</v>
      </c>
      <c r="K1613" t="e">
        <f>NA()</f>
        <v>#N/A</v>
      </c>
      <c r="L1613" t="e">
        <f>NA()</f>
        <v>#N/A</v>
      </c>
      <c r="M1613" t="e">
        <f>NA()</f>
        <v>#N/A</v>
      </c>
      <c r="N1613" t="e">
        <f>NA()</f>
        <v>#N/A</v>
      </c>
      <c r="O1613">
        <f t="shared" si="60"/>
        <v>2.4</v>
      </c>
    </row>
    <row r="1614" spans="1:15" x14ac:dyDescent="0.25">
      <c r="A1614" s="1">
        <v>43670</v>
      </c>
      <c r="B1614" t="e">
        <f>NA()</f>
        <v>#N/A</v>
      </c>
      <c r="C1614" t="e">
        <f>NA()</f>
        <v>#N/A</v>
      </c>
      <c r="D1614" t="e">
        <f>NA()</f>
        <v>#N/A</v>
      </c>
      <c r="E1614" t="e">
        <f>NA()</f>
        <v>#N/A</v>
      </c>
      <c r="F1614" t="e">
        <f>NA()</f>
        <v>#N/A</v>
      </c>
      <c r="G1614" t="e">
        <f>NA()</f>
        <v>#N/A</v>
      </c>
      <c r="H1614" t="e">
        <f>NA()</f>
        <v>#N/A</v>
      </c>
      <c r="I1614" t="e">
        <f>NA()</f>
        <v>#N/A</v>
      </c>
      <c r="J1614" t="e">
        <f>NA()</f>
        <v>#N/A</v>
      </c>
      <c r="K1614" t="e">
        <f>NA()</f>
        <v>#N/A</v>
      </c>
      <c r="L1614" t="e">
        <f>NA()</f>
        <v>#N/A</v>
      </c>
      <c r="M1614" t="e">
        <f>NA()</f>
        <v>#N/A</v>
      </c>
      <c r="N1614" t="e">
        <f>NA()</f>
        <v>#N/A</v>
      </c>
      <c r="O1614">
        <f t="shared" si="60"/>
        <v>2.4</v>
      </c>
    </row>
    <row r="1615" spans="1:15" x14ac:dyDescent="0.25">
      <c r="A1615" s="1">
        <v>43669</v>
      </c>
      <c r="B1615" t="e">
        <f>NA()</f>
        <v>#N/A</v>
      </c>
      <c r="C1615" t="e">
        <f>NA()</f>
        <v>#N/A</v>
      </c>
      <c r="D1615" t="e">
        <f>NA()</f>
        <v>#N/A</v>
      </c>
      <c r="E1615" t="e">
        <f>NA()</f>
        <v>#N/A</v>
      </c>
      <c r="F1615" t="e">
        <f>NA()</f>
        <v>#N/A</v>
      </c>
      <c r="G1615" t="e">
        <f>NA()</f>
        <v>#N/A</v>
      </c>
      <c r="H1615" t="e">
        <f>NA()</f>
        <v>#N/A</v>
      </c>
      <c r="I1615" t="e">
        <f>NA()</f>
        <v>#N/A</v>
      </c>
      <c r="J1615" t="e">
        <f>NA()</f>
        <v>#N/A</v>
      </c>
      <c r="K1615" t="e">
        <f>NA()</f>
        <v>#N/A</v>
      </c>
      <c r="L1615" t="e">
        <f>NA()</f>
        <v>#N/A</v>
      </c>
      <c r="M1615" t="e">
        <f>NA()</f>
        <v>#N/A</v>
      </c>
      <c r="N1615" t="e">
        <f>NA()</f>
        <v>#N/A</v>
      </c>
      <c r="O1615">
        <f t="shared" si="60"/>
        <v>2.4</v>
      </c>
    </row>
    <row r="1616" spans="1:15" x14ac:dyDescent="0.25">
      <c r="A1616" s="1">
        <v>43668</v>
      </c>
      <c r="B1616" t="e">
        <f>NA()</f>
        <v>#N/A</v>
      </c>
      <c r="C1616" t="e">
        <f>NA()</f>
        <v>#N/A</v>
      </c>
      <c r="D1616" t="e">
        <f>NA()</f>
        <v>#N/A</v>
      </c>
      <c r="E1616" t="e">
        <f>NA()</f>
        <v>#N/A</v>
      </c>
      <c r="F1616" t="e">
        <f>NA()</f>
        <v>#N/A</v>
      </c>
      <c r="G1616" t="e">
        <f>NA()</f>
        <v>#N/A</v>
      </c>
      <c r="H1616" t="e">
        <f>NA()</f>
        <v>#N/A</v>
      </c>
      <c r="I1616" t="e">
        <f>NA()</f>
        <v>#N/A</v>
      </c>
      <c r="J1616" t="e">
        <f>NA()</f>
        <v>#N/A</v>
      </c>
      <c r="K1616" t="e">
        <f>NA()</f>
        <v>#N/A</v>
      </c>
      <c r="L1616" t="e">
        <f>NA()</f>
        <v>#N/A</v>
      </c>
      <c r="M1616" t="e">
        <f>NA()</f>
        <v>#N/A</v>
      </c>
      <c r="N1616" t="e">
        <f>NA()</f>
        <v>#N/A</v>
      </c>
      <c r="O1616">
        <f t="shared" si="60"/>
        <v>2.4</v>
      </c>
    </row>
    <row r="1617" spans="1:15" x14ac:dyDescent="0.25">
      <c r="A1617" s="1">
        <v>43665</v>
      </c>
      <c r="B1617">
        <f>-0.4</f>
        <v>-0.4</v>
      </c>
      <c r="C1617">
        <f>0</f>
        <v>0</v>
      </c>
      <c r="D1617" t="e">
        <f>NA()</f>
        <v>#N/A</v>
      </c>
      <c r="E1617" t="e">
        <f>NA()</f>
        <v>#N/A</v>
      </c>
      <c r="F1617" t="e">
        <f>NA()</f>
        <v>#N/A</v>
      </c>
      <c r="G1617" t="e">
        <f>NA()</f>
        <v>#N/A</v>
      </c>
      <c r="H1617" t="e">
        <f>NA()</f>
        <v>#N/A</v>
      </c>
      <c r="I1617" t="e">
        <f>NA()</f>
        <v>#N/A</v>
      </c>
      <c r="J1617" t="e">
        <f>NA()</f>
        <v>#N/A</v>
      </c>
      <c r="K1617" t="e">
        <f>NA()</f>
        <v>#N/A</v>
      </c>
      <c r="L1617" t="e">
        <f>NA()</f>
        <v>#N/A</v>
      </c>
      <c r="M1617" t="e">
        <f>NA()</f>
        <v>#N/A</v>
      </c>
      <c r="N1617" t="e">
        <f>NA()</f>
        <v>#N/A</v>
      </c>
      <c r="O1617">
        <f t="shared" si="60"/>
        <v>2.4</v>
      </c>
    </row>
    <row r="1618" spans="1:15" x14ac:dyDescent="0.25">
      <c r="A1618" s="1">
        <v>43664</v>
      </c>
      <c r="B1618" t="e">
        <f>NA()</f>
        <v>#N/A</v>
      </c>
      <c r="C1618" t="e">
        <f>NA()</f>
        <v>#N/A</v>
      </c>
      <c r="D1618" t="e">
        <f>NA()</f>
        <v>#N/A</v>
      </c>
      <c r="E1618" t="e">
        <f>NA()</f>
        <v>#N/A</v>
      </c>
      <c r="F1618" t="e">
        <f>NA()</f>
        <v>#N/A</v>
      </c>
      <c r="G1618" t="e">
        <f>NA()</f>
        <v>#N/A</v>
      </c>
      <c r="H1618" t="e">
        <f>NA()</f>
        <v>#N/A</v>
      </c>
      <c r="I1618" t="e">
        <f>NA()</f>
        <v>#N/A</v>
      </c>
      <c r="J1618" t="e">
        <f>NA()</f>
        <v>#N/A</v>
      </c>
      <c r="K1618" t="e">
        <f>NA()</f>
        <v>#N/A</v>
      </c>
      <c r="L1618" t="e">
        <f>NA()</f>
        <v>#N/A</v>
      </c>
      <c r="M1618" t="e">
        <f>NA()</f>
        <v>#N/A</v>
      </c>
      <c r="N1618" t="e">
        <f>NA()</f>
        <v>#N/A</v>
      </c>
      <c r="O1618">
        <f t="shared" si="60"/>
        <v>2.4</v>
      </c>
    </row>
    <row r="1619" spans="1:15" x14ac:dyDescent="0.25">
      <c r="A1619" s="1">
        <v>43663</v>
      </c>
      <c r="B1619" t="e">
        <f>NA()</f>
        <v>#N/A</v>
      </c>
      <c r="C1619" t="e">
        <f>NA()</f>
        <v>#N/A</v>
      </c>
      <c r="D1619" t="e">
        <f>NA()</f>
        <v>#N/A</v>
      </c>
      <c r="E1619" t="e">
        <f>NA()</f>
        <v>#N/A</v>
      </c>
      <c r="F1619" t="e">
        <f>NA()</f>
        <v>#N/A</v>
      </c>
      <c r="G1619" t="e">
        <f>NA()</f>
        <v>#N/A</v>
      </c>
      <c r="H1619" t="e">
        <f>NA()</f>
        <v>#N/A</v>
      </c>
      <c r="I1619" t="e">
        <f>NA()</f>
        <v>#N/A</v>
      </c>
      <c r="J1619" t="e">
        <f>NA()</f>
        <v>#N/A</v>
      </c>
      <c r="K1619" t="e">
        <f>NA()</f>
        <v>#N/A</v>
      </c>
      <c r="L1619" t="e">
        <f>NA()</f>
        <v>#N/A</v>
      </c>
      <c r="M1619" t="e">
        <f>NA()</f>
        <v>#N/A</v>
      </c>
      <c r="N1619" t="e">
        <f>NA()</f>
        <v>#N/A</v>
      </c>
      <c r="O1619">
        <f t="shared" si="60"/>
        <v>2.4</v>
      </c>
    </row>
    <row r="1620" spans="1:15" x14ac:dyDescent="0.25">
      <c r="A1620" s="1">
        <v>43662</v>
      </c>
      <c r="B1620" t="e">
        <f>NA()</f>
        <v>#N/A</v>
      </c>
      <c r="C1620" t="e">
        <f>NA()</f>
        <v>#N/A</v>
      </c>
      <c r="D1620" t="e">
        <f>NA()</f>
        <v>#N/A</v>
      </c>
      <c r="E1620" t="e">
        <f>NA()</f>
        <v>#N/A</v>
      </c>
      <c r="F1620" t="e">
        <f>NA()</f>
        <v>#N/A</v>
      </c>
      <c r="G1620" t="e">
        <f>NA()</f>
        <v>#N/A</v>
      </c>
      <c r="H1620" t="e">
        <f>NA()</f>
        <v>#N/A</v>
      </c>
      <c r="I1620" t="e">
        <f>NA()</f>
        <v>#N/A</v>
      </c>
      <c r="J1620" t="e">
        <f>NA()</f>
        <v>#N/A</v>
      </c>
      <c r="K1620" t="e">
        <f>NA()</f>
        <v>#N/A</v>
      </c>
      <c r="L1620" t="e">
        <f>NA()</f>
        <v>#N/A</v>
      </c>
      <c r="M1620" t="e">
        <f>NA()</f>
        <v>#N/A</v>
      </c>
      <c r="N1620" t="e">
        <f>NA()</f>
        <v>#N/A</v>
      </c>
      <c r="O1620">
        <f t="shared" si="60"/>
        <v>2.4</v>
      </c>
    </row>
    <row r="1621" spans="1:15" x14ac:dyDescent="0.25">
      <c r="A1621" s="1">
        <v>43661</v>
      </c>
      <c r="B1621" t="e">
        <f>NA()</f>
        <v>#N/A</v>
      </c>
      <c r="C1621" t="e">
        <f>NA()</f>
        <v>#N/A</v>
      </c>
      <c r="D1621" t="e">
        <f>NA()</f>
        <v>#N/A</v>
      </c>
      <c r="E1621" t="e">
        <f>NA()</f>
        <v>#N/A</v>
      </c>
      <c r="F1621" t="e">
        <f>NA()</f>
        <v>#N/A</v>
      </c>
      <c r="G1621" t="e">
        <f>NA()</f>
        <v>#N/A</v>
      </c>
      <c r="H1621" t="e">
        <f>NA()</f>
        <v>#N/A</v>
      </c>
      <c r="I1621" t="e">
        <f>NA()</f>
        <v>#N/A</v>
      </c>
      <c r="J1621" t="e">
        <f>NA()</f>
        <v>#N/A</v>
      </c>
      <c r="K1621" t="e">
        <f>NA()</f>
        <v>#N/A</v>
      </c>
      <c r="L1621" t="e">
        <f>NA()</f>
        <v>#N/A</v>
      </c>
      <c r="M1621" t="e">
        <f>NA()</f>
        <v>#N/A</v>
      </c>
      <c r="N1621" t="e">
        <f>NA()</f>
        <v>#N/A</v>
      </c>
      <c r="O1621">
        <f t="shared" si="60"/>
        <v>2.4</v>
      </c>
    </row>
    <row r="1622" spans="1:15" x14ac:dyDescent="0.25">
      <c r="A1622" s="1">
        <v>43658</v>
      </c>
      <c r="B1622">
        <f>-0.5</f>
        <v>-0.5</v>
      </c>
      <c r="C1622">
        <f>0</f>
        <v>0</v>
      </c>
      <c r="D1622" t="e">
        <f>NA()</f>
        <v>#N/A</v>
      </c>
      <c r="E1622" t="e">
        <f>NA()</f>
        <v>#N/A</v>
      </c>
      <c r="F1622" t="e">
        <f>NA()</f>
        <v>#N/A</v>
      </c>
      <c r="G1622" t="e">
        <f>NA()</f>
        <v>#N/A</v>
      </c>
      <c r="H1622" t="e">
        <f>NA()</f>
        <v>#N/A</v>
      </c>
      <c r="I1622" t="e">
        <f>NA()</f>
        <v>#N/A</v>
      </c>
      <c r="J1622" t="e">
        <f>NA()</f>
        <v>#N/A</v>
      </c>
      <c r="K1622" t="e">
        <f>NA()</f>
        <v>#N/A</v>
      </c>
      <c r="L1622" t="e">
        <f>NA()</f>
        <v>#N/A</v>
      </c>
      <c r="M1622" t="e">
        <f>NA()</f>
        <v>#N/A</v>
      </c>
      <c r="N1622" t="e">
        <f>NA()</f>
        <v>#N/A</v>
      </c>
      <c r="O1622">
        <f t="shared" si="60"/>
        <v>2.4</v>
      </c>
    </row>
    <row r="1623" spans="1:15" x14ac:dyDescent="0.25">
      <c r="A1623" s="1">
        <v>43657</v>
      </c>
      <c r="B1623" t="e">
        <f>NA()</f>
        <v>#N/A</v>
      </c>
      <c r="C1623" t="e">
        <f>NA()</f>
        <v>#N/A</v>
      </c>
      <c r="D1623" t="e">
        <f>NA()</f>
        <v>#N/A</v>
      </c>
      <c r="E1623" t="e">
        <f>NA()</f>
        <v>#N/A</v>
      </c>
      <c r="F1623" t="e">
        <f>NA()</f>
        <v>#N/A</v>
      </c>
      <c r="G1623" t="e">
        <f>NA()</f>
        <v>#N/A</v>
      </c>
      <c r="H1623" t="e">
        <f>NA()</f>
        <v>#N/A</v>
      </c>
      <c r="I1623" t="e">
        <f>NA()</f>
        <v>#N/A</v>
      </c>
      <c r="J1623" t="e">
        <f>NA()</f>
        <v>#N/A</v>
      </c>
      <c r="K1623" t="e">
        <f>NA()</f>
        <v>#N/A</v>
      </c>
      <c r="L1623" t="e">
        <f>NA()</f>
        <v>#N/A</v>
      </c>
      <c r="M1623" t="e">
        <f>NA()</f>
        <v>#N/A</v>
      </c>
      <c r="N1623" t="e">
        <f>NA()</f>
        <v>#N/A</v>
      </c>
      <c r="O1623">
        <f t="shared" si="60"/>
        <v>2.4</v>
      </c>
    </row>
    <row r="1624" spans="1:15" x14ac:dyDescent="0.25">
      <c r="A1624" s="1">
        <v>43656</v>
      </c>
      <c r="B1624" t="e">
        <f>NA()</f>
        <v>#N/A</v>
      </c>
      <c r="C1624" t="e">
        <f>NA()</f>
        <v>#N/A</v>
      </c>
      <c r="D1624" t="e">
        <f>NA()</f>
        <v>#N/A</v>
      </c>
      <c r="E1624" t="e">
        <f>NA()</f>
        <v>#N/A</v>
      </c>
      <c r="F1624" t="e">
        <f>NA()</f>
        <v>#N/A</v>
      </c>
      <c r="G1624" t="e">
        <f>NA()</f>
        <v>#N/A</v>
      </c>
      <c r="H1624" t="e">
        <f>NA()</f>
        <v>#N/A</v>
      </c>
      <c r="I1624" t="e">
        <f>NA()</f>
        <v>#N/A</v>
      </c>
      <c r="J1624" t="e">
        <f>NA()</f>
        <v>#N/A</v>
      </c>
      <c r="K1624" t="e">
        <f>NA()</f>
        <v>#N/A</v>
      </c>
      <c r="L1624" t="e">
        <f>NA()</f>
        <v>#N/A</v>
      </c>
      <c r="M1624" t="e">
        <f>NA()</f>
        <v>#N/A</v>
      </c>
      <c r="N1624" t="e">
        <f>NA()</f>
        <v>#N/A</v>
      </c>
      <c r="O1624">
        <f t="shared" si="60"/>
        <v>2.4</v>
      </c>
    </row>
    <row r="1625" spans="1:15" x14ac:dyDescent="0.25">
      <c r="A1625" s="1">
        <v>43655</v>
      </c>
      <c r="B1625" t="e">
        <f>NA()</f>
        <v>#N/A</v>
      </c>
      <c r="C1625" t="e">
        <f>NA()</f>
        <v>#N/A</v>
      </c>
      <c r="D1625" t="e">
        <f>NA()</f>
        <v>#N/A</v>
      </c>
      <c r="E1625" t="e">
        <f>NA()</f>
        <v>#N/A</v>
      </c>
      <c r="F1625" t="e">
        <f>NA()</f>
        <v>#N/A</v>
      </c>
      <c r="G1625" t="e">
        <f>NA()</f>
        <v>#N/A</v>
      </c>
      <c r="H1625" t="e">
        <f>NA()</f>
        <v>#N/A</v>
      </c>
      <c r="I1625" t="e">
        <f>NA()</f>
        <v>#N/A</v>
      </c>
      <c r="J1625" t="e">
        <f>NA()</f>
        <v>#N/A</v>
      </c>
      <c r="K1625" t="e">
        <f>NA()</f>
        <v>#N/A</v>
      </c>
      <c r="L1625" t="e">
        <f>NA()</f>
        <v>#N/A</v>
      </c>
      <c r="M1625" t="e">
        <f>NA()</f>
        <v>#N/A</v>
      </c>
      <c r="N1625" t="e">
        <f>NA()</f>
        <v>#N/A</v>
      </c>
      <c r="O1625">
        <f t="shared" si="60"/>
        <v>2.4</v>
      </c>
    </row>
    <row r="1626" spans="1:15" x14ac:dyDescent="0.25">
      <c r="A1626" s="1">
        <v>43654</v>
      </c>
      <c r="B1626" t="e">
        <f>NA()</f>
        <v>#N/A</v>
      </c>
      <c r="C1626" t="e">
        <f>NA()</f>
        <v>#N/A</v>
      </c>
      <c r="D1626" t="e">
        <f>NA()</f>
        <v>#N/A</v>
      </c>
      <c r="E1626" t="e">
        <f>NA()</f>
        <v>#N/A</v>
      </c>
      <c r="F1626" t="e">
        <f>NA()</f>
        <v>#N/A</v>
      </c>
      <c r="G1626" t="e">
        <f>NA()</f>
        <v>#N/A</v>
      </c>
      <c r="H1626" t="e">
        <f>NA()</f>
        <v>#N/A</v>
      </c>
      <c r="I1626" t="e">
        <f>NA()</f>
        <v>#N/A</v>
      </c>
      <c r="J1626" t="e">
        <f>NA()</f>
        <v>#N/A</v>
      </c>
      <c r="K1626" t="e">
        <f>NA()</f>
        <v>#N/A</v>
      </c>
      <c r="L1626" t="e">
        <f>NA()</f>
        <v>#N/A</v>
      </c>
      <c r="M1626" t="e">
        <f>NA()</f>
        <v>#N/A</v>
      </c>
      <c r="N1626" t="e">
        <f>NA()</f>
        <v>#N/A</v>
      </c>
      <c r="O1626">
        <f t="shared" si="60"/>
        <v>2.4</v>
      </c>
    </row>
    <row r="1627" spans="1:15" x14ac:dyDescent="0.25">
      <c r="A1627" s="1">
        <v>43651</v>
      </c>
      <c r="B1627">
        <f>-0.5</f>
        <v>-0.5</v>
      </c>
      <c r="C1627">
        <f>0</f>
        <v>0</v>
      </c>
      <c r="D1627" t="e">
        <f>NA()</f>
        <v>#N/A</v>
      </c>
      <c r="E1627" t="e">
        <f>NA()</f>
        <v>#N/A</v>
      </c>
      <c r="F1627" t="e">
        <f>NA()</f>
        <v>#N/A</v>
      </c>
      <c r="G1627" t="e">
        <f>NA()</f>
        <v>#N/A</v>
      </c>
      <c r="H1627" t="e">
        <f>NA()</f>
        <v>#N/A</v>
      </c>
      <c r="I1627" t="e">
        <f>NA()</f>
        <v>#N/A</v>
      </c>
      <c r="J1627" t="e">
        <f>NA()</f>
        <v>#N/A</v>
      </c>
      <c r="K1627" t="e">
        <f>NA()</f>
        <v>#N/A</v>
      </c>
      <c r="L1627" t="e">
        <f>NA()</f>
        <v>#N/A</v>
      </c>
      <c r="M1627" t="e">
        <f>NA()</f>
        <v>#N/A</v>
      </c>
      <c r="N1627" t="e">
        <f>NA()</f>
        <v>#N/A</v>
      </c>
      <c r="O1627">
        <f t="shared" si="60"/>
        <v>2.4</v>
      </c>
    </row>
    <row r="1628" spans="1:15" x14ac:dyDescent="0.25">
      <c r="A1628" s="1">
        <v>43649</v>
      </c>
      <c r="B1628" t="e">
        <f>NA()</f>
        <v>#N/A</v>
      </c>
      <c r="C1628" t="e">
        <f>NA()</f>
        <v>#N/A</v>
      </c>
      <c r="D1628" t="e">
        <f>NA()</f>
        <v>#N/A</v>
      </c>
      <c r="E1628" t="e">
        <f>NA()</f>
        <v>#N/A</v>
      </c>
      <c r="F1628" t="e">
        <f>NA()</f>
        <v>#N/A</v>
      </c>
      <c r="G1628" t="e">
        <f>NA()</f>
        <v>#N/A</v>
      </c>
      <c r="H1628" t="e">
        <f>NA()</f>
        <v>#N/A</v>
      </c>
      <c r="I1628" t="e">
        <f>NA()</f>
        <v>#N/A</v>
      </c>
      <c r="J1628" t="e">
        <f>NA()</f>
        <v>#N/A</v>
      </c>
      <c r="K1628" t="e">
        <f>NA()</f>
        <v>#N/A</v>
      </c>
      <c r="L1628" t="e">
        <f>NA()</f>
        <v>#N/A</v>
      </c>
      <c r="M1628" t="e">
        <f>NA()</f>
        <v>#N/A</v>
      </c>
      <c r="N1628" t="e">
        <f>NA()</f>
        <v>#N/A</v>
      </c>
      <c r="O1628">
        <f t="shared" si="60"/>
        <v>2.4</v>
      </c>
    </row>
    <row r="1629" spans="1:15" x14ac:dyDescent="0.25">
      <c r="A1629" s="1">
        <v>43648</v>
      </c>
      <c r="B1629" t="e">
        <f>NA()</f>
        <v>#N/A</v>
      </c>
      <c r="C1629" t="e">
        <f>NA()</f>
        <v>#N/A</v>
      </c>
      <c r="D1629" t="e">
        <f>NA()</f>
        <v>#N/A</v>
      </c>
      <c r="E1629" t="e">
        <f>NA()</f>
        <v>#N/A</v>
      </c>
      <c r="F1629" t="e">
        <f>NA()</f>
        <v>#N/A</v>
      </c>
      <c r="G1629" t="e">
        <f>NA()</f>
        <v>#N/A</v>
      </c>
      <c r="H1629" t="e">
        <f>NA()</f>
        <v>#N/A</v>
      </c>
      <c r="I1629" t="e">
        <f>NA()</f>
        <v>#N/A</v>
      </c>
      <c r="J1629" t="e">
        <f>NA()</f>
        <v>#N/A</v>
      </c>
      <c r="K1629" t="e">
        <f>NA()</f>
        <v>#N/A</v>
      </c>
      <c r="L1629" t="e">
        <f>NA()</f>
        <v>#N/A</v>
      </c>
      <c r="M1629" t="e">
        <f>NA()</f>
        <v>#N/A</v>
      </c>
      <c r="N1629" t="e">
        <f>NA()</f>
        <v>#N/A</v>
      </c>
      <c r="O1629">
        <f t="shared" si="60"/>
        <v>2.4</v>
      </c>
    </row>
    <row r="1630" spans="1:15" x14ac:dyDescent="0.25">
      <c r="A1630" s="1">
        <v>43647</v>
      </c>
      <c r="B1630" t="e">
        <f>NA()</f>
        <v>#N/A</v>
      </c>
      <c r="C1630" t="e">
        <f>NA()</f>
        <v>#N/A</v>
      </c>
      <c r="D1630" t="e">
        <f>NA()</f>
        <v>#N/A</v>
      </c>
      <c r="E1630" t="e">
        <f>NA()</f>
        <v>#N/A</v>
      </c>
      <c r="F1630" t="e">
        <f>NA()</f>
        <v>#N/A</v>
      </c>
      <c r="G1630" t="e">
        <f>NA()</f>
        <v>#N/A</v>
      </c>
      <c r="H1630" t="e">
        <f>NA()</f>
        <v>#N/A</v>
      </c>
      <c r="I1630" t="e">
        <f>NA()</f>
        <v>#N/A</v>
      </c>
      <c r="J1630" t="e">
        <f>NA()</f>
        <v>#N/A</v>
      </c>
      <c r="K1630" t="e">
        <f>NA()</f>
        <v>#N/A</v>
      </c>
      <c r="L1630" t="e">
        <f>NA()</f>
        <v>#N/A</v>
      </c>
      <c r="M1630" t="e">
        <f>NA()</f>
        <v>#N/A</v>
      </c>
      <c r="N1630" t="e">
        <f>NA()</f>
        <v>#N/A</v>
      </c>
      <c r="O1630">
        <f t="shared" si="60"/>
        <v>2.4</v>
      </c>
    </row>
    <row r="1631" spans="1:15" x14ac:dyDescent="0.25">
      <c r="A1631" s="1">
        <v>43646</v>
      </c>
      <c r="B1631" t="e">
        <f>NA()</f>
        <v>#N/A</v>
      </c>
      <c r="C1631" t="e">
        <f>NA()</f>
        <v>#N/A</v>
      </c>
      <c r="D1631">
        <f>0.3</f>
        <v>0.3</v>
      </c>
      <c r="E1631">
        <f>1.8</f>
        <v>1.8</v>
      </c>
      <c r="F1631">
        <f>7194</f>
        <v>7194</v>
      </c>
      <c r="G1631">
        <f>63</f>
        <v>63</v>
      </c>
      <c r="H1631">
        <f>3.4</f>
        <v>3.4</v>
      </c>
      <c r="I1631">
        <f>256.1</f>
        <v>256.10000000000002</v>
      </c>
      <c r="J1631">
        <f>1.6</f>
        <v>1.6</v>
      </c>
      <c r="K1631">
        <f>51.5</f>
        <v>51.5</v>
      </c>
      <c r="L1631">
        <f>0.1</f>
        <v>0.1</v>
      </c>
      <c r="M1631">
        <f>3.4</f>
        <v>3.4</v>
      </c>
      <c r="N1631">
        <f>3.6</f>
        <v>3.6</v>
      </c>
      <c r="O1631" t="e">
        <f>NA()</f>
        <v>#N/A</v>
      </c>
    </row>
    <row r="1632" spans="1:15" x14ac:dyDescent="0.25">
      <c r="A1632" s="1">
        <v>43644</v>
      </c>
      <c r="B1632">
        <f>-0.3</f>
        <v>-0.3</v>
      </c>
      <c r="C1632">
        <f>0</f>
        <v>0</v>
      </c>
      <c r="D1632" t="e">
        <f>NA()</f>
        <v>#N/A</v>
      </c>
      <c r="E1632" t="e">
        <f>NA()</f>
        <v>#N/A</v>
      </c>
      <c r="F1632" t="e">
        <f>NA()</f>
        <v>#N/A</v>
      </c>
      <c r="G1632" t="e">
        <f>NA()</f>
        <v>#N/A</v>
      </c>
      <c r="H1632" t="e">
        <f>NA()</f>
        <v>#N/A</v>
      </c>
      <c r="I1632" t="e">
        <f>NA()</f>
        <v>#N/A</v>
      </c>
      <c r="J1632" t="e">
        <f>NA()</f>
        <v>#N/A</v>
      </c>
      <c r="K1632" t="e">
        <f>NA()</f>
        <v>#N/A</v>
      </c>
      <c r="L1632" t="e">
        <f>NA()</f>
        <v>#N/A</v>
      </c>
      <c r="M1632" t="e">
        <f>NA()</f>
        <v>#N/A</v>
      </c>
      <c r="N1632" t="e">
        <f>NA()</f>
        <v>#N/A</v>
      </c>
      <c r="O1632">
        <f t="shared" ref="O1632:O1672" si="61">2.4</f>
        <v>2.4</v>
      </c>
    </row>
    <row r="1633" spans="1:15" x14ac:dyDescent="0.25">
      <c r="A1633" s="1">
        <v>43643</v>
      </c>
      <c r="B1633" t="e">
        <f>NA()</f>
        <v>#N/A</v>
      </c>
      <c r="C1633" t="e">
        <f>NA()</f>
        <v>#N/A</v>
      </c>
      <c r="D1633" t="e">
        <f>NA()</f>
        <v>#N/A</v>
      </c>
      <c r="E1633" t="e">
        <f>NA()</f>
        <v>#N/A</v>
      </c>
      <c r="F1633" t="e">
        <f>NA()</f>
        <v>#N/A</v>
      </c>
      <c r="G1633" t="e">
        <f>NA()</f>
        <v>#N/A</v>
      </c>
      <c r="H1633" t="e">
        <f>NA()</f>
        <v>#N/A</v>
      </c>
      <c r="I1633" t="e">
        <f>NA()</f>
        <v>#N/A</v>
      </c>
      <c r="J1633" t="e">
        <f>NA()</f>
        <v>#N/A</v>
      </c>
      <c r="K1633" t="e">
        <f>NA()</f>
        <v>#N/A</v>
      </c>
      <c r="L1633" t="e">
        <f>NA()</f>
        <v>#N/A</v>
      </c>
      <c r="M1633" t="e">
        <f>NA()</f>
        <v>#N/A</v>
      </c>
      <c r="N1633" t="e">
        <f>NA()</f>
        <v>#N/A</v>
      </c>
      <c r="O1633">
        <f t="shared" si="61"/>
        <v>2.4</v>
      </c>
    </row>
    <row r="1634" spans="1:15" x14ac:dyDescent="0.25">
      <c r="A1634" s="1">
        <v>43642</v>
      </c>
      <c r="B1634" t="e">
        <f>NA()</f>
        <v>#N/A</v>
      </c>
      <c r="C1634" t="e">
        <f>NA()</f>
        <v>#N/A</v>
      </c>
      <c r="D1634" t="e">
        <f>NA()</f>
        <v>#N/A</v>
      </c>
      <c r="E1634" t="e">
        <f>NA()</f>
        <v>#N/A</v>
      </c>
      <c r="F1634" t="e">
        <f>NA()</f>
        <v>#N/A</v>
      </c>
      <c r="G1634" t="e">
        <f>NA()</f>
        <v>#N/A</v>
      </c>
      <c r="H1634" t="e">
        <f>NA()</f>
        <v>#N/A</v>
      </c>
      <c r="I1634" t="e">
        <f>NA()</f>
        <v>#N/A</v>
      </c>
      <c r="J1634" t="e">
        <f>NA()</f>
        <v>#N/A</v>
      </c>
      <c r="K1634" t="e">
        <f>NA()</f>
        <v>#N/A</v>
      </c>
      <c r="L1634" t="e">
        <f>NA()</f>
        <v>#N/A</v>
      </c>
      <c r="M1634" t="e">
        <f>NA()</f>
        <v>#N/A</v>
      </c>
      <c r="N1634" t="e">
        <f>NA()</f>
        <v>#N/A</v>
      </c>
      <c r="O1634">
        <f t="shared" si="61"/>
        <v>2.4</v>
      </c>
    </row>
    <row r="1635" spans="1:15" x14ac:dyDescent="0.25">
      <c r="A1635" s="1">
        <v>43641</v>
      </c>
      <c r="B1635" t="e">
        <f>NA()</f>
        <v>#N/A</v>
      </c>
      <c r="C1635" t="e">
        <f>NA()</f>
        <v>#N/A</v>
      </c>
      <c r="D1635" t="e">
        <f>NA()</f>
        <v>#N/A</v>
      </c>
      <c r="E1635" t="e">
        <f>NA()</f>
        <v>#N/A</v>
      </c>
      <c r="F1635" t="e">
        <f>NA()</f>
        <v>#N/A</v>
      </c>
      <c r="G1635" t="e">
        <f>NA()</f>
        <v>#N/A</v>
      </c>
      <c r="H1635" t="e">
        <f>NA()</f>
        <v>#N/A</v>
      </c>
      <c r="I1635" t="e">
        <f>NA()</f>
        <v>#N/A</v>
      </c>
      <c r="J1635" t="e">
        <f>NA()</f>
        <v>#N/A</v>
      </c>
      <c r="K1635" t="e">
        <f>NA()</f>
        <v>#N/A</v>
      </c>
      <c r="L1635" t="e">
        <f>NA()</f>
        <v>#N/A</v>
      </c>
      <c r="M1635" t="e">
        <f>NA()</f>
        <v>#N/A</v>
      </c>
      <c r="N1635" t="e">
        <f>NA()</f>
        <v>#N/A</v>
      </c>
      <c r="O1635">
        <f t="shared" si="61"/>
        <v>2.4</v>
      </c>
    </row>
    <row r="1636" spans="1:15" x14ac:dyDescent="0.25">
      <c r="A1636" s="1">
        <v>43640</v>
      </c>
      <c r="B1636" t="e">
        <f>NA()</f>
        <v>#N/A</v>
      </c>
      <c r="C1636" t="e">
        <f>NA()</f>
        <v>#N/A</v>
      </c>
      <c r="D1636" t="e">
        <f>NA()</f>
        <v>#N/A</v>
      </c>
      <c r="E1636" t="e">
        <f>NA()</f>
        <v>#N/A</v>
      </c>
      <c r="F1636" t="e">
        <f>NA()</f>
        <v>#N/A</v>
      </c>
      <c r="G1636" t="e">
        <f>NA()</f>
        <v>#N/A</v>
      </c>
      <c r="H1636" t="e">
        <f>NA()</f>
        <v>#N/A</v>
      </c>
      <c r="I1636" t="e">
        <f>NA()</f>
        <v>#N/A</v>
      </c>
      <c r="J1636" t="e">
        <f>NA()</f>
        <v>#N/A</v>
      </c>
      <c r="K1636" t="e">
        <f>NA()</f>
        <v>#N/A</v>
      </c>
      <c r="L1636" t="e">
        <f>NA()</f>
        <v>#N/A</v>
      </c>
      <c r="M1636" t="e">
        <f>NA()</f>
        <v>#N/A</v>
      </c>
      <c r="N1636" t="e">
        <f>NA()</f>
        <v>#N/A</v>
      </c>
      <c r="O1636">
        <f t="shared" si="61"/>
        <v>2.4</v>
      </c>
    </row>
    <row r="1637" spans="1:15" x14ac:dyDescent="0.25">
      <c r="A1637" s="1">
        <v>43637</v>
      </c>
      <c r="B1637">
        <f>-0.4</f>
        <v>-0.4</v>
      </c>
      <c r="C1637">
        <f>0</f>
        <v>0</v>
      </c>
      <c r="D1637" t="e">
        <f>NA()</f>
        <v>#N/A</v>
      </c>
      <c r="E1637" t="e">
        <f>NA()</f>
        <v>#N/A</v>
      </c>
      <c r="F1637" t="e">
        <f>NA()</f>
        <v>#N/A</v>
      </c>
      <c r="G1637" t="e">
        <f>NA()</f>
        <v>#N/A</v>
      </c>
      <c r="H1637" t="e">
        <f>NA()</f>
        <v>#N/A</v>
      </c>
      <c r="I1637" t="e">
        <f>NA()</f>
        <v>#N/A</v>
      </c>
      <c r="J1637" t="e">
        <f>NA()</f>
        <v>#N/A</v>
      </c>
      <c r="K1637" t="e">
        <f>NA()</f>
        <v>#N/A</v>
      </c>
      <c r="L1637" t="e">
        <f>NA()</f>
        <v>#N/A</v>
      </c>
      <c r="M1637" t="e">
        <f>NA()</f>
        <v>#N/A</v>
      </c>
      <c r="N1637" t="e">
        <f>NA()</f>
        <v>#N/A</v>
      </c>
      <c r="O1637">
        <f t="shared" si="61"/>
        <v>2.4</v>
      </c>
    </row>
    <row r="1638" spans="1:15" x14ac:dyDescent="0.25">
      <c r="A1638" s="1">
        <v>43636</v>
      </c>
      <c r="B1638" t="e">
        <f>NA()</f>
        <v>#N/A</v>
      </c>
      <c r="C1638" t="e">
        <f>NA()</f>
        <v>#N/A</v>
      </c>
      <c r="D1638" t="e">
        <f>NA()</f>
        <v>#N/A</v>
      </c>
      <c r="E1638" t="e">
        <f>NA()</f>
        <v>#N/A</v>
      </c>
      <c r="F1638" t="e">
        <f>NA()</f>
        <v>#N/A</v>
      </c>
      <c r="G1638" t="e">
        <f>NA()</f>
        <v>#N/A</v>
      </c>
      <c r="H1638" t="e">
        <f>NA()</f>
        <v>#N/A</v>
      </c>
      <c r="I1638" t="e">
        <f>NA()</f>
        <v>#N/A</v>
      </c>
      <c r="J1638" t="e">
        <f>NA()</f>
        <v>#N/A</v>
      </c>
      <c r="K1638" t="e">
        <f>NA()</f>
        <v>#N/A</v>
      </c>
      <c r="L1638" t="e">
        <f>NA()</f>
        <v>#N/A</v>
      </c>
      <c r="M1638" t="e">
        <f>NA()</f>
        <v>#N/A</v>
      </c>
      <c r="N1638" t="e">
        <f>NA()</f>
        <v>#N/A</v>
      </c>
      <c r="O1638">
        <f t="shared" si="61"/>
        <v>2.4</v>
      </c>
    </row>
    <row r="1639" spans="1:15" x14ac:dyDescent="0.25">
      <c r="A1639" s="1">
        <v>43635</v>
      </c>
      <c r="B1639" t="e">
        <f>NA()</f>
        <v>#N/A</v>
      </c>
      <c r="C1639" t="e">
        <f>NA()</f>
        <v>#N/A</v>
      </c>
      <c r="D1639" t="e">
        <f>NA()</f>
        <v>#N/A</v>
      </c>
      <c r="E1639" t="e">
        <f>NA()</f>
        <v>#N/A</v>
      </c>
      <c r="F1639" t="e">
        <f>NA()</f>
        <v>#N/A</v>
      </c>
      <c r="G1639" t="e">
        <f>NA()</f>
        <v>#N/A</v>
      </c>
      <c r="H1639" t="e">
        <f>NA()</f>
        <v>#N/A</v>
      </c>
      <c r="I1639" t="e">
        <f>NA()</f>
        <v>#N/A</v>
      </c>
      <c r="J1639" t="e">
        <f>NA()</f>
        <v>#N/A</v>
      </c>
      <c r="K1639" t="e">
        <f>NA()</f>
        <v>#N/A</v>
      </c>
      <c r="L1639" t="e">
        <f>NA()</f>
        <v>#N/A</v>
      </c>
      <c r="M1639" t="e">
        <f>NA()</f>
        <v>#N/A</v>
      </c>
      <c r="N1639" t="e">
        <f>NA()</f>
        <v>#N/A</v>
      </c>
      <c r="O1639">
        <f t="shared" si="61"/>
        <v>2.4</v>
      </c>
    </row>
    <row r="1640" spans="1:15" x14ac:dyDescent="0.25">
      <c r="A1640" s="1">
        <v>43634</v>
      </c>
      <c r="B1640" t="e">
        <f>NA()</f>
        <v>#N/A</v>
      </c>
      <c r="C1640" t="e">
        <f>NA()</f>
        <v>#N/A</v>
      </c>
      <c r="D1640" t="e">
        <f>NA()</f>
        <v>#N/A</v>
      </c>
      <c r="E1640" t="e">
        <f>NA()</f>
        <v>#N/A</v>
      </c>
      <c r="F1640" t="e">
        <f>NA()</f>
        <v>#N/A</v>
      </c>
      <c r="G1640" t="e">
        <f>NA()</f>
        <v>#N/A</v>
      </c>
      <c r="H1640" t="e">
        <f>NA()</f>
        <v>#N/A</v>
      </c>
      <c r="I1640" t="e">
        <f>NA()</f>
        <v>#N/A</v>
      </c>
      <c r="J1640" t="e">
        <f>NA()</f>
        <v>#N/A</v>
      </c>
      <c r="K1640" t="e">
        <f>NA()</f>
        <v>#N/A</v>
      </c>
      <c r="L1640" t="e">
        <f>NA()</f>
        <v>#N/A</v>
      </c>
      <c r="M1640" t="e">
        <f>NA()</f>
        <v>#N/A</v>
      </c>
      <c r="N1640" t="e">
        <f>NA()</f>
        <v>#N/A</v>
      </c>
      <c r="O1640">
        <f t="shared" si="61"/>
        <v>2.4</v>
      </c>
    </row>
    <row r="1641" spans="1:15" x14ac:dyDescent="0.25">
      <c r="A1641" s="1">
        <v>43633</v>
      </c>
      <c r="B1641" t="e">
        <f>NA()</f>
        <v>#N/A</v>
      </c>
      <c r="C1641" t="e">
        <f>NA()</f>
        <v>#N/A</v>
      </c>
      <c r="D1641" t="e">
        <f>NA()</f>
        <v>#N/A</v>
      </c>
      <c r="E1641" t="e">
        <f>NA()</f>
        <v>#N/A</v>
      </c>
      <c r="F1641" t="e">
        <f>NA()</f>
        <v>#N/A</v>
      </c>
      <c r="G1641" t="e">
        <f>NA()</f>
        <v>#N/A</v>
      </c>
      <c r="H1641" t="e">
        <f>NA()</f>
        <v>#N/A</v>
      </c>
      <c r="I1641" t="e">
        <f>NA()</f>
        <v>#N/A</v>
      </c>
      <c r="J1641" t="e">
        <f>NA()</f>
        <v>#N/A</v>
      </c>
      <c r="K1641" t="e">
        <f>NA()</f>
        <v>#N/A</v>
      </c>
      <c r="L1641" t="e">
        <f>NA()</f>
        <v>#N/A</v>
      </c>
      <c r="M1641" t="e">
        <f>NA()</f>
        <v>#N/A</v>
      </c>
      <c r="N1641" t="e">
        <f>NA()</f>
        <v>#N/A</v>
      </c>
      <c r="O1641">
        <f t="shared" si="61"/>
        <v>2.4</v>
      </c>
    </row>
    <row r="1642" spans="1:15" x14ac:dyDescent="0.25">
      <c r="A1642" s="1">
        <v>43630</v>
      </c>
      <c r="B1642">
        <f>-0.4</f>
        <v>-0.4</v>
      </c>
      <c r="C1642">
        <f>0</f>
        <v>0</v>
      </c>
      <c r="D1642" t="e">
        <f>NA()</f>
        <v>#N/A</v>
      </c>
      <c r="E1642" t="e">
        <f>NA()</f>
        <v>#N/A</v>
      </c>
      <c r="F1642" t="e">
        <f>NA()</f>
        <v>#N/A</v>
      </c>
      <c r="G1642" t="e">
        <f>NA()</f>
        <v>#N/A</v>
      </c>
      <c r="H1642" t="e">
        <f>NA()</f>
        <v>#N/A</v>
      </c>
      <c r="I1642" t="e">
        <f>NA()</f>
        <v>#N/A</v>
      </c>
      <c r="J1642" t="e">
        <f>NA()</f>
        <v>#N/A</v>
      </c>
      <c r="K1642" t="e">
        <f>NA()</f>
        <v>#N/A</v>
      </c>
      <c r="L1642" t="e">
        <f>NA()</f>
        <v>#N/A</v>
      </c>
      <c r="M1642" t="e">
        <f>NA()</f>
        <v>#N/A</v>
      </c>
      <c r="N1642" t="e">
        <f>NA()</f>
        <v>#N/A</v>
      </c>
      <c r="O1642">
        <f t="shared" si="61"/>
        <v>2.4</v>
      </c>
    </row>
    <row r="1643" spans="1:15" x14ac:dyDescent="0.25">
      <c r="A1643" s="1">
        <v>43629</v>
      </c>
      <c r="B1643" t="e">
        <f>NA()</f>
        <v>#N/A</v>
      </c>
      <c r="C1643" t="e">
        <f>NA()</f>
        <v>#N/A</v>
      </c>
      <c r="D1643" t="e">
        <f>NA()</f>
        <v>#N/A</v>
      </c>
      <c r="E1643" t="e">
        <f>NA()</f>
        <v>#N/A</v>
      </c>
      <c r="F1643" t="e">
        <f>NA()</f>
        <v>#N/A</v>
      </c>
      <c r="G1643" t="e">
        <f>NA()</f>
        <v>#N/A</v>
      </c>
      <c r="H1643" t="e">
        <f>NA()</f>
        <v>#N/A</v>
      </c>
      <c r="I1643" t="e">
        <f>NA()</f>
        <v>#N/A</v>
      </c>
      <c r="J1643" t="e">
        <f>NA()</f>
        <v>#N/A</v>
      </c>
      <c r="K1643" t="e">
        <f>NA()</f>
        <v>#N/A</v>
      </c>
      <c r="L1643" t="e">
        <f>NA()</f>
        <v>#N/A</v>
      </c>
      <c r="M1643" t="e">
        <f>NA()</f>
        <v>#N/A</v>
      </c>
      <c r="N1643" t="e">
        <f>NA()</f>
        <v>#N/A</v>
      </c>
      <c r="O1643">
        <f t="shared" si="61"/>
        <v>2.4</v>
      </c>
    </row>
    <row r="1644" spans="1:15" x14ac:dyDescent="0.25">
      <c r="A1644" s="1">
        <v>43628</v>
      </c>
      <c r="B1644" t="e">
        <f>NA()</f>
        <v>#N/A</v>
      </c>
      <c r="C1644" t="e">
        <f>NA()</f>
        <v>#N/A</v>
      </c>
      <c r="D1644" t="e">
        <f>NA()</f>
        <v>#N/A</v>
      </c>
      <c r="E1644" t="e">
        <f>NA()</f>
        <v>#N/A</v>
      </c>
      <c r="F1644" t="e">
        <f>NA()</f>
        <v>#N/A</v>
      </c>
      <c r="G1644" t="e">
        <f>NA()</f>
        <v>#N/A</v>
      </c>
      <c r="H1644" t="e">
        <f>NA()</f>
        <v>#N/A</v>
      </c>
      <c r="I1644" t="e">
        <f>NA()</f>
        <v>#N/A</v>
      </c>
      <c r="J1644" t="e">
        <f>NA()</f>
        <v>#N/A</v>
      </c>
      <c r="K1644" t="e">
        <f>NA()</f>
        <v>#N/A</v>
      </c>
      <c r="L1644" t="e">
        <f>NA()</f>
        <v>#N/A</v>
      </c>
      <c r="M1644" t="e">
        <f>NA()</f>
        <v>#N/A</v>
      </c>
      <c r="N1644" t="e">
        <f>NA()</f>
        <v>#N/A</v>
      </c>
      <c r="O1644">
        <f t="shared" si="61"/>
        <v>2.4</v>
      </c>
    </row>
    <row r="1645" spans="1:15" x14ac:dyDescent="0.25">
      <c r="A1645" s="1">
        <v>43627</v>
      </c>
      <c r="B1645" t="e">
        <f>NA()</f>
        <v>#N/A</v>
      </c>
      <c r="C1645" t="e">
        <f>NA()</f>
        <v>#N/A</v>
      </c>
      <c r="D1645" t="e">
        <f>NA()</f>
        <v>#N/A</v>
      </c>
      <c r="E1645" t="e">
        <f>NA()</f>
        <v>#N/A</v>
      </c>
      <c r="F1645" t="e">
        <f>NA()</f>
        <v>#N/A</v>
      </c>
      <c r="G1645" t="e">
        <f>NA()</f>
        <v>#N/A</v>
      </c>
      <c r="H1645" t="e">
        <f>NA()</f>
        <v>#N/A</v>
      </c>
      <c r="I1645" t="e">
        <f>NA()</f>
        <v>#N/A</v>
      </c>
      <c r="J1645" t="e">
        <f>NA()</f>
        <v>#N/A</v>
      </c>
      <c r="K1645" t="e">
        <f>NA()</f>
        <v>#N/A</v>
      </c>
      <c r="L1645" t="e">
        <f>NA()</f>
        <v>#N/A</v>
      </c>
      <c r="M1645" t="e">
        <f>NA()</f>
        <v>#N/A</v>
      </c>
      <c r="N1645" t="e">
        <f>NA()</f>
        <v>#N/A</v>
      </c>
      <c r="O1645">
        <f t="shared" si="61"/>
        <v>2.4</v>
      </c>
    </row>
    <row r="1646" spans="1:15" x14ac:dyDescent="0.25">
      <c r="A1646" s="1">
        <v>43626</v>
      </c>
      <c r="B1646" t="e">
        <f>NA()</f>
        <v>#N/A</v>
      </c>
      <c r="C1646" t="e">
        <f>NA()</f>
        <v>#N/A</v>
      </c>
      <c r="D1646" t="e">
        <f>NA()</f>
        <v>#N/A</v>
      </c>
      <c r="E1646" t="e">
        <f>NA()</f>
        <v>#N/A</v>
      </c>
      <c r="F1646" t="e">
        <f>NA()</f>
        <v>#N/A</v>
      </c>
      <c r="G1646" t="e">
        <f>NA()</f>
        <v>#N/A</v>
      </c>
      <c r="H1646" t="e">
        <f>NA()</f>
        <v>#N/A</v>
      </c>
      <c r="I1646" t="e">
        <f>NA()</f>
        <v>#N/A</v>
      </c>
      <c r="J1646" t="e">
        <f>NA()</f>
        <v>#N/A</v>
      </c>
      <c r="K1646" t="e">
        <f>NA()</f>
        <v>#N/A</v>
      </c>
      <c r="L1646" t="e">
        <f>NA()</f>
        <v>#N/A</v>
      </c>
      <c r="M1646" t="e">
        <f>NA()</f>
        <v>#N/A</v>
      </c>
      <c r="N1646" t="e">
        <f>NA()</f>
        <v>#N/A</v>
      </c>
      <c r="O1646">
        <f t="shared" si="61"/>
        <v>2.4</v>
      </c>
    </row>
    <row r="1647" spans="1:15" x14ac:dyDescent="0.25">
      <c r="A1647" s="1">
        <v>43623</v>
      </c>
      <c r="B1647">
        <f>-0.2</f>
        <v>-0.2</v>
      </c>
      <c r="C1647">
        <f>0</f>
        <v>0</v>
      </c>
      <c r="D1647" t="e">
        <f>NA()</f>
        <v>#N/A</v>
      </c>
      <c r="E1647" t="e">
        <f>NA()</f>
        <v>#N/A</v>
      </c>
      <c r="F1647" t="e">
        <f>NA()</f>
        <v>#N/A</v>
      </c>
      <c r="G1647" t="e">
        <f>NA()</f>
        <v>#N/A</v>
      </c>
      <c r="H1647" t="e">
        <f>NA()</f>
        <v>#N/A</v>
      </c>
      <c r="I1647" t="e">
        <f>NA()</f>
        <v>#N/A</v>
      </c>
      <c r="J1647" t="e">
        <f>NA()</f>
        <v>#N/A</v>
      </c>
      <c r="K1647" t="e">
        <f>NA()</f>
        <v>#N/A</v>
      </c>
      <c r="L1647" t="e">
        <f>NA()</f>
        <v>#N/A</v>
      </c>
      <c r="M1647" t="e">
        <f>NA()</f>
        <v>#N/A</v>
      </c>
      <c r="N1647" t="e">
        <f>NA()</f>
        <v>#N/A</v>
      </c>
      <c r="O1647">
        <f t="shared" si="61"/>
        <v>2.4</v>
      </c>
    </row>
    <row r="1648" spans="1:15" x14ac:dyDescent="0.25">
      <c r="A1648" s="1">
        <v>43622</v>
      </c>
      <c r="B1648" t="e">
        <f>NA()</f>
        <v>#N/A</v>
      </c>
      <c r="C1648" t="e">
        <f>NA()</f>
        <v>#N/A</v>
      </c>
      <c r="D1648" t="e">
        <f>NA()</f>
        <v>#N/A</v>
      </c>
      <c r="E1648" t="e">
        <f>NA()</f>
        <v>#N/A</v>
      </c>
      <c r="F1648" t="e">
        <f>NA()</f>
        <v>#N/A</v>
      </c>
      <c r="G1648" t="e">
        <f>NA()</f>
        <v>#N/A</v>
      </c>
      <c r="H1648" t="e">
        <f>NA()</f>
        <v>#N/A</v>
      </c>
      <c r="I1648" t="e">
        <f>NA()</f>
        <v>#N/A</v>
      </c>
      <c r="J1648" t="e">
        <f>NA()</f>
        <v>#N/A</v>
      </c>
      <c r="K1648" t="e">
        <f>NA()</f>
        <v>#N/A</v>
      </c>
      <c r="L1648" t="e">
        <f>NA()</f>
        <v>#N/A</v>
      </c>
      <c r="M1648" t="e">
        <f>NA()</f>
        <v>#N/A</v>
      </c>
      <c r="N1648" t="e">
        <f>NA()</f>
        <v>#N/A</v>
      </c>
      <c r="O1648">
        <f t="shared" si="61"/>
        <v>2.4</v>
      </c>
    </row>
    <row r="1649" spans="1:15" x14ac:dyDescent="0.25">
      <c r="A1649" s="1">
        <v>43621</v>
      </c>
      <c r="B1649" t="e">
        <f>NA()</f>
        <v>#N/A</v>
      </c>
      <c r="C1649" t="e">
        <f>NA()</f>
        <v>#N/A</v>
      </c>
      <c r="D1649" t="e">
        <f>NA()</f>
        <v>#N/A</v>
      </c>
      <c r="E1649" t="e">
        <f>NA()</f>
        <v>#N/A</v>
      </c>
      <c r="F1649" t="e">
        <f>NA()</f>
        <v>#N/A</v>
      </c>
      <c r="G1649" t="e">
        <f>NA()</f>
        <v>#N/A</v>
      </c>
      <c r="H1649" t="e">
        <f>NA()</f>
        <v>#N/A</v>
      </c>
      <c r="I1649" t="e">
        <f>NA()</f>
        <v>#N/A</v>
      </c>
      <c r="J1649" t="e">
        <f>NA()</f>
        <v>#N/A</v>
      </c>
      <c r="K1649" t="e">
        <f>NA()</f>
        <v>#N/A</v>
      </c>
      <c r="L1649" t="e">
        <f>NA()</f>
        <v>#N/A</v>
      </c>
      <c r="M1649" t="e">
        <f>NA()</f>
        <v>#N/A</v>
      </c>
      <c r="N1649" t="e">
        <f>NA()</f>
        <v>#N/A</v>
      </c>
      <c r="O1649">
        <f t="shared" si="61"/>
        <v>2.4</v>
      </c>
    </row>
    <row r="1650" spans="1:15" x14ac:dyDescent="0.25">
      <c r="A1650" s="1">
        <v>43620</v>
      </c>
      <c r="B1650" t="e">
        <f>NA()</f>
        <v>#N/A</v>
      </c>
      <c r="C1650" t="e">
        <f>NA()</f>
        <v>#N/A</v>
      </c>
      <c r="D1650" t="e">
        <f>NA()</f>
        <v>#N/A</v>
      </c>
      <c r="E1650" t="e">
        <f>NA()</f>
        <v>#N/A</v>
      </c>
      <c r="F1650" t="e">
        <f>NA()</f>
        <v>#N/A</v>
      </c>
      <c r="G1650" t="e">
        <f>NA()</f>
        <v>#N/A</v>
      </c>
      <c r="H1650" t="e">
        <f>NA()</f>
        <v>#N/A</v>
      </c>
      <c r="I1650" t="e">
        <f>NA()</f>
        <v>#N/A</v>
      </c>
      <c r="J1650" t="e">
        <f>NA()</f>
        <v>#N/A</v>
      </c>
      <c r="K1650" t="e">
        <f>NA()</f>
        <v>#N/A</v>
      </c>
      <c r="L1650" t="e">
        <f>NA()</f>
        <v>#N/A</v>
      </c>
      <c r="M1650" t="e">
        <f>NA()</f>
        <v>#N/A</v>
      </c>
      <c r="N1650" t="e">
        <f>NA()</f>
        <v>#N/A</v>
      </c>
      <c r="O1650">
        <f t="shared" si="61"/>
        <v>2.4</v>
      </c>
    </row>
    <row r="1651" spans="1:15" x14ac:dyDescent="0.25">
      <c r="A1651" s="1">
        <v>43619</v>
      </c>
      <c r="B1651" t="e">
        <f>NA()</f>
        <v>#N/A</v>
      </c>
      <c r="C1651" t="e">
        <f>NA()</f>
        <v>#N/A</v>
      </c>
      <c r="D1651" t="e">
        <f>NA()</f>
        <v>#N/A</v>
      </c>
      <c r="E1651" t="e">
        <f>NA()</f>
        <v>#N/A</v>
      </c>
      <c r="F1651" t="e">
        <f>NA()</f>
        <v>#N/A</v>
      </c>
      <c r="G1651" t="e">
        <f>NA()</f>
        <v>#N/A</v>
      </c>
      <c r="H1651" t="e">
        <f>NA()</f>
        <v>#N/A</v>
      </c>
      <c r="I1651" t="e">
        <f>NA()</f>
        <v>#N/A</v>
      </c>
      <c r="J1651" t="e">
        <f>NA()</f>
        <v>#N/A</v>
      </c>
      <c r="K1651" t="e">
        <f>NA()</f>
        <v>#N/A</v>
      </c>
      <c r="L1651" t="e">
        <f>NA()</f>
        <v>#N/A</v>
      </c>
      <c r="M1651" t="e">
        <f>NA()</f>
        <v>#N/A</v>
      </c>
      <c r="N1651" t="e">
        <f>NA()</f>
        <v>#N/A</v>
      </c>
      <c r="O1651">
        <f t="shared" si="61"/>
        <v>2.4</v>
      </c>
    </row>
    <row r="1652" spans="1:15" x14ac:dyDescent="0.25">
      <c r="A1652" s="1">
        <v>43616</v>
      </c>
      <c r="B1652">
        <f>-0.2</f>
        <v>-0.2</v>
      </c>
      <c r="C1652">
        <f>0</f>
        <v>0</v>
      </c>
      <c r="D1652">
        <f>0.3</f>
        <v>0.3</v>
      </c>
      <c r="E1652">
        <f>1.5</f>
        <v>1.5</v>
      </c>
      <c r="F1652">
        <f>7275</f>
        <v>7275</v>
      </c>
      <c r="G1652">
        <f>62.9</f>
        <v>62.9</v>
      </c>
      <c r="H1652">
        <f>3.2</f>
        <v>3.2</v>
      </c>
      <c r="I1652">
        <f>256.1</f>
        <v>256.10000000000002</v>
      </c>
      <c r="J1652">
        <f>1.8</f>
        <v>1.8</v>
      </c>
      <c r="K1652">
        <f>52.6</f>
        <v>52.6</v>
      </c>
      <c r="L1652">
        <f>0.1</f>
        <v>0.1</v>
      </c>
      <c r="M1652" t="e">
        <f>NA()</f>
        <v>#N/A</v>
      </c>
      <c r="N1652">
        <f>3.6</f>
        <v>3.6</v>
      </c>
      <c r="O1652">
        <f t="shared" si="61"/>
        <v>2.4</v>
      </c>
    </row>
    <row r="1653" spans="1:15" x14ac:dyDescent="0.25">
      <c r="A1653" s="1">
        <v>43615</v>
      </c>
      <c r="B1653" t="e">
        <f>NA()</f>
        <v>#N/A</v>
      </c>
      <c r="C1653" t="e">
        <f>NA()</f>
        <v>#N/A</v>
      </c>
      <c r="D1653" t="e">
        <f>NA()</f>
        <v>#N/A</v>
      </c>
      <c r="E1653" t="e">
        <f>NA()</f>
        <v>#N/A</v>
      </c>
      <c r="F1653" t="e">
        <f>NA()</f>
        <v>#N/A</v>
      </c>
      <c r="G1653" t="e">
        <f>NA()</f>
        <v>#N/A</v>
      </c>
      <c r="H1653" t="e">
        <f>NA()</f>
        <v>#N/A</v>
      </c>
      <c r="I1653" t="e">
        <f>NA()</f>
        <v>#N/A</v>
      </c>
      <c r="J1653" t="e">
        <f>NA()</f>
        <v>#N/A</v>
      </c>
      <c r="K1653" t="e">
        <f>NA()</f>
        <v>#N/A</v>
      </c>
      <c r="L1653" t="e">
        <f>NA()</f>
        <v>#N/A</v>
      </c>
      <c r="M1653" t="e">
        <f>NA()</f>
        <v>#N/A</v>
      </c>
      <c r="N1653" t="e">
        <f>NA()</f>
        <v>#N/A</v>
      </c>
      <c r="O1653">
        <f t="shared" si="61"/>
        <v>2.4</v>
      </c>
    </row>
    <row r="1654" spans="1:15" x14ac:dyDescent="0.25">
      <c r="A1654" s="1">
        <v>43614</v>
      </c>
      <c r="B1654" t="e">
        <f>NA()</f>
        <v>#N/A</v>
      </c>
      <c r="C1654" t="e">
        <f>NA()</f>
        <v>#N/A</v>
      </c>
      <c r="D1654" t="e">
        <f>NA()</f>
        <v>#N/A</v>
      </c>
      <c r="E1654" t="e">
        <f>NA()</f>
        <v>#N/A</v>
      </c>
      <c r="F1654" t="e">
        <f>NA()</f>
        <v>#N/A</v>
      </c>
      <c r="G1654" t="e">
        <f>NA()</f>
        <v>#N/A</v>
      </c>
      <c r="H1654" t="e">
        <f>NA()</f>
        <v>#N/A</v>
      </c>
      <c r="I1654" t="e">
        <f>NA()</f>
        <v>#N/A</v>
      </c>
      <c r="J1654" t="e">
        <f>NA()</f>
        <v>#N/A</v>
      </c>
      <c r="K1654" t="e">
        <f>NA()</f>
        <v>#N/A</v>
      </c>
      <c r="L1654" t="e">
        <f>NA()</f>
        <v>#N/A</v>
      </c>
      <c r="M1654" t="e">
        <f>NA()</f>
        <v>#N/A</v>
      </c>
      <c r="N1654" t="e">
        <f>NA()</f>
        <v>#N/A</v>
      </c>
      <c r="O1654">
        <f t="shared" si="61"/>
        <v>2.4</v>
      </c>
    </row>
    <row r="1655" spans="1:15" x14ac:dyDescent="0.25">
      <c r="A1655" s="1">
        <v>43613</v>
      </c>
      <c r="B1655" t="e">
        <f>NA()</f>
        <v>#N/A</v>
      </c>
      <c r="C1655" t="e">
        <f>NA()</f>
        <v>#N/A</v>
      </c>
      <c r="D1655" t="e">
        <f>NA()</f>
        <v>#N/A</v>
      </c>
      <c r="E1655" t="e">
        <f>NA()</f>
        <v>#N/A</v>
      </c>
      <c r="F1655" t="e">
        <f>NA()</f>
        <v>#N/A</v>
      </c>
      <c r="G1655" t="e">
        <f>NA()</f>
        <v>#N/A</v>
      </c>
      <c r="H1655" t="e">
        <f>NA()</f>
        <v>#N/A</v>
      </c>
      <c r="I1655" t="e">
        <f>NA()</f>
        <v>#N/A</v>
      </c>
      <c r="J1655" t="e">
        <f>NA()</f>
        <v>#N/A</v>
      </c>
      <c r="K1655" t="e">
        <f>NA()</f>
        <v>#N/A</v>
      </c>
      <c r="L1655" t="e">
        <f>NA()</f>
        <v>#N/A</v>
      </c>
      <c r="M1655" t="e">
        <f>NA()</f>
        <v>#N/A</v>
      </c>
      <c r="N1655" t="e">
        <f>NA()</f>
        <v>#N/A</v>
      </c>
      <c r="O1655">
        <f t="shared" si="61"/>
        <v>2.4</v>
      </c>
    </row>
    <row r="1656" spans="1:15" x14ac:dyDescent="0.25">
      <c r="A1656" s="1">
        <v>43609</v>
      </c>
      <c r="B1656">
        <f>-0.5</f>
        <v>-0.5</v>
      </c>
      <c r="C1656">
        <f>0</f>
        <v>0</v>
      </c>
      <c r="D1656" t="e">
        <f>NA()</f>
        <v>#N/A</v>
      </c>
      <c r="E1656" t="e">
        <f>NA()</f>
        <v>#N/A</v>
      </c>
      <c r="F1656" t="e">
        <f>NA()</f>
        <v>#N/A</v>
      </c>
      <c r="G1656" t="e">
        <f>NA()</f>
        <v>#N/A</v>
      </c>
      <c r="H1656" t="e">
        <f>NA()</f>
        <v>#N/A</v>
      </c>
      <c r="I1656" t="e">
        <f>NA()</f>
        <v>#N/A</v>
      </c>
      <c r="J1656" t="e">
        <f>NA()</f>
        <v>#N/A</v>
      </c>
      <c r="K1656" t="e">
        <f>NA()</f>
        <v>#N/A</v>
      </c>
      <c r="L1656" t="e">
        <f>NA()</f>
        <v>#N/A</v>
      </c>
      <c r="M1656" t="e">
        <f>NA()</f>
        <v>#N/A</v>
      </c>
      <c r="N1656" t="e">
        <f>NA()</f>
        <v>#N/A</v>
      </c>
      <c r="O1656">
        <f t="shared" si="61"/>
        <v>2.4</v>
      </c>
    </row>
    <row r="1657" spans="1:15" x14ac:dyDescent="0.25">
      <c r="A1657" s="1">
        <v>43608</v>
      </c>
      <c r="B1657" t="e">
        <f>NA()</f>
        <v>#N/A</v>
      </c>
      <c r="C1657" t="e">
        <f>NA()</f>
        <v>#N/A</v>
      </c>
      <c r="D1657" t="e">
        <f>NA()</f>
        <v>#N/A</v>
      </c>
      <c r="E1657" t="e">
        <f>NA()</f>
        <v>#N/A</v>
      </c>
      <c r="F1657" t="e">
        <f>NA()</f>
        <v>#N/A</v>
      </c>
      <c r="G1657" t="e">
        <f>NA()</f>
        <v>#N/A</v>
      </c>
      <c r="H1657" t="e">
        <f>NA()</f>
        <v>#N/A</v>
      </c>
      <c r="I1657" t="e">
        <f>NA()</f>
        <v>#N/A</v>
      </c>
      <c r="J1657" t="e">
        <f>NA()</f>
        <v>#N/A</v>
      </c>
      <c r="K1657" t="e">
        <f>NA()</f>
        <v>#N/A</v>
      </c>
      <c r="L1657" t="e">
        <f>NA()</f>
        <v>#N/A</v>
      </c>
      <c r="M1657" t="e">
        <f>NA()</f>
        <v>#N/A</v>
      </c>
      <c r="N1657" t="e">
        <f>NA()</f>
        <v>#N/A</v>
      </c>
      <c r="O1657">
        <f t="shared" si="61"/>
        <v>2.4</v>
      </c>
    </row>
    <row r="1658" spans="1:15" x14ac:dyDescent="0.25">
      <c r="A1658" s="1">
        <v>43607</v>
      </c>
      <c r="B1658" t="e">
        <f>NA()</f>
        <v>#N/A</v>
      </c>
      <c r="C1658" t="e">
        <f>NA()</f>
        <v>#N/A</v>
      </c>
      <c r="D1658" t="e">
        <f>NA()</f>
        <v>#N/A</v>
      </c>
      <c r="E1658" t="e">
        <f>NA()</f>
        <v>#N/A</v>
      </c>
      <c r="F1658" t="e">
        <f>NA()</f>
        <v>#N/A</v>
      </c>
      <c r="G1658" t="e">
        <f>NA()</f>
        <v>#N/A</v>
      </c>
      <c r="H1658" t="e">
        <f>NA()</f>
        <v>#N/A</v>
      </c>
      <c r="I1658" t="e">
        <f>NA()</f>
        <v>#N/A</v>
      </c>
      <c r="J1658" t="e">
        <f>NA()</f>
        <v>#N/A</v>
      </c>
      <c r="K1658" t="e">
        <f>NA()</f>
        <v>#N/A</v>
      </c>
      <c r="L1658" t="e">
        <f>NA()</f>
        <v>#N/A</v>
      </c>
      <c r="M1658" t="e">
        <f>NA()</f>
        <v>#N/A</v>
      </c>
      <c r="N1658" t="e">
        <f>NA()</f>
        <v>#N/A</v>
      </c>
      <c r="O1658">
        <f t="shared" si="61"/>
        <v>2.4</v>
      </c>
    </row>
    <row r="1659" spans="1:15" x14ac:dyDescent="0.25">
      <c r="A1659" s="1">
        <v>43606</v>
      </c>
      <c r="B1659" t="e">
        <f>NA()</f>
        <v>#N/A</v>
      </c>
      <c r="C1659" t="e">
        <f>NA()</f>
        <v>#N/A</v>
      </c>
      <c r="D1659" t="e">
        <f>NA()</f>
        <v>#N/A</v>
      </c>
      <c r="E1659" t="e">
        <f>NA()</f>
        <v>#N/A</v>
      </c>
      <c r="F1659" t="e">
        <f>NA()</f>
        <v>#N/A</v>
      </c>
      <c r="G1659" t="e">
        <f>NA()</f>
        <v>#N/A</v>
      </c>
      <c r="H1659" t="e">
        <f>NA()</f>
        <v>#N/A</v>
      </c>
      <c r="I1659" t="e">
        <f>NA()</f>
        <v>#N/A</v>
      </c>
      <c r="J1659" t="e">
        <f>NA()</f>
        <v>#N/A</v>
      </c>
      <c r="K1659" t="e">
        <f>NA()</f>
        <v>#N/A</v>
      </c>
      <c r="L1659" t="e">
        <f>NA()</f>
        <v>#N/A</v>
      </c>
      <c r="M1659" t="e">
        <f>NA()</f>
        <v>#N/A</v>
      </c>
      <c r="N1659" t="e">
        <f>NA()</f>
        <v>#N/A</v>
      </c>
      <c r="O1659">
        <f t="shared" si="61"/>
        <v>2.4</v>
      </c>
    </row>
    <row r="1660" spans="1:15" x14ac:dyDescent="0.25">
      <c r="A1660" s="1">
        <v>43605</v>
      </c>
      <c r="B1660" t="e">
        <f>NA()</f>
        <v>#N/A</v>
      </c>
      <c r="C1660" t="e">
        <f>NA()</f>
        <v>#N/A</v>
      </c>
      <c r="D1660" t="e">
        <f>NA()</f>
        <v>#N/A</v>
      </c>
      <c r="E1660" t="e">
        <f>NA()</f>
        <v>#N/A</v>
      </c>
      <c r="F1660" t="e">
        <f>NA()</f>
        <v>#N/A</v>
      </c>
      <c r="G1660" t="e">
        <f>NA()</f>
        <v>#N/A</v>
      </c>
      <c r="H1660" t="e">
        <f>NA()</f>
        <v>#N/A</v>
      </c>
      <c r="I1660" t="e">
        <f>NA()</f>
        <v>#N/A</v>
      </c>
      <c r="J1660" t="e">
        <f>NA()</f>
        <v>#N/A</v>
      </c>
      <c r="K1660" t="e">
        <f>NA()</f>
        <v>#N/A</v>
      </c>
      <c r="L1660" t="e">
        <f>NA()</f>
        <v>#N/A</v>
      </c>
      <c r="M1660" t="e">
        <f>NA()</f>
        <v>#N/A</v>
      </c>
      <c r="N1660" t="e">
        <f>NA()</f>
        <v>#N/A</v>
      </c>
      <c r="O1660">
        <f t="shared" si="61"/>
        <v>2.4</v>
      </c>
    </row>
    <row r="1661" spans="1:15" x14ac:dyDescent="0.25">
      <c r="A1661" s="1">
        <v>43602</v>
      </c>
      <c r="B1661">
        <f>-0.4</f>
        <v>-0.4</v>
      </c>
      <c r="C1661">
        <f>0</f>
        <v>0</v>
      </c>
      <c r="D1661" t="e">
        <f>NA()</f>
        <v>#N/A</v>
      </c>
      <c r="E1661" t="e">
        <f>NA()</f>
        <v>#N/A</v>
      </c>
      <c r="F1661" t="e">
        <f>NA()</f>
        <v>#N/A</v>
      </c>
      <c r="G1661" t="e">
        <f>NA()</f>
        <v>#N/A</v>
      </c>
      <c r="H1661" t="e">
        <f>NA()</f>
        <v>#N/A</v>
      </c>
      <c r="I1661" t="e">
        <f>NA()</f>
        <v>#N/A</v>
      </c>
      <c r="J1661" t="e">
        <f>NA()</f>
        <v>#N/A</v>
      </c>
      <c r="K1661" t="e">
        <f>NA()</f>
        <v>#N/A</v>
      </c>
      <c r="L1661" t="e">
        <f>NA()</f>
        <v>#N/A</v>
      </c>
      <c r="M1661" t="e">
        <f>NA()</f>
        <v>#N/A</v>
      </c>
      <c r="N1661" t="e">
        <f>NA()</f>
        <v>#N/A</v>
      </c>
      <c r="O1661">
        <f t="shared" si="61"/>
        <v>2.4</v>
      </c>
    </row>
    <row r="1662" spans="1:15" x14ac:dyDescent="0.25">
      <c r="A1662" s="1">
        <v>43601</v>
      </c>
      <c r="B1662" t="e">
        <f>NA()</f>
        <v>#N/A</v>
      </c>
      <c r="C1662" t="e">
        <f>NA()</f>
        <v>#N/A</v>
      </c>
      <c r="D1662" t="e">
        <f>NA()</f>
        <v>#N/A</v>
      </c>
      <c r="E1662" t="e">
        <f>NA()</f>
        <v>#N/A</v>
      </c>
      <c r="F1662" t="e">
        <f>NA()</f>
        <v>#N/A</v>
      </c>
      <c r="G1662" t="e">
        <f>NA()</f>
        <v>#N/A</v>
      </c>
      <c r="H1662" t="e">
        <f>NA()</f>
        <v>#N/A</v>
      </c>
      <c r="I1662" t="e">
        <f>NA()</f>
        <v>#N/A</v>
      </c>
      <c r="J1662" t="e">
        <f>NA()</f>
        <v>#N/A</v>
      </c>
      <c r="K1662" t="e">
        <f>NA()</f>
        <v>#N/A</v>
      </c>
      <c r="L1662" t="e">
        <f>NA()</f>
        <v>#N/A</v>
      </c>
      <c r="M1662" t="e">
        <f>NA()</f>
        <v>#N/A</v>
      </c>
      <c r="N1662" t="e">
        <f>NA()</f>
        <v>#N/A</v>
      </c>
      <c r="O1662">
        <f t="shared" si="61"/>
        <v>2.4</v>
      </c>
    </row>
    <row r="1663" spans="1:15" x14ac:dyDescent="0.25">
      <c r="A1663" s="1">
        <v>43600</v>
      </c>
      <c r="B1663" t="e">
        <f>NA()</f>
        <v>#N/A</v>
      </c>
      <c r="C1663" t="e">
        <f>NA()</f>
        <v>#N/A</v>
      </c>
      <c r="D1663" t="e">
        <f>NA()</f>
        <v>#N/A</v>
      </c>
      <c r="E1663" t="e">
        <f>NA()</f>
        <v>#N/A</v>
      </c>
      <c r="F1663" t="e">
        <f>NA()</f>
        <v>#N/A</v>
      </c>
      <c r="G1663" t="e">
        <f>NA()</f>
        <v>#N/A</v>
      </c>
      <c r="H1663" t="e">
        <f>NA()</f>
        <v>#N/A</v>
      </c>
      <c r="I1663" t="e">
        <f>NA()</f>
        <v>#N/A</v>
      </c>
      <c r="J1663" t="e">
        <f>NA()</f>
        <v>#N/A</v>
      </c>
      <c r="K1663" t="e">
        <f>NA()</f>
        <v>#N/A</v>
      </c>
      <c r="L1663" t="e">
        <f>NA()</f>
        <v>#N/A</v>
      </c>
      <c r="M1663" t="e">
        <f>NA()</f>
        <v>#N/A</v>
      </c>
      <c r="N1663" t="e">
        <f>NA()</f>
        <v>#N/A</v>
      </c>
      <c r="O1663">
        <f t="shared" si="61"/>
        <v>2.4</v>
      </c>
    </row>
    <row r="1664" spans="1:15" x14ac:dyDescent="0.25">
      <c r="A1664" s="1">
        <v>43599</v>
      </c>
      <c r="B1664" t="e">
        <f>NA()</f>
        <v>#N/A</v>
      </c>
      <c r="C1664" t="e">
        <f>NA()</f>
        <v>#N/A</v>
      </c>
      <c r="D1664" t="e">
        <f>NA()</f>
        <v>#N/A</v>
      </c>
      <c r="E1664" t="e">
        <f>NA()</f>
        <v>#N/A</v>
      </c>
      <c r="F1664" t="e">
        <f>NA()</f>
        <v>#N/A</v>
      </c>
      <c r="G1664" t="e">
        <f>NA()</f>
        <v>#N/A</v>
      </c>
      <c r="H1664" t="e">
        <f>NA()</f>
        <v>#N/A</v>
      </c>
      <c r="I1664" t="e">
        <f>NA()</f>
        <v>#N/A</v>
      </c>
      <c r="J1664" t="e">
        <f>NA()</f>
        <v>#N/A</v>
      </c>
      <c r="K1664" t="e">
        <f>NA()</f>
        <v>#N/A</v>
      </c>
      <c r="L1664" t="e">
        <f>NA()</f>
        <v>#N/A</v>
      </c>
      <c r="M1664" t="e">
        <f>NA()</f>
        <v>#N/A</v>
      </c>
      <c r="N1664" t="e">
        <f>NA()</f>
        <v>#N/A</v>
      </c>
      <c r="O1664">
        <f t="shared" si="61"/>
        <v>2.4</v>
      </c>
    </row>
    <row r="1665" spans="1:15" x14ac:dyDescent="0.25">
      <c r="A1665" s="1">
        <v>43598</v>
      </c>
      <c r="B1665" t="e">
        <f>NA()</f>
        <v>#N/A</v>
      </c>
      <c r="C1665" t="e">
        <f>NA()</f>
        <v>#N/A</v>
      </c>
      <c r="D1665" t="e">
        <f>NA()</f>
        <v>#N/A</v>
      </c>
      <c r="E1665" t="e">
        <f>NA()</f>
        <v>#N/A</v>
      </c>
      <c r="F1665" t="e">
        <f>NA()</f>
        <v>#N/A</v>
      </c>
      <c r="G1665" t="e">
        <f>NA()</f>
        <v>#N/A</v>
      </c>
      <c r="H1665" t="e">
        <f>NA()</f>
        <v>#N/A</v>
      </c>
      <c r="I1665" t="e">
        <f>NA()</f>
        <v>#N/A</v>
      </c>
      <c r="J1665" t="e">
        <f>NA()</f>
        <v>#N/A</v>
      </c>
      <c r="K1665" t="e">
        <f>NA()</f>
        <v>#N/A</v>
      </c>
      <c r="L1665" t="e">
        <f>NA()</f>
        <v>#N/A</v>
      </c>
      <c r="M1665" t="e">
        <f>NA()</f>
        <v>#N/A</v>
      </c>
      <c r="N1665" t="e">
        <f>NA()</f>
        <v>#N/A</v>
      </c>
      <c r="O1665">
        <f t="shared" si="61"/>
        <v>2.4</v>
      </c>
    </row>
    <row r="1666" spans="1:15" x14ac:dyDescent="0.25">
      <c r="A1666" s="1">
        <v>43595</v>
      </c>
      <c r="B1666">
        <f>-0.4</f>
        <v>-0.4</v>
      </c>
      <c r="C1666">
        <f>0</f>
        <v>0</v>
      </c>
      <c r="D1666" t="e">
        <f>NA()</f>
        <v>#N/A</v>
      </c>
      <c r="E1666" t="e">
        <f>NA()</f>
        <v>#N/A</v>
      </c>
      <c r="F1666" t="e">
        <f>NA()</f>
        <v>#N/A</v>
      </c>
      <c r="G1666" t="e">
        <f>NA()</f>
        <v>#N/A</v>
      </c>
      <c r="H1666" t="e">
        <f>NA()</f>
        <v>#N/A</v>
      </c>
      <c r="I1666" t="e">
        <f>NA()</f>
        <v>#N/A</v>
      </c>
      <c r="J1666" t="e">
        <f>NA()</f>
        <v>#N/A</v>
      </c>
      <c r="K1666" t="e">
        <f>NA()</f>
        <v>#N/A</v>
      </c>
      <c r="L1666" t="e">
        <f>NA()</f>
        <v>#N/A</v>
      </c>
      <c r="M1666" t="e">
        <f>NA()</f>
        <v>#N/A</v>
      </c>
      <c r="N1666" t="e">
        <f>NA()</f>
        <v>#N/A</v>
      </c>
      <c r="O1666">
        <f t="shared" si="61"/>
        <v>2.4</v>
      </c>
    </row>
    <row r="1667" spans="1:15" x14ac:dyDescent="0.25">
      <c r="A1667" s="1">
        <v>43594</v>
      </c>
      <c r="B1667" t="e">
        <f>NA()</f>
        <v>#N/A</v>
      </c>
      <c r="C1667" t="e">
        <f>NA()</f>
        <v>#N/A</v>
      </c>
      <c r="D1667" t="e">
        <f>NA()</f>
        <v>#N/A</v>
      </c>
      <c r="E1667" t="e">
        <f>NA()</f>
        <v>#N/A</v>
      </c>
      <c r="F1667" t="e">
        <f>NA()</f>
        <v>#N/A</v>
      </c>
      <c r="G1667" t="e">
        <f>NA()</f>
        <v>#N/A</v>
      </c>
      <c r="H1667" t="e">
        <f>NA()</f>
        <v>#N/A</v>
      </c>
      <c r="I1667" t="e">
        <f>NA()</f>
        <v>#N/A</v>
      </c>
      <c r="J1667" t="e">
        <f>NA()</f>
        <v>#N/A</v>
      </c>
      <c r="K1667" t="e">
        <f>NA()</f>
        <v>#N/A</v>
      </c>
      <c r="L1667" t="e">
        <f>NA()</f>
        <v>#N/A</v>
      </c>
      <c r="M1667" t="e">
        <f>NA()</f>
        <v>#N/A</v>
      </c>
      <c r="N1667" t="e">
        <f>NA()</f>
        <v>#N/A</v>
      </c>
      <c r="O1667">
        <f t="shared" si="61"/>
        <v>2.4</v>
      </c>
    </row>
    <row r="1668" spans="1:15" x14ac:dyDescent="0.25">
      <c r="A1668" s="1">
        <v>43593</v>
      </c>
      <c r="B1668" t="e">
        <f>NA()</f>
        <v>#N/A</v>
      </c>
      <c r="C1668" t="e">
        <f>NA()</f>
        <v>#N/A</v>
      </c>
      <c r="D1668" t="e">
        <f>NA()</f>
        <v>#N/A</v>
      </c>
      <c r="E1668" t="e">
        <f>NA()</f>
        <v>#N/A</v>
      </c>
      <c r="F1668" t="e">
        <f>NA()</f>
        <v>#N/A</v>
      </c>
      <c r="G1668" t="e">
        <f>NA()</f>
        <v>#N/A</v>
      </c>
      <c r="H1668" t="e">
        <f>NA()</f>
        <v>#N/A</v>
      </c>
      <c r="I1668" t="e">
        <f>NA()</f>
        <v>#N/A</v>
      </c>
      <c r="J1668" t="e">
        <f>NA()</f>
        <v>#N/A</v>
      </c>
      <c r="K1668" t="e">
        <f>NA()</f>
        <v>#N/A</v>
      </c>
      <c r="L1668" t="e">
        <f>NA()</f>
        <v>#N/A</v>
      </c>
      <c r="M1668" t="e">
        <f>NA()</f>
        <v>#N/A</v>
      </c>
      <c r="N1668" t="e">
        <f>NA()</f>
        <v>#N/A</v>
      </c>
      <c r="O1668">
        <f t="shared" si="61"/>
        <v>2.4</v>
      </c>
    </row>
    <row r="1669" spans="1:15" x14ac:dyDescent="0.25">
      <c r="A1669" s="1">
        <v>43592</v>
      </c>
      <c r="B1669" t="e">
        <f>NA()</f>
        <v>#N/A</v>
      </c>
      <c r="C1669" t="e">
        <f>NA()</f>
        <v>#N/A</v>
      </c>
      <c r="D1669" t="e">
        <f>NA()</f>
        <v>#N/A</v>
      </c>
      <c r="E1669" t="e">
        <f>NA()</f>
        <v>#N/A</v>
      </c>
      <c r="F1669" t="e">
        <f>NA()</f>
        <v>#N/A</v>
      </c>
      <c r="G1669" t="e">
        <f>NA()</f>
        <v>#N/A</v>
      </c>
      <c r="H1669" t="e">
        <f>NA()</f>
        <v>#N/A</v>
      </c>
      <c r="I1669" t="e">
        <f>NA()</f>
        <v>#N/A</v>
      </c>
      <c r="J1669" t="e">
        <f>NA()</f>
        <v>#N/A</v>
      </c>
      <c r="K1669" t="e">
        <f>NA()</f>
        <v>#N/A</v>
      </c>
      <c r="L1669" t="e">
        <f>NA()</f>
        <v>#N/A</v>
      </c>
      <c r="M1669" t="e">
        <f>NA()</f>
        <v>#N/A</v>
      </c>
      <c r="N1669" t="e">
        <f>NA()</f>
        <v>#N/A</v>
      </c>
      <c r="O1669">
        <f t="shared" si="61"/>
        <v>2.4</v>
      </c>
    </row>
    <row r="1670" spans="1:15" x14ac:dyDescent="0.25">
      <c r="A1670" s="1">
        <v>43591</v>
      </c>
      <c r="B1670" t="e">
        <f>NA()</f>
        <v>#N/A</v>
      </c>
      <c r="C1670" t="e">
        <f>NA()</f>
        <v>#N/A</v>
      </c>
      <c r="D1670" t="e">
        <f>NA()</f>
        <v>#N/A</v>
      </c>
      <c r="E1670" t="e">
        <f>NA()</f>
        <v>#N/A</v>
      </c>
      <c r="F1670" t="e">
        <f>NA()</f>
        <v>#N/A</v>
      </c>
      <c r="G1670" t="e">
        <f>NA()</f>
        <v>#N/A</v>
      </c>
      <c r="H1670" t="e">
        <f>NA()</f>
        <v>#N/A</v>
      </c>
      <c r="I1670" t="e">
        <f>NA()</f>
        <v>#N/A</v>
      </c>
      <c r="J1670" t="e">
        <f>NA()</f>
        <v>#N/A</v>
      </c>
      <c r="K1670" t="e">
        <f>NA()</f>
        <v>#N/A</v>
      </c>
      <c r="L1670" t="e">
        <f>NA()</f>
        <v>#N/A</v>
      </c>
      <c r="M1670" t="e">
        <f>NA()</f>
        <v>#N/A</v>
      </c>
      <c r="N1670" t="e">
        <f>NA()</f>
        <v>#N/A</v>
      </c>
      <c r="O1670">
        <f t="shared" si="61"/>
        <v>2.4</v>
      </c>
    </row>
    <row r="1671" spans="1:15" x14ac:dyDescent="0.25">
      <c r="A1671" s="1">
        <v>43588</v>
      </c>
      <c r="B1671">
        <f>-0.7</f>
        <v>-0.7</v>
      </c>
      <c r="C1671">
        <f>0</f>
        <v>0</v>
      </c>
      <c r="D1671" t="e">
        <f>NA()</f>
        <v>#N/A</v>
      </c>
      <c r="E1671" t="e">
        <f>NA()</f>
        <v>#N/A</v>
      </c>
      <c r="F1671" t="e">
        <f>NA()</f>
        <v>#N/A</v>
      </c>
      <c r="G1671" t="e">
        <f>NA()</f>
        <v>#N/A</v>
      </c>
      <c r="H1671" t="e">
        <f>NA()</f>
        <v>#N/A</v>
      </c>
      <c r="I1671" t="e">
        <f>NA()</f>
        <v>#N/A</v>
      </c>
      <c r="J1671" t="e">
        <f>NA()</f>
        <v>#N/A</v>
      </c>
      <c r="K1671" t="e">
        <f>NA()</f>
        <v>#N/A</v>
      </c>
      <c r="L1671" t="e">
        <f>NA()</f>
        <v>#N/A</v>
      </c>
      <c r="M1671" t="e">
        <f>NA()</f>
        <v>#N/A</v>
      </c>
      <c r="N1671" t="e">
        <f>NA()</f>
        <v>#N/A</v>
      </c>
      <c r="O1671">
        <f t="shared" si="61"/>
        <v>2.4</v>
      </c>
    </row>
    <row r="1672" spans="1:15" x14ac:dyDescent="0.25">
      <c r="A1672" s="1">
        <v>43587</v>
      </c>
      <c r="B1672" t="e">
        <f>NA()</f>
        <v>#N/A</v>
      </c>
      <c r="C1672" t="e">
        <f>NA()</f>
        <v>#N/A</v>
      </c>
      <c r="D1672" t="e">
        <f>NA()</f>
        <v>#N/A</v>
      </c>
      <c r="E1672" t="e">
        <f>NA()</f>
        <v>#N/A</v>
      </c>
      <c r="F1672" t="e">
        <f>NA()</f>
        <v>#N/A</v>
      </c>
      <c r="G1672" t="e">
        <f>NA()</f>
        <v>#N/A</v>
      </c>
      <c r="H1672" t="e">
        <f>NA()</f>
        <v>#N/A</v>
      </c>
      <c r="I1672" t="e">
        <f>NA()</f>
        <v>#N/A</v>
      </c>
      <c r="J1672" t="e">
        <f>NA()</f>
        <v>#N/A</v>
      </c>
      <c r="K1672" t="e">
        <f>NA()</f>
        <v>#N/A</v>
      </c>
      <c r="L1672" t="e">
        <f>NA()</f>
        <v>#N/A</v>
      </c>
      <c r="M1672" t="e">
        <f>NA()</f>
        <v>#N/A</v>
      </c>
      <c r="N1672" t="e">
        <f>NA()</f>
        <v>#N/A</v>
      </c>
      <c r="O1672">
        <f t="shared" si="61"/>
        <v>2.4</v>
      </c>
    </row>
    <row r="1673" spans="1:15" x14ac:dyDescent="0.25">
      <c r="A1673" s="1">
        <v>43586</v>
      </c>
      <c r="B1673" t="e">
        <f>NA()</f>
        <v>#N/A</v>
      </c>
      <c r="C1673" t="e">
        <f>NA()</f>
        <v>#N/A</v>
      </c>
      <c r="D1673" t="e">
        <f>NA()</f>
        <v>#N/A</v>
      </c>
      <c r="E1673" t="e">
        <f>NA()</f>
        <v>#N/A</v>
      </c>
      <c r="F1673" t="e">
        <f>NA()</f>
        <v>#N/A</v>
      </c>
      <c r="G1673" t="e">
        <f>NA()</f>
        <v>#N/A</v>
      </c>
      <c r="H1673" t="e">
        <f>NA()</f>
        <v>#N/A</v>
      </c>
      <c r="I1673" t="e">
        <f>NA()</f>
        <v>#N/A</v>
      </c>
      <c r="J1673" t="e">
        <f>NA()</f>
        <v>#N/A</v>
      </c>
      <c r="K1673" t="e">
        <f>NA()</f>
        <v>#N/A</v>
      </c>
      <c r="L1673" t="e">
        <f>NA()</f>
        <v>#N/A</v>
      </c>
      <c r="M1673" t="e">
        <f>NA()</f>
        <v>#N/A</v>
      </c>
      <c r="N1673" t="e">
        <f>NA()</f>
        <v>#N/A</v>
      </c>
      <c r="O1673">
        <f>2.5</f>
        <v>2.5</v>
      </c>
    </row>
    <row r="1674" spans="1:15" x14ac:dyDescent="0.25">
      <c r="A1674" s="1">
        <v>43585</v>
      </c>
      <c r="B1674" t="e">
        <f>NA()</f>
        <v>#N/A</v>
      </c>
      <c r="C1674" t="e">
        <f>NA()</f>
        <v>#N/A</v>
      </c>
      <c r="D1674">
        <f>0.1</f>
        <v>0.1</v>
      </c>
      <c r="E1674">
        <f>1.3</f>
        <v>1.3</v>
      </c>
      <c r="F1674">
        <f>7272</f>
        <v>7272</v>
      </c>
      <c r="G1674">
        <f>62.8</f>
        <v>62.8</v>
      </c>
      <c r="H1674">
        <f>3.3</f>
        <v>3.3</v>
      </c>
      <c r="I1674">
        <f>255.5</f>
        <v>255.5</v>
      </c>
      <c r="J1674">
        <f>2</f>
        <v>2</v>
      </c>
      <c r="K1674">
        <f>53.6</f>
        <v>53.6</v>
      </c>
      <c r="L1674">
        <f>-0.5</f>
        <v>-0.5</v>
      </c>
      <c r="M1674" t="e">
        <f>NA()</f>
        <v>#N/A</v>
      </c>
      <c r="N1674">
        <f>3.7</f>
        <v>3.7</v>
      </c>
      <c r="O1674">
        <f>2.5</f>
        <v>2.5</v>
      </c>
    </row>
    <row r="1675" spans="1:15" x14ac:dyDescent="0.25">
      <c r="A1675" s="1">
        <v>43584</v>
      </c>
      <c r="B1675" t="e">
        <f>NA()</f>
        <v>#N/A</v>
      </c>
      <c r="C1675" t="e">
        <f>NA()</f>
        <v>#N/A</v>
      </c>
      <c r="D1675" t="e">
        <f>NA()</f>
        <v>#N/A</v>
      </c>
      <c r="E1675" t="e">
        <f>NA()</f>
        <v>#N/A</v>
      </c>
      <c r="F1675" t="e">
        <f>NA()</f>
        <v>#N/A</v>
      </c>
      <c r="G1675" t="e">
        <f>NA()</f>
        <v>#N/A</v>
      </c>
      <c r="H1675" t="e">
        <f>NA()</f>
        <v>#N/A</v>
      </c>
      <c r="I1675" t="e">
        <f>NA()</f>
        <v>#N/A</v>
      </c>
      <c r="J1675" t="e">
        <f>NA()</f>
        <v>#N/A</v>
      </c>
      <c r="K1675" t="e">
        <f>NA()</f>
        <v>#N/A</v>
      </c>
      <c r="L1675" t="e">
        <f>NA()</f>
        <v>#N/A</v>
      </c>
      <c r="M1675" t="e">
        <f>NA()</f>
        <v>#N/A</v>
      </c>
      <c r="N1675" t="e">
        <f>NA()</f>
        <v>#N/A</v>
      </c>
      <c r="O1675">
        <f>2.5</f>
        <v>2.5</v>
      </c>
    </row>
    <row r="1676" spans="1:15" x14ac:dyDescent="0.25">
      <c r="A1676" s="1">
        <v>43581</v>
      </c>
      <c r="B1676">
        <f>-0.6</f>
        <v>-0.6</v>
      </c>
      <c r="C1676">
        <f>0</f>
        <v>0</v>
      </c>
      <c r="D1676" t="e">
        <f>NA()</f>
        <v>#N/A</v>
      </c>
      <c r="E1676" t="e">
        <f>NA()</f>
        <v>#N/A</v>
      </c>
      <c r="F1676" t="e">
        <f>NA()</f>
        <v>#N/A</v>
      </c>
      <c r="G1676" t="e">
        <f>NA()</f>
        <v>#N/A</v>
      </c>
      <c r="H1676" t="e">
        <f>NA()</f>
        <v>#N/A</v>
      </c>
      <c r="I1676" t="e">
        <f>NA()</f>
        <v>#N/A</v>
      </c>
      <c r="J1676" t="e">
        <f>NA()</f>
        <v>#N/A</v>
      </c>
      <c r="K1676" t="e">
        <f>NA()</f>
        <v>#N/A</v>
      </c>
      <c r="L1676" t="e">
        <f>NA()</f>
        <v>#N/A</v>
      </c>
      <c r="M1676" t="e">
        <f>NA()</f>
        <v>#N/A</v>
      </c>
      <c r="N1676" t="e">
        <f>NA()</f>
        <v>#N/A</v>
      </c>
      <c r="O1676">
        <f t="shared" ref="O1676:O1695" si="62">2.4</f>
        <v>2.4</v>
      </c>
    </row>
    <row r="1677" spans="1:15" x14ac:dyDescent="0.25">
      <c r="A1677" s="1">
        <v>43580</v>
      </c>
      <c r="B1677" t="e">
        <f>NA()</f>
        <v>#N/A</v>
      </c>
      <c r="C1677" t="e">
        <f>NA()</f>
        <v>#N/A</v>
      </c>
      <c r="D1677" t="e">
        <f>NA()</f>
        <v>#N/A</v>
      </c>
      <c r="E1677" t="e">
        <f>NA()</f>
        <v>#N/A</v>
      </c>
      <c r="F1677" t="e">
        <f>NA()</f>
        <v>#N/A</v>
      </c>
      <c r="G1677" t="e">
        <f>NA()</f>
        <v>#N/A</v>
      </c>
      <c r="H1677" t="e">
        <f>NA()</f>
        <v>#N/A</v>
      </c>
      <c r="I1677" t="e">
        <f>NA()</f>
        <v>#N/A</v>
      </c>
      <c r="J1677" t="e">
        <f>NA()</f>
        <v>#N/A</v>
      </c>
      <c r="K1677" t="e">
        <f>NA()</f>
        <v>#N/A</v>
      </c>
      <c r="L1677" t="e">
        <f>NA()</f>
        <v>#N/A</v>
      </c>
      <c r="M1677" t="e">
        <f>NA()</f>
        <v>#N/A</v>
      </c>
      <c r="N1677" t="e">
        <f>NA()</f>
        <v>#N/A</v>
      </c>
      <c r="O1677">
        <f t="shared" si="62"/>
        <v>2.4</v>
      </c>
    </row>
    <row r="1678" spans="1:15" x14ac:dyDescent="0.25">
      <c r="A1678" s="1">
        <v>43579</v>
      </c>
      <c r="B1678" t="e">
        <f>NA()</f>
        <v>#N/A</v>
      </c>
      <c r="C1678" t="e">
        <f>NA()</f>
        <v>#N/A</v>
      </c>
      <c r="D1678" t="e">
        <f>NA()</f>
        <v>#N/A</v>
      </c>
      <c r="E1678" t="e">
        <f>NA()</f>
        <v>#N/A</v>
      </c>
      <c r="F1678" t="e">
        <f>NA()</f>
        <v>#N/A</v>
      </c>
      <c r="G1678" t="e">
        <f>NA()</f>
        <v>#N/A</v>
      </c>
      <c r="H1678" t="e">
        <f>NA()</f>
        <v>#N/A</v>
      </c>
      <c r="I1678" t="e">
        <f>NA()</f>
        <v>#N/A</v>
      </c>
      <c r="J1678" t="e">
        <f>NA()</f>
        <v>#N/A</v>
      </c>
      <c r="K1678" t="e">
        <f>NA()</f>
        <v>#N/A</v>
      </c>
      <c r="L1678" t="e">
        <f>NA()</f>
        <v>#N/A</v>
      </c>
      <c r="M1678" t="e">
        <f>NA()</f>
        <v>#N/A</v>
      </c>
      <c r="N1678" t="e">
        <f>NA()</f>
        <v>#N/A</v>
      </c>
      <c r="O1678">
        <f t="shared" si="62"/>
        <v>2.4</v>
      </c>
    </row>
    <row r="1679" spans="1:15" x14ac:dyDescent="0.25">
      <c r="A1679" s="1">
        <v>43578</v>
      </c>
      <c r="B1679" t="e">
        <f>NA()</f>
        <v>#N/A</v>
      </c>
      <c r="C1679" t="e">
        <f>NA()</f>
        <v>#N/A</v>
      </c>
      <c r="D1679" t="e">
        <f>NA()</f>
        <v>#N/A</v>
      </c>
      <c r="E1679" t="e">
        <f>NA()</f>
        <v>#N/A</v>
      </c>
      <c r="F1679" t="e">
        <f>NA()</f>
        <v>#N/A</v>
      </c>
      <c r="G1679" t="e">
        <f>NA()</f>
        <v>#N/A</v>
      </c>
      <c r="H1679" t="e">
        <f>NA()</f>
        <v>#N/A</v>
      </c>
      <c r="I1679" t="e">
        <f>NA()</f>
        <v>#N/A</v>
      </c>
      <c r="J1679" t="e">
        <f>NA()</f>
        <v>#N/A</v>
      </c>
      <c r="K1679" t="e">
        <f>NA()</f>
        <v>#N/A</v>
      </c>
      <c r="L1679" t="e">
        <f>NA()</f>
        <v>#N/A</v>
      </c>
      <c r="M1679" t="e">
        <f>NA()</f>
        <v>#N/A</v>
      </c>
      <c r="N1679" t="e">
        <f>NA()</f>
        <v>#N/A</v>
      </c>
      <c r="O1679">
        <f t="shared" si="62"/>
        <v>2.4</v>
      </c>
    </row>
    <row r="1680" spans="1:15" x14ac:dyDescent="0.25">
      <c r="A1680" s="1">
        <v>43577</v>
      </c>
      <c r="B1680" t="e">
        <f>NA()</f>
        <v>#N/A</v>
      </c>
      <c r="C1680" t="e">
        <f>NA()</f>
        <v>#N/A</v>
      </c>
      <c r="D1680" t="e">
        <f>NA()</f>
        <v>#N/A</v>
      </c>
      <c r="E1680" t="e">
        <f>NA()</f>
        <v>#N/A</v>
      </c>
      <c r="F1680" t="e">
        <f>NA()</f>
        <v>#N/A</v>
      </c>
      <c r="G1680" t="e">
        <f>NA()</f>
        <v>#N/A</v>
      </c>
      <c r="H1680" t="e">
        <f>NA()</f>
        <v>#N/A</v>
      </c>
      <c r="I1680" t="e">
        <f>NA()</f>
        <v>#N/A</v>
      </c>
      <c r="J1680" t="e">
        <f>NA()</f>
        <v>#N/A</v>
      </c>
      <c r="K1680" t="e">
        <f>NA()</f>
        <v>#N/A</v>
      </c>
      <c r="L1680" t="e">
        <f>NA()</f>
        <v>#N/A</v>
      </c>
      <c r="M1680" t="e">
        <f>NA()</f>
        <v>#N/A</v>
      </c>
      <c r="N1680" t="e">
        <f>NA()</f>
        <v>#N/A</v>
      </c>
      <c r="O1680">
        <f t="shared" si="62"/>
        <v>2.4</v>
      </c>
    </row>
    <row r="1681" spans="1:15" x14ac:dyDescent="0.25">
      <c r="A1681" s="1">
        <v>43574</v>
      </c>
      <c r="B1681">
        <f>-0.8</f>
        <v>-0.8</v>
      </c>
      <c r="C1681">
        <f>0</f>
        <v>0</v>
      </c>
      <c r="D1681" t="e">
        <f>NA()</f>
        <v>#N/A</v>
      </c>
      <c r="E1681" t="e">
        <f>NA()</f>
        <v>#N/A</v>
      </c>
      <c r="F1681" t="e">
        <f>NA()</f>
        <v>#N/A</v>
      </c>
      <c r="G1681" t="e">
        <f>NA()</f>
        <v>#N/A</v>
      </c>
      <c r="H1681" t="e">
        <f>NA()</f>
        <v>#N/A</v>
      </c>
      <c r="I1681" t="e">
        <f>NA()</f>
        <v>#N/A</v>
      </c>
      <c r="J1681" t="e">
        <f>NA()</f>
        <v>#N/A</v>
      </c>
      <c r="K1681" t="e">
        <f>NA()</f>
        <v>#N/A</v>
      </c>
      <c r="L1681" t="e">
        <f>NA()</f>
        <v>#N/A</v>
      </c>
      <c r="M1681" t="e">
        <f>NA()</f>
        <v>#N/A</v>
      </c>
      <c r="N1681" t="e">
        <f>NA()</f>
        <v>#N/A</v>
      </c>
      <c r="O1681">
        <f t="shared" si="62"/>
        <v>2.4</v>
      </c>
    </row>
    <row r="1682" spans="1:15" x14ac:dyDescent="0.25">
      <c r="A1682" s="1">
        <v>43573</v>
      </c>
      <c r="B1682" t="e">
        <f>NA()</f>
        <v>#N/A</v>
      </c>
      <c r="C1682" t="e">
        <f>NA()</f>
        <v>#N/A</v>
      </c>
      <c r="D1682" t="e">
        <f>NA()</f>
        <v>#N/A</v>
      </c>
      <c r="E1682" t="e">
        <f>NA()</f>
        <v>#N/A</v>
      </c>
      <c r="F1682" t="e">
        <f>NA()</f>
        <v>#N/A</v>
      </c>
      <c r="G1682" t="e">
        <f>NA()</f>
        <v>#N/A</v>
      </c>
      <c r="H1682" t="e">
        <f>NA()</f>
        <v>#N/A</v>
      </c>
      <c r="I1682" t="e">
        <f>NA()</f>
        <v>#N/A</v>
      </c>
      <c r="J1682" t="e">
        <f>NA()</f>
        <v>#N/A</v>
      </c>
      <c r="K1682" t="e">
        <f>NA()</f>
        <v>#N/A</v>
      </c>
      <c r="L1682" t="e">
        <f>NA()</f>
        <v>#N/A</v>
      </c>
      <c r="M1682" t="e">
        <f>NA()</f>
        <v>#N/A</v>
      </c>
      <c r="N1682" t="e">
        <f>NA()</f>
        <v>#N/A</v>
      </c>
      <c r="O1682">
        <f t="shared" si="62"/>
        <v>2.4</v>
      </c>
    </row>
    <row r="1683" spans="1:15" x14ac:dyDescent="0.25">
      <c r="A1683" s="1">
        <v>43572</v>
      </c>
      <c r="B1683" t="e">
        <f>NA()</f>
        <v>#N/A</v>
      </c>
      <c r="C1683" t="e">
        <f>NA()</f>
        <v>#N/A</v>
      </c>
      <c r="D1683" t="e">
        <f>NA()</f>
        <v>#N/A</v>
      </c>
      <c r="E1683" t="e">
        <f>NA()</f>
        <v>#N/A</v>
      </c>
      <c r="F1683" t="e">
        <f>NA()</f>
        <v>#N/A</v>
      </c>
      <c r="G1683" t="e">
        <f>NA()</f>
        <v>#N/A</v>
      </c>
      <c r="H1683" t="e">
        <f>NA()</f>
        <v>#N/A</v>
      </c>
      <c r="I1683" t="e">
        <f>NA()</f>
        <v>#N/A</v>
      </c>
      <c r="J1683" t="e">
        <f>NA()</f>
        <v>#N/A</v>
      </c>
      <c r="K1683" t="e">
        <f>NA()</f>
        <v>#N/A</v>
      </c>
      <c r="L1683" t="e">
        <f>NA()</f>
        <v>#N/A</v>
      </c>
      <c r="M1683" t="e">
        <f>NA()</f>
        <v>#N/A</v>
      </c>
      <c r="N1683" t="e">
        <f>NA()</f>
        <v>#N/A</v>
      </c>
      <c r="O1683">
        <f t="shared" si="62"/>
        <v>2.4</v>
      </c>
    </row>
    <row r="1684" spans="1:15" x14ac:dyDescent="0.25">
      <c r="A1684" s="1">
        <v>43571</v>
      </c>
      <c r="B1684" t="e">
        <f>NA()</f>
        <v>#N/A</v>
      </c>
      <c r="C1684" t="e">
        <f>NA()</f>
        <v>#N/A</v>
      </c>
      <c r="D1684" t="e">
        <f>NA()</f>
        <v>#N/A</v>
      </c>
      <c r="E1684" t="e">
        <f>NA()</f>
        <v>#N/A</v>
      </c>
      <c r="F1684" t="e">
        <f>NA()</f>
        <v>#N/A</v>
      </c>
      <c r="G1684" t="e">
        <f>NA()</f>
        <v>#N/A</v>
      </c>
      <c r="H1684" t="e">
        <f>NA()</f>
        <v>#N/A</v>
      </c>
      <c r="I1684" t="e">
        <f>NA()</f>
        <v>#N/A</v>
      </c>
      <c r="J1684" t="e">
        <f>NA()</f>
        <v>#N/A</v>
      </c>
      <c r="K1684" t="e">
        <f>NA()</f>
        <v>#N/A</v>
      </c>
      <c r="L1684" t="e">
        <f>NA()</f>
        <v>#N/A</v>
      </c>
      <c r="M1684" t="e">
        <f>NA()</f>
        <v>#N/A</v>
      </c>
      <c r="N1684" t="e">
        <f>NA()</f>
        <v>#N/A</v>
      </c>
      <c r="O1684">
        <f t="shared" si="62"/>
        <v>2.4</v>
      </c>
    </row>
    <row r="1685" spans="1:15" x14ac:dyDescent="0.25">
      <c r="A1685" s="1">
        <v>43570</v>
      </c>
      <c r="B1685" t="e">
        <f>NA()</f>
        <v>#N/A</v>
      </c>
      <c r="C1685" t="e">
        <f>NA()</f>
        <v>#N/A</v>
      </c>
      <c r="D1685" t="e">
        <f>NA()</f>
        <v>#N/A</v>
      </c>
      <c r="E1685" t="e">
        <f>NA()</f>
        <v>#N/A</v>
      </c>
      <c r="F1685" t="e">
        <f>NA()</f>
        <v>#N/A</v>
      </c>
      <c r="G1685" t="e">
        <f>NA()</f>
        <v>#N/A</v>
      </c>
      <c r="H1685" t="e">
        <f>NA()</f>
        <v>#N/A</v>
      </c>
      <c r="I1685" t="e">
        <f>NA()</f>
        <v>#N/A</v>
      </c>
      <c r="J1685" t="e">
        <f>NA()</f>
        <v>#N/A</v>
      </c>
      <c r="K1685" t="e">
        <f>NA()</f>
        <v>#N/A</v>
      </c>
      <c r="L1685" t="e">
        <f>NA()</f>
        <v>#N/A</v>
      </c>
      <c r="M1685" t="e">
        <f>NA()</f>
        <v>#N/A</v>
      </c>
      <c r="N1685" t="e">
        <f>NA()</f>
        <v>#N/A</v>
      </c>
      <c r="O1685">
        <f t="shared" si="62"/>
        <v>2.4</v>
      </c>
    </row>
    <row r="1686" spans="1:15" x14ac:dyDescent="0.25">
      <c r="A1686" s="1">
        <v>43567</v>
      </c>
      <c r="B1686">
        <f>-0.7</f>
        <v>-0.7</v>
      </c>
      <c r="C1686">
        <f>0</f>
        <v>0</v>
      </c>
      <c r="D1686" t="e">
        <f>NA()</f>
        <v>#N/A</v>
      </c>
      <c r="E1686" t="e">
        <f>NA()</f>
        <v>#N/A</v>
      </c>
      <c r="F1686" t="e">
        <f>NA()</f>
        <v>#N/A</v>
      </c>
      <c r="G1686" t="e">
        <f>NA()</f>
        <v>#N/A</v>
      </c>
      <c r="H1686" t="e">
        <f>NA()</f>
        <v>#N/A</v>
      </c>
      <c r="I1686" t="e">
        <f>NA()</f>
        <v>#N/A</v>
      </c>
      <c r="J1686" t="e">
        <f>NA()</f>
        <v>#N/A</v>
      </c>
      <c r="K1686" t="e">
        <f>NA()</f>
        <v>#N/A</v>
      </c>
      <c r="L1686" t="e">
        <f>NA()</f>
        <v>#N/A</v>
      </c>
      <c r="M1686" t="e">
        <f>NA()</f>
        <v>#N/A</v>
      </c>
      <c r="N1686" t="e">
        <f>NA()</f>
        <v>#N/A</v>
      </c>
      <c r="O1686">
        <f t="shared" si="62"/>
        <v>2.4</v>
      </c>
    </row>
    <row r="1687" spans="1:15" x14ac:dyDescent="0.25">
      <c r="A1687" s="1">
        <v>43566</v>
      </c>
      <c r="B1687" t="e">
        <f>NA()</f>
        <v>#N/A</v>
      </c>
      <c r="C1687" t="e">
        <f>NA()</f>
        <v>#N/A</v>
      </c>
      <c r="D1687" t="e">
        <f>NA()</f>
        <v>#N/A</v>
      </c>
      <c r="E1687" t="e">
        <f>NA()</f>
        <v>#N/A</v>
      </c>
      <c r="F1687" t="e">
        <f>NA()</f>
        <v>#N/A</v>
      </c>
      <c r="G1687" t="e">
        <f>NA()</f>
        <v>#N/A</v>
      </c>
      <c r="H1687" t="e">
        <f>NA()</f>
        <v>#N/A</v>
      </c>
      <c r="I1687" t="e">
        <f>NA()</f>
        <v>#N/A</v>
      </c>
      <c r="J1687" t="e">
        <f>NA()</f>
        <v>#N/A</v>
      </c>
      <c r="K1687" t="e">
        <f>NA()</f>
        <v>#N/A</v>
      </c>
      <c r="L1687" t="e">
        <f>NA()</f>
        <v>#N/A</v>
      </c>
      <c r="M1687" t="e">
        <f>NA()</f>
        <v>#N/A</v>
      </c>
      <c r="N1687" t="e">
        <f>NA()</f>
        <v>#N/A</v>
      </c>
      <c r="O1687">
        <f t="shared" si="62"/>
        <v>2.4</v>
      </c>
    </row>
    <row r="1688" spans="1:15" x14ac:dyDescent="0.25">
      <c r="A1688" s="1">
        <v>43565</v>
      </c>
      <c r="B1688" t="e">
        <f>NA()</f>
        <v>#N/A</v>
      </c>
      <c r="C1688" t="e">
        <f>NA()</f>
        <v>#N/A</v>
      </c>
      <c r="D1688" t="e">
        <f>NA()</f>
        <v>#N/A</v>
      </c>
      <c r="E1688" t="e">
        <f>NA()</f>
        <v>#N/A</v>
      </c>
      <c r="F1688" t="e">
        <f>NA()</f>
        <v>#N/A</v>
      </c>
      <c r="G1688" t="e">
        <f>NA()</f>
        <v>#N/A</v>
      </c>
      <c r="H1688" t="e">
        <f>NA()</f>
        <v>#N/A</v>
      </c>
      <c r="I1688" t="e">
        <f>NA()</f>
        <v>#N/A</v>
      </c>
      <c r="J1688" t="e">
        <f>NA()</f>
        <v>#N/A</v>
      </c>
      <c r="K1688" t="e">
        <f>NA()</f>
        <v>#N/A</v>
      </c>
      <c r="L1688" t="e">
        <f>NA()</f>
        <v>#N/A</v>
      </c>
      <c r="M1688" t="e">
        <f>NA()</f>
        <v>#N/A</v>
      </c>
      <c r="N1688" t="e">
        <f>NA()</f>
        <v>#N/A</v>
      </c>
      <c r="O1688">
        <f t="shared" si="62"/>
        <v>2.4</v>
      </c>
    </row>
    <row r="1689" spans="1:15" x14ac:dyDescent="0.25">
      <c r="A1689" s="1">
        <v>43564</v>
      </c>
      <c r="B1689" t="e">
        <f>NA()</f>
        <v>#N/A</v>
      </c>
      <c r="C1689" t="e">
        <f>NA()</f>
        <v>#N/A</v>
      </c>
      <c r="D1689" t="e">
        <f>NA()</f>
        <v>#N/A</v>
      </c>
      <c r="E1689" t="e">
        <f>NA()</f>
        <v>#N/A</v>
      </c>
      <c r="F1689" t="e">
        <f>NA()</f>
        <v>#N/A</v>
      </c>
      <c r="G1689" t="e">
        <f>NA()</f>
        <v>#N/A</v>
      </c>
      <c r="H1689" t="e">
        <f>NA()</f>
        <v>#N/A</v>
      </c>
      <c r="I1689" t="e">
        <f>NA()</f>
        <v>#N/A</v>
      </c>
      <c r="J1689" t="e">
        <f>NA()</f>
        <v>#N/A</v>
      </c>
      <c r="K1689" t="e">
        <f>NA()</f>
        <v>#N/A</v>
      </c>
      <c r="L1689" t="e">
        <f>NA()</f>
        <v>#N/A</v>
      </c>
      <c r="M1689" t="e">
        <f>NA()</f>
        <v>#N/A</v>
      </c>
      <c r="N1689" t="e">
        <f>NA()</f>
        <v>#N/A</v>
      </c>
      <c r="O1689">
        <f t="shared" si="62"/>
        <v>2.4</v>
      </c>
    </row>
    <row r="1690" spans="1:15" x14ac:dyDescent="0.25">
      <c r="A1690" s="1">
        <v>43563</v>
      </c>
      <c r="B1690" t="e">
        <f>NA()</f>
        <v>#N/A</v>
      </c>
      <c r="C1690" t="e">
        <f>NA()</f>
        <v>#N/A</v>
      </c>
      <c r="D1690" t="e">
        <f>NA()</f>
        <v>#N/A</v>
      </c>
      <c r="E1690" t="e">
        <f>NA()</f>
        <v>#N/A</v>
      </c>
      <c r="F1690" t="e">
        <f>NA()</f>
        <v>#N/A</v>
      </c>
      <c r="G1690" t="e">
        <f>NA()</f>
        <v>#N/A</v>
      </c>
      <c r="H1690" t="e">
        <f>NA()</f>
        <v>#N/A</v>
      </c>
      <c r="I1690" t="e">
        <f>NA()</f>
        <v>#N/A</v>
      </c>
      <c r="J1690" t="e">
        <f>NA()</f>
        <v>#N/A</v>
      </c>
      <c r="K1690" t="e">
        <f>NA()</f>
        <v>#N/A</v>
      </c>
      <c r="L1690" t="e">
        <f>NA()</f>
        <v>#N/A</v>
      </c>
      <c r="M1690" t="e">
        <f>NA()</f>
        <v>#N/A</v>
      </c>
      <c r="N1690" t="e">
        <f>NA()</f>
        <v>#N/A</v>
      </c>
      <c r="O1690">
        <f t="shared" si="62"/>
        <v>2.4</v>
      </c>
    </row>
    <row r="1691" spans="1:15" x14ac:dyDescent="0.25">
      <c r="A1691" s="1">
        <v>43560</v>
      </c>
      <c r="B1691">
        <f>-0.7</f>
        <v>-0.7</v>
      </c>
      <c r="C1691">
        <f>0</f>
        <v>0</v>
      </c>
      <c r="D1691" t="e">
        <f>NA()</f>
        <v>#N/A</v>
      </c>
      <c r="E1691" t="e">
        <f>NA()</f>
        <v>#N/A</v>
      </c>
      <c r="F1691" t="e">
        <f>NA()</f>
        <v>#N/A</v>
      </c>
      <c r="G1691" t="e">
        <f>NA()</f>
        <v>#N/A</v>
      </c>
      <c r="H1691" t="e">
        <f>NA()</f>
        <v>#N/A</v>
      </c>
      <c r="I1691" t="e">
        <f>NA()</f>
        <v>#N/A</v>
      </c>
      <c r="J1691" t="e">
        <f>NA()</f>
        <v>#N/A</v>
      </c>
      <c r="K1691" t="e">
        <f>NA()</f>
        <v>#N/A</v>
      </c>
      <c r="L1691" t="e">
        <f>NA()</f>
        <v>#N/A</v>
      </c>
      <c r="M1691" t="e">
        <f>NA()</f>
        <v>#N/A</v>
      </c>
      <c r="N1691" t="e">
        <f>NA()</f>
        <v>#N/A</v>
      </c>
      <c r="O1691">
        <f t="shared" si="62"/>
        <v>2.4</v>
      </c>
    </row>
    <row r="1692" spans="1:15" x14ac:dyDescent="0.25">
      <c r="A1692" s="1">
        <v>43559</v>
      </c>
      <c r="B1692" t="e">
        <f>NA()</f>
        <v>#N/A</v>
      </c>
      <c r="C1692" t="e">
        <f>NA()</f>
        <v>#N/A</v>
      </c>
      <c r="D1692" t="e">
        <f>NA()</f>
        <v>#N/A</v>
      </c>
      <c r="E1692" t="e">
        <f>NA()</f>
        <v>#N/A</v>
      </c>
      <c r="F1692" t="e">
        <f>NA()</f>
        <v>#N/A</v>
      </c>
      <c r="G1692" t="e">
        <f>NA()</f>
        <v>#N/A</v>
      </c>
      <c r="H1692" t="e">
        <f>NA()</f>
        <v>#N/A</v>
      </c>
      <c r="I1692" t="e">
        <f>NA()</f>
        <v>#N/A</v>
      </c>
      <c r="J1692" t="e">
        <f>NA()</f>
        <v>#N/A</v>
      </c>
      <c r="K1692" t="e">
        <f>NA()</f>
        <v>#N/A</v>
      </c>
      <c r="L1692" t="e">
        <f>NA()</f>
        <v>#N/A</v>
      </c>
      <c r="M1692" t="e">
        <f>NA()</f>
        <v>#N/A</v>
      </c>
      <c r="N1692" t="e">
        <f>NA()</f>
        <v>#N/A</v>
      </c>
      <c r="O1692">
        <f t="shared" si="62"/>
        <v>2.4</v>
      </c>
    </row>
    <row r="1693" spans="1:15" x14ac:dyDescent="0.25">
      <c r="A1693" s="1">
        <v>43558</v>
      </c>
      <c r="B1693" t="e">
        <f>NA()</f>
        <v>#N/A</v>
      </c>
      <c r="C1693" t="e">
        <f>NA()</f>
        <v>#N/A</v>
      </c>
      <c r="D1693" t="e">
        <f>NA()</f>
        <v>#N/A</v>
      </c>
      <c r="E1693" t="e">
        <f>NA()</f>
        <v>#N/A</v>
      </c>
      <c r="F1693" t="e">
        <f>NA()</f>
        <v>#N/A</v>
      </c>
      <c r="G1693" t="e">
        <f>NA()</f>
        <v>#N/A</v>
      </c>
      <c r="H1693" t="e">
        <f>NA()</f>
        <v>#N/A</v>
      </c>
      <c r="I1693" t="e">
        <f>NA()</f>
        <v>#N/A</v>
      </c>
      <c r="J1693" t="e">
        <f>NA()</f>
        <v>#N/A</v>
      </c>
      <c r="K1693" t="e">
        <f>NA()</f>
        <v>#N/A</v>
      </c>
      <c r="L1693" t="e">
        <f>NA()</f>
        <v>#N/A</v>
      </c>
      <c r="M1693" t="e">
        <f>NA()</f>
        <v>#N/A</v>
      </c>
      <c r="N1693" t="e">
        <f>NA()</f>
        <v>#N/A</v>
      </c>
      <c r="O1693">
        <f t="shared" si="62"/>
        <v>2.4</v>
      </c>
    </row>
    <row r="1694" spans="1:15" x14ac:dyDescent="0.25">
      <c r="A1694" s="1">
        <v>43557</v>
      </c>
      <c r="B1694" t="e">
        <f>NA()</f>
        <v>#N/A</v>
      </c>
      <c r="C1694" t="e">
        <f>NA()</f>
        <v>#N/A</v>
      </c>
      <c r="D1694" t="e">
        <f>NA()</f>
        <v>#N/A</v>
      </c>
      <c r="E1694" t="e">
        <f>NA()</f>
        <v>#N/A</v>
      </c>
      <c r="F1694" t="e">
        <f>NA()</f>
        <v>#N/A</v>
      </c>
      <c r="G1694" t="e">
        <f>NA()</f>
        <v>#N/A</v>
      </c>
      <c r="H1694" t="e">
        <f>NA()</f>
        <v>#N/A</v>
      </c>
      <c r="I1694" t="e">
        <f>NA()</f>
        <v>#N/A</v>
      </c>
      <c r="J1694" t="e">
        <f>NA()</f>
        <v>#N/A</v>
      </c>
      <c r="K1694" t="e">
        <f>NA()</f>
        <v>#N/A</v>
      </c>
      <c r="L1694" t="e">
        <f>NA()</f>
        <v>#N/A</v>
      </c>
      <c r="M1694" t="e">
        <f>NA()</f>
        <v>#N/A</v>
      </c>
      <c r="N1694" t="e">
        <f>NA()</f>
        <v>#N/A</v>
      </c>
      <c r="O1694">
        <f t="shared" si="62"/>
        <v>2.4</v>
      </c>
    </row>
    <row r="1695" spans="1:15" x14ac:dyDescent="0.25">
      <c r="A1695" s="1">
        <v>43556</v>
      </c>
      <c r="B1695" t="e">
        <f>NA()</f>
        <v>#N/A</v>
      </c>
      <c r="C1695" t="e">
        <f>NA()</f>
        <v>#N/A</v>
      </c>
      <c r="D1695" t="e">
        <f>NA()</f>
        <v>#N/A</v>
      </c>
      <c r="E1695" t="e">
        <f>NA()</f>
        <v>#N/A</v>
      </c>
      <c r="F1695" t="e">
        <f>NA()</f>
        <v>#N/A</v>
      </c>
      <c r="G1695" t="e">
        <f>NA()</f>
        <v>#N/A</v>
      </c>
      <c r="H1695" t="e">
        <f>NA()</f>
        <v>#N/A</v>
      </c>
      <c r="I1695" t="e">
        <f>NA()</f>
        <v>#N/A</v>
      </c>
      <c r="J1695" t="e">
        <f>NA()</f>
        <v>#N/A</v>
      </c>
      <c r="K1695" t="e">
        <f>NA()</f>
        <v>#N/A</v>
      </c>
      <c r="L1695" t="e">
        <f>NA()</f>
        <v>#N/A</v>
      </c>
      <c r="M1695" t="e">
        <f>NA()</f>
        <v>#N/A</v>
      </c>
      <c r="N1695" t="e">
        <f>NA()</f>
        <v>#N/A</v>
      </c>
      <c r="O1695">
        <f t="shared" si="62"/>
        <v>2.4</v>
      </c>
    </row>
    <row r="1696" spans="1:15" x14ac:dyDescent="0.25">
      <c r="A1696" s="1">
        <v>43555</v>
      </c>
      <c r="B1696" t="e">
        <f>NA()</f>
        <v>#N/A</v>
      </c>
      <c r="C1696" t="e">
        <f>NA()</f>
        <v>#N/A</v>
      </c>
      <c r="D1696">
        <f>0.3</f>
        <v>0.3</v>
      </c>
      <c r="E1696">
        <f>1.5</f>
        <v>1.5</v>
      </c>
      <c r="F1696">
        <f>7317</f>
        <v>7317</v>
      </c>
      <c r="G1696">
        <f>63</f>
        <v>63</v>
      </c>
      <c r="H1696">
        <f>3.3</f>
        <v>3.3</v>
      </c>
      <c r="I1696">
        <f>254.2</f>
        <v>254.2</v>
      </c>
      <c r="J1696">
        <f>1.9</f>
        <v>1.9</v>
      </c>
      <c r="K1696">
        <f>54.9</f>
        <v>54.9</v>
      </c>
      <c r="L1696">
        <f>0</f>
        <v>0</v>
      </c>
      <c r="M1696">
        <f>2.5</f>
        <v>2.5</v>
      </c>
      <c r="N1696">
        <f>3.8</f>
        <v>3.8</v>
      </c>
      <c r="O1696" t="e">
        <f>NA()</f>
        <v>#N/A</v>
      </c>
    </row>
    <row r="1697" spans="1:15" x14ac:dyDescent="0.25">
      <c r="A1697" s="1">
        <v>43553</v>
      </c>
      <c r="B1697">
        <f>-0.3</f>
        <v>-0.3</v>
      </c>
      <c r="C1697">
        <f>0</f>
        <v>0</v>
      </c>
      <c r="D1697" t="e">
        <f>NA()</f>
        <v>#N/A</v>
      </c>
      <c r="E1697" t="e">
        <f>NA()</f>
        <v>#N/A</v>
      </c>
      <c r="F1697" t="e">
        <f>NA()</f>
        <v>#N/A</v>
      </c>
      <c r="G1697" t="e">
        <f>NA()</f>
        <v>#N/A</v>
      </c>
      <c r="H1697" t="e">
        <f>NA()</f>
        <v>#N/A</v>
      </c>
      <c r="I1697" t="e">
        <f>NA()</f>
        <v>#N/A</v>
      </c>
      <c r="J1697" t="e">
        <f>NA()</f>
        <v>#N/A</v>
      </c>
      <c r="K1697" t="e">
        <f>NA()</f>
        <v>#N/A</v>
      </c>
      <c r="L1697" t="e">
        <f>NA()</f>
        <v>#N/A</v>
      </c>
      <c r="M1697" t="e">
        <f>NA()</f>
        <v>#N/A</v>
      </c>
      <c r="N1697" t="e">
        <f>NA()</f>
        <v>#N/A</v>
      </c>
      <c r="O1697">
        <f t="shared" ref="O1697:O1728" si="63">2.4</f>
        <v>2.4</v>
      </c>
    </row>
    <row r="1698" spans="1:15" x14ac:dyDescent="0.25">
      <c r="A1698" s="1">
        <v>43552</v>
      </c>
      <c r="B1698" t="e">
        <f>NA()</f>
        <v>#N/A</v>
      </c>
      <c r="C1698" t="e">
        <f>NA()</f>
        <v>#N/A</v>
      </c>
      <c r="D1698" t="e">
        <f>NA()</f>
        <v>#N/A</v>
      </c>
      <c r="E1698" t="e">
        <f>NA()</f>
        <v>#N/A</v>
      </c>
      <c r="F1698" t="e">
        <f>NA()</f>
        <v>#N/A</v>
      </c>
      <c r="G1698" t="e">
        <f>NA()</f>
        <v>#N/A</v>
      </c>
      <c r="H1698" t="e">
        <f>NA()</f>
        <v>#N/A</v>
      </c>
      <c r="I1698" t="e">
        <f>NA()</f>
        <v>#N/A</v>
      </c>
      <c r="J1698" t="e">
        <f>NA()</f>
        <v>#N/A</v>
      </c>
      <c r="K1698" t="e">
        <f>NA()</f>
        <v>#N/A</v>
      </c>
      <c r="L1698" t="e">
        <f>NA()</f>
        <v>#N/A</v>
      </c>
      <c r="M1698" t="e">
        <f>NA()</f>
        <v>#N/A</v>
      </c>
      <c r="N1698" t="e">
        <f>NA()</f>
        <v>#N/A</v>
      </c>
      <c r="O1698">
        <f t="shared" si="63"/>
        <v>2.4</v>
      </c>
    </row>
    <row r="1699" spans="1:15" x14ac:dyDescent="0.25">
      <c r="A1699" s="1">
        <v>43551</v>
      </c>
      <c r="B1699" t="e">
        <f>NA()</f>
        <v>#N/A</v>
      </c>
      <c r="C1699" t="e">
        <f>NA()</f>
        <v>#N/A</v>
      </c>
      <c r="D1699" t="e">
        <f>NA()</f>
        <v>#N/A</v>
      </c>
      <c r="E1699" t="e">
        <f>NA()</f>
        <v>#N/A</v>
      </c>
      <c r="F1699" t="e">
        <f>NA()</f>
        <v>#N/A</v>
      </c>
      <c r="G1699" t="e">
        <f>NA()</f>
        <v>#N/A</v>
      </c>
      <c r="H1699" t="e">
        <f>NA()</f>
        <v>#N/A</v>
      </c>
      <c r="I1699" t="e">
        <f>NA()</f>
        <v>#N/A</v>
      </c>
      <c r="J1699" t="e">
        <f>NA()</f>
        <v>#N/A</v>
      </c>
      <c r="K1699" t="e">
        <f>NA()</f>
        <v>#N/A</v>
      </c>
      <c r="L1699" t="e">
        <f>NA()</f>
        <v>#N/A</v>
      </c>
      <c r="M1699" t="e">
        <f>NA()</f>
        <v>#N/A</v>
      </c>
      <c r="N1699" t="e">
        <f>NA()</f>
        <v>#N/A</v>
      </c>
      <c r="O1699">
        <f t="shared" si="63"/>
        <v>2.4</v>
      </c>
    </row>
    <row r="1700" spans="1:15" x14ac:dyDescent="0.25">
      <c r="A1700" s="1">
        <v>43550</v>
      </c>
      <c r="B1700" t="e">
        <f>NA()</f>
        <v>#N/A</v>
      </c>
      <c r="C1700" t="e">
        <f>NA()</f>
        <v>#N/A</v>
      </c>
      <c r="D1700" t="e">
        <f>NA()</f>
        <v>#N/A</v>
      </c>
      <c r="E1700" t="e">
        <f>NA()</f>
        <v>#N/A</v>
      </c>
      <c r="F1700" t="e">
        <f>NA()</f>
        <v>#N/A</v>
      </c>
      <c r="G1700" t="e">
        <f>NA()</f>
        <v>#N/A</v>
      </c>
      <c r="H1700" t="e">
        <f>NA()</f>
        <v>#N/A</v>
      </c>
      <c r="I1700" t="e">
        <f>NA()</f>
        <v>#N/A</v>
      </c>
      <c r="J1700" t="e">
        <f>NA()</f>
        <v>#N/A</v>
      </c>
      <c r="K1700" t="e">
        <f>NA()</f>
        <v>#N/A</v>
      </c>
      <c r="L1700" t="e">
        <f>NA()</f>
        <v>#N/A</v>
      </c>
      <c r="M1700" t="e">
        <f>NA()</f>
        <v>#N/A</v>
      </c>
      <c r="N1700" t="e">
        <f>NA()</f>
        <v>#N/A</v>
      </c>
      <c r="O1700">
        <f t="shared" si="63"/>
        <v>2.4</v>
      </c>
    </row>
    <row r="1701" spans="1:15" x14ac:dyDescent="0.25">
      <c r="A1701" s="1">
        <v>43549</v>
      </c>
      <c r="B1701" t="e">
        <f>NA()</f>
        <v>#N/A</v>
      </c>
      <c r="C1701" t="e">
        <f>NA()</f>
        <v>#N/A</v>
      </c>
      <c r="D1701" t="e">
        <f>NA()</f>
        <v>#N/A</v>
      </c>
      <c r="E1701" t="e">
        <f>NA()</f>
        <v>#N/A</v>
      </c>
      <c r="F1701" t="e">
        <f>NA()</f>
        <v>#N/A</v>
      </c>
      <c r="G1701" t="e">
        <f>NA()</f>
        <v>#N/A</v>
      </c>
      <c r="H1701" t="e">
        <f>NA()</f>
        <v>#N/A</v>
      </c>
      <c r="I1701" t="e">
        <f>NA()</f>
        <v>#N/A</v>
      </c>
      <c r="J1701" t="e">
        <f>NA()</f>
        <v>#N/A</v>
      </c>
      <c r="K1701" t="e">
        <f>NA()</f>
        <v>#N/A</v>
      </c>
      <c r="L1701" t="e">
        <f>NA()</f>
        <v>#N/A</v>
      </c>
      <c r="M1701" t="e">
        <f>NA()</f>
        <v>#N/A</v>
      </c>
      <c r="N1701" t="e">
        <f>NA()</f>
        <v>#N/A</v>
      </c>
      <c r="O1701">
        <f t="shared" si="63"/>
        <v>2.4</v>
      </c>
    </row>
    <row r="1702" spans="1:15" x14ac:dyDescent="0.25">
      <c r="A1702" s="1">
        <v>43546</v>
      </c>
      <c r="B1702">
        <f>-0.6</f>
        <v>-0.6</v>
      </c>
      <c r="C1702">
        <f>0</f>
        <v>0</v>
      </c>
      <c r="D1702" t="e">
        <f>NA()</f>
        <v>#N/A</v>
      </c>
      <c r="E1702" t="e">
        <f>NA()</f>
        <v>#N/A</v>
      </c>
      <c r="F1702" t="e">
        <f>NA()</f>
        <v>#N/A</v>
      </c>
      <c r="G1702" t="e">
        <f>NA()</f>
        <v>#N/A</v>
      </c>
      <c r="H1702" t="e">
        <f>NA()</f>
        <v>#N/A</v>
      </c>
      <c r="I1702" t="e">
        <f>NA()</f>
        <v>#N/A</v>
      </c>
      <c r="J1702" t="e">
        <f>NA()</f>
        <v>#N/A</v>
      </c>
      <c r="K1702" t="e">
        <f>NA()</f>
        <v>#N/A</v>
      </c>
      <c r="L1702" t="e">
        <f>NA()</f>
        <v>#N/A</v>
      </c>
      <c r="M1702" t="e">
        <f>NA()</f>
        <v>#N/A</v>
      </c>
      <c r="N1702" t="e">
        <f>NA()</f>
        <v>#N/A</v>
      </c>
      <c r="O1702">
        <f t="shared" si="63"/>
        <v>2.4</v>
      </c>
    </row>
    <row r="1703" spans="1:15" x14ac:dyDescent="0.25">
      <c r="A1703" s="1">
        <v>43545</v>
      </c>
      <c r="B1703" t="e">
        <f>NA()</f>
        <v>#N/A</v>
      </c>
      <c r="C1703" t="e">
        <f>NA()</f>
        <v>#N/A</v>
      </c>
      <c r="D1703" t="e">
        <f>NA()</f>
        <v>#N/A</v>
      </c>
      <c r="E1703" t="e">
        <f>NA()</f>
        <v>#N/A</v>
      </c>
      <c r="F1703" t="e">
        <f>NA()</f>
        <v>#N/A</v>
      </c>
      <c r="G1703" t="e">
        <f>NA()</f>
        <v>#N/A</v>
      </c>
      <c r="H1703" t="e">
        <f>NA()</f>
        <v>#N/A</v>
      </c>
      <c r="I1703" t="e">
        <f>NA()</f>
        <v>#N/A</v>
      </c>
      <c r="J1703" t="e">
        <f>NA()</f>
        <v>#N/A</v>
      </c>
      <c r="K1703" t="e">
        <f>NA()</f>
        <v>#N/A</v>
      </c>
      <c r="L1703" t="e">
        <f>NA()</f>
        <v>#N/A</v>
      </c>
      <c r="M1703" t="e">
        <f>NA()</f>
        <v>#N/A</v>
      </c>
      <c r="N1703" t="e">
        <f>NA()</f>
        <v>#N/A</v>
      </c>
      <c r="O1703">
        <f t="shared" si="63"/>
        <v>2.4</v>
      </c>
    </row>
    <row r="1704" spans="1:15" x14ac:dyDescent="0.25">
      <c r="A1704" s="1">
        <v>43544</v>
      </c>
      <c r="B1704" t="e">
        <f>NA()</f>
        <v>#N/A</v>
      </c>
      <c r="C1704" t="e">
        <f>NA()</f>
        <v>#N/A</v>
      </c>
      <c r="D1704" t="e">
        <f>NA()</f>
        <v>#N/A</v>
      </c>
      <c r="E1704" t="e">
        <f>NA()</f>
        <v>#N/A</v>
      </c>
      <c r="F1704" t="e">
        <f>NA()</f>
        <v>#N/A</v>
      </c>
      <c r="G1704" t="e">
        <f>NA()</f>
        <v>#N/A</v>
      </c>
      <c r="H1704" t="e">
        <f>NA()</f>
        <v>#N/A</v>
      </c>
      <c r="I1704" t="e">
        <f>NA()</f>
        <v>#N/A</v>
      </c>
      <c r="J1704" t="e">
        <f>NA()</f>
        <v>#N/A</v>
      </c>
      <c r="K1704" t="e">
        <f>NA()</f>
        <v>#N/A</v>
      </c>
      <c r="L1704" t="e">
        <f>NA()</f>
        <v>#N/A</v>
      </c>
      <c r="M1704" t="e">
        <f>NA()</f>
        <v>#N/A</v>
      </c>
      <c r="N1704" t="e">
        <f>NA()</f>
        <v>#N/A</v>
      </c>
      <c r="O1704">
        <f t="shared" si="63"/>
        <v>2.4</v>
      </c>
    </row>
    <row r="1705" spans="1:15" x14ac:dyDescent="0.25">
      <c r="A1705" s="1">
        <v>43543</v>
      </c>
      <c r="B1705" t="e">
        <f>NA()</f>
        <v>#N/A</v>
      </c>
      <c r="C1705" t="e">
        <f>NA()</f>
        <v>#N/A</v>
      </c>
      <c r="D1705" t="e">
        <f>NA()</f>
        <v>#N/A</v>
      </c>
      <c r="E1705" t="e">
        <f>NA()</f>
        <v>#N/A</v>
      </c>
      <c r="F1705" t="e">
        <f>NA()</f>
        <v>#N/A</v>
      </c>
      <c r="G1705" t="e">
        <f>NA()</f>
        <v>#N/A</v>
      </c>
      <c r="H1705" t="e">
        <f>NA()</f>
        <v>#N/A</v>
      </c>
      <c r="I1705" t="e">
        <f>NA()</f>
        <v>#N/A</v>
      </c>
      <c r="J1705" t="e">
        <f>NA()</f>
        <v>#N/A</v>
      </c>
      <c r="K1705" t="e">
        <f>NA()</f>
        <v>#N/A</v>
      </c>
      <c r="L1705" t="e">
        <f>NA()</f>
        <v>#N/A</v>
      </c>
      <c r="M1705" t="e">
        <f>NA()</f>
        <v>#N/A</v>
      </c>
      <c r="N1705" t="e">
        <f>NA()</f>
        <v>#N/A</v>
      </c>
      <c r="O1705">
        <f t="shared" si="63"/>
        <v>2.4</v>
      </c>
    </row>
    <row r="1706" spans="1:15" x14ac:dyDescent="0.25">
      <c r="A1706" s="1">
        <v>43542</v>
      </c>
      <c r="B1706" t="e">
        <f>NA()</f>
        <v>#N/A</v>
      </c>
      <c r="C1706" t="e">
        <f>NA()</f>
        <v>#N/A</v>
      </c>
      <c r="D1706" t="e">
        <f>NA()</f>
        <v>#N/A</v>
      </c>
      <c r="E1706" t="e">
        <f>NA()</f>
        <v>#N/A</v>
      </c>
      <c r="F1706" t="e">
        <f>NA()</f>
        <v>#N/A</v>
      </c>
      <c r="G1706" t="e">
        <f>NA()</f>
        <v>#N/A</v>
      </c>
      <c r="H1706" t="e">
        <f>NA()</f>
        <v>#N/A</v>
      </c>
      <c r="I1706" t="e">
        <f>NA()</f>
        <v>#N/A</v>
      </c>
      <c r="J1706" t="e">
        <f>NA()</f>
        <v>#N/A</v>
      </c>
      <c r="K1706" t="e">
        <f>NA()</f>
        <v>#N/A</v>
      </c>
      <c r="L1706" t="e">
        <f>NA()</f>
        <v>#N/A</v>
      </c>
      <c r="M1706" t="e">
        <f>NA()</f>
        <v>#N/A</v>
      </c>
      <c r="N1706" t="e">
        <f>NA()</f>
        <v>#N/A</v>
      </c>
      <c r="O1706">
        <f t="shared" si="63"/>
        <v>2.4</v>
      </c>
    </row>
    <row r="1707" spans="1:15" x14ac:dyDescent="0.25">
      <c r="A1707" s="1">
        <v>43539</v>
      </c>
      <c r="B1707">
        <f>-0.6</f>
        <v>-0.6</v>
      </c>
      <c r="C1707">
        <f>0</f>
        <v>0</v>
      </c>
      <c r="D1707" t="e">
        <f>NA()</f>
        <v>#N/A</v>
      </c>
      <c r="E1707" t="e">
        <f>NA()</f>
        <v>#N/A</v>
      </c>
      <c r="F1707" t="e">
        <f>NA()</f>
        <v>#N/A</v>
      </c>
      <c r="G1707" t="e">
        <f>NA()</f>
        <v>#N/A</v>
      </c>
      <c r="H1707" t="e">
        <f>NA()</f>
        <v>#N/A</v>
      </c>
      <c r="I1707" t="e">
        <f>NA()</f>
        <v>#N/A</v>
      </c>
      <c r="J1707" t="e">
        <f>NA()</f>
        <v>#N/A</v>
      </c>
      <c r="K1707" t="e">
        <f>NA()</f>
        <v>#N/A</v>
      </c>
      <c r="L1707" t="e">
        <f>NA()</f>
        <v>#N/A</v>
      </c>
      <c r="M1707" t="e">
        <f>NA()</f>
        <v>#N/A</v>
      </c>
      <c r="N1707" t="e">
        <f>NA()</f>
        <v>#N/A</v>
      </c>
      <c r="O1707">
        <f t="shared" si="63"/>
        <v>2.4</v>
      </c>
    </row>
    <row r="1708" spans="1:15" x14ac:dyDescent="0.25">
      <c r="A1708" s="1">
        <v>43538</v>
      </c>
      <c r="B1708" t="e">
        <f>NA()</f>
        <v>#N/A</v>
      </c>
      <c r="C1708" t="e">
        <f>NA()</f>
        <v>#N/A</v>
      </c>
      <c r="D1708" t="e">
        <f>NA()</f>
        <v>#N/A</v>
      </c>
      <c r="E1708" t="e">
        <f>NA()</f>
        <v>#N/A</v>
      </c>
      <c r="F1708" t="e">
        <f>NA()</f>
        <v>#N/A</v>
      </c>
      <c r="G1708" t="e">
        <f>NA()</f>
        <v>#N/A</v>
      </c>
      <c r="H1708" t="e">
        <f>NA()</f>
        <v>#N/A</v>
      </c>
      <c r="I1708" t="e">
        <f>NA()</f>
        <v>#N/A</v>
      </c>
      <c r="J1708" t="e">
        <f>NA()</f>
        <v>#N/A</v>
      </c>
      <c r="K1708" t="e">
        <f>NA()</f>
        <v>#N/A</v>
      </c>
      <c r="L1708" t="e">
        <f>NA()</f>
        <v>#N/A</v>
      </c>
      <c r="M1708" t="e">
        <f>NA()</f>
        <v>#N/A</v>
      </c>
      <c r="N1708" t="e">
        <f>NA()</f>
        <v>#N/A</v>
      </c>
      <c r="O1708">
        <f t="shared" si="63"/>
        <v>2.4</v>
      </c>
    </row>
    <row r="1709" spans="1:15" x14ac:dyDescent="0.25">
      <c r="A1709" s="1">
        <v>43537</v>
      </c>
      <c r="B1709" t="e">
        <f>NA()</f>
        <v>#N/A</v>
      </c>
      <c r="C1709" t="e">
        <f>NA()</f>
        <v>#N/A</v>
      </c>
      <c r="D1709" t="e">
        <f>NA()</f>
        <v>#N/A</v>
      </c>
      <c r="E1709" t="e">
        <f>NA()</f>
        <v>#N/A</v>
      </c>
      <c r="F1709" t="e">
        <f>NA()</f>
        <v>#N/A</v>
      </c>
      <c r="G1709" t="e">
        <f>NA()</f>
        <v>#N/A</v>
      </c>
      <c r="H1709" t="e">
        <f>NA()</f>
        <v>#N/A</v>
      </c>
      <c r="I1709" t="e">
        <f>NA()</f>
        <v>#N/A</v>
      </c>
      <c r="J1709" t="e">
        <f>NA()</f>
        <v>#N/A</v>
      </c>
      <c r="K1709" t="e">
        <f>NA()</f>
        <v>#N/A</v>
      </c>
      <c r="L1709" t="e">
        <f>NA()</f>
        <v>#N/A</v>
      </c>
      <c r="M1709" t="e">
        <f>NA()</f>
        <v>#N/A</v>
      </c>
      <c r="N1709" t="e">
        <f>NA()</f>
        <v>#N/A</v>
      </c>
      <c r="O1709">
        <f t="shared" si="63"/>
        <v>2.4</v>
      </c>
    </row>
    <row r="1710" spans="1:15" x14ac:dyDescent="0.25">
      <c r="A1710" s="1">
        <v>43536</v>
      </c>
      <c r="B1710" t="e">
        <f>NA()</f>
        <v>#N/A</v>
      </c>
      <c r="C1710" t="e">
        <f>NA()</f>
        <v>#N/A</v>
      </c>
      <c r="D1710" t="e">
        <f>NA()</f>
        <v>#N/A</v>
      </c>
      <c r="E1710" t="e">
        <f>NA()</f>
        <v>#N/A</v>
      </c>
      <c r="F1710" t="e">
        <f>NA()</f>
        <v>#N/A</v>
      </c>
      <c r="G1710" t="e">
        <f>NA()</f>
        <v>#N/A</v>
      </c>
      <c r="H1710" t="e">
        <f>NA()</f>
        <v>#N/A</v>
      </c>
      <c r="I1710" t="e">
        <f>NA()</f>
        <v>#N/A</v>
      </c>
      <c r="J1710" t="e">
        <f>NA()</f>
        <v>#N/A</v>
      </c>
      <c r="K1710" t="e">
        <f>NA()</f>
        <v>#N/A</v>
      </c>
      <c r="L1710" t="e">
        <f>NA()</f>
        <v>#N/A</v>
      </c>
      <c r="M1710" t="e">
        <f>NA()</f>
        <v>#N/A</v>
      </c>
      <c r="N1710" t="e">
        <f>NA()</f>
        <v>#N/A</v>
      </c>
      <c r="O1710">
        <f t="shared" si="63"/>
        <v>2.4</v>
      </c>
    </row>
    <row r="1711" spans="1:15" x14ac:dyDescent="0.25">
      <c r="A1711" s="1">
        <v>43535</v>
      </c>
      <c r="B1711" t="e">
        <f>NA()</f>
        <v>#N/A</v>
      </c>
      <c r="C1711" t="e">
        <f>NA()</f>
        <v>#N/A</v>
      </c>
      <c r="D1711" t="e">
        <f>NA()</f>
        <v>#N/A</v>
      </c>
      <c r="E1711" t="e">
        <f>NA()</f>
        <v>#N/A</v>
      </c>
      <c r="F1711" t="e">
        <f>NA()</f>
        <v>#N/A</v>
      </c>
      <c r="G1711" t="e">
        <f>NA()</f>
        <v>#N/A</v>
      </c>
      <c r="H1711" t="e">
        <f>NA()</f>
        <v>#N/A</v>
      </c>
      <c r="I1711" t="e">
        <f>NA()</f>
        <v>#N/A</v>
      </c>
      <c r="J1711" t="e">
        <f>NA()</f>
        <v>#N/A</v>
      </c>
      <c r="K1711" t="e">
        <f>NA()</f>
        <v>#N/A</v>
      </c>
      <c r="L1711" t="e">
        <f>NA()</f>
        <v>#N/A</v>
      </c>
      <c r="M1711" t="e">
        <f>NA()</f>
        <v>#N/A</v>
      </c>
      <c r="N1711" t="e">
        <f>NA()</f>
        <v>#N/A</v>
      </c>
      <c r="O1711">
        <f t="shared" si="63"/>
        <v>2.4</v>
      </c>
    </row>
    <row r="1712" spans="1:15" x14ac:dyDescent="0.25">
      <c r="A1712" s="1">
        <v>43532</v>
      </c>
      <c r="B1712">
        <f>-0.5</f>
        <v>-0.5</v>
      </c>
      <c r="C1712">
        <f>0</f>
        <v>0</v>
      </c>
      <c r="D1712" t="e">
        <f>NA()</f>
        <v>#N/A</v>
      </c>
      <c r="E1712" t="e">
        <f>NA()</f>
        <v>#N/A</v>
      </c>
      <c r="F1712" t="e">
        <f>NA()</f>
        <v>#N/A</v>
      </c>
      <c r="G1712" t="e">
        <f>NA()</f>
        <v>#N/A</v>
      </c>
      <c r="H1712" t="e">
        <f>NA()</f>
        <v>#N/A</v>
      </c>
      <c r="I1712" t="e">
        <f>NA()</f>
        <v>#N/A</v>
      </c>
      <c r="J1712" t="e">
        <f>NA()</f>
        <v>#N/A</v>
      </c>
      <c r="K1712" t="e">
        <f>NA()</f>
        <v>#N/A</v>
      </c>
      <c r="L1712" t="e">
        <f>NA()</f>
        <v>#N/A</v>
      </c>
      <c r="M1712" t="e">
        <f>NA()</f>
        <v>#N/A</v>
      </c>
      <c r="N1712" t="e">
        <f>NA()</f>
        <v>#N/A</v>
      </c>
      <c r="O1712">
        <f t="shared" si="63"/>
        <v>2.4</v>
      </c>
    </row>
    <row r="1713" spans="1:15" x14ac:dyDescent="0.25">
      <c r="A1713" s="1">
        <v>43531</v>
      </c>
      <c r="B1713" t="e">
        <f>NA()</f>
        <v>#N/A</v>
      </c>
      <c r="C1713" t="e">
        <f>NA()</f>
        <v>#N/A</v>
      </c>
      <c r="D1713" t="e">
        <f>NA()</f>
        <v>#N/A</v>
      </c>
      <c r="E1713" t="e">
        <f>NA()</f>
        <v>#N/A</v>
      </c>
      <c r="F1713" t="e">
        <f>NA()</f>
        <v>#N/A</v>
      </c>
      <c r="G1713" t="e">
        <f>NA()</f>
        <v>#N/A</v>
      </c>
      <c r="H1713" t="e">
        <f>NA()</f>
        <v>#N/A</v>
      </c>
      <c r="I1713" t="e">
        <f>NA()</f>
        <v>#N/A</v>
      </c>
      <c r="J1713" t="e">
        <f>NA()</f>
        <v>#N/A</v>
      </c>
      <c r="K1713" t="e">
        <f>NA()</f>
        <v>#N/A</v>
      </c>
      <c r="L1713" t="e">
        <f>NA()</f>
        <v>#N/A</v>
      </c>
      <c r="M1713" t="e">
        <f>NA()</f>
        <v>#N/A</v>
      </c>
      <c r="N1713" t="e">
        <f>NA()</f>
        <v>#N/A</v>
      </c>
      <c r="O1713">
        <f t="shared" si="63"/>
        <v>2.4</v>
      </c>
    </row>
    <row r="1714" spans="1:15" x14ac:dyDescent="0.25">
      <c r="A1714" s="1">
        <v>43530</v>
      </c>
      <c r="B1714" t="e">
        <f>NA()</f>
        <v>#N/A</v>
      </c>
      <c r="C1714" t="e">
        <f>NA()</f>
        <v>#N/A</v>
      </c>
      <c r="D1714" t="e">
        <f>NA()</f>
        <v>#N/A</v>
      </c>
      <c r="E1714" t="e">
        <f>NA()</f>
        <v>#N/A</v>
      </c>
      <c r="F1714" t="e">
        <f>NA()</f>
        <v>#N/A</v>
      </c>
      <c r="G1714" t="e">
        <f>NA()</f>
        <v>#N/A</v>
      </c>
      <c r="H1714" t="e">
        <f>NA()</f>
        <v>#N/A</v>
      </c>
      <c r="I1714" t="e">
        <f>NA()</f>
        <v>#N/A</v>
      </c>
      <c r="J1714" t="e">
        <f>NA()</f>
        <v>#N/A</v>
      </c>
      <c r="K1714" t="e">
        <f>NA()</f>
        <v>#N/A</v>
      </c>
      <c r="L1714" t="e">
        <f>NA()</f>
        <v>#N/A</v>
      </c>
      <c r="M1714" t="e">
        <f>NA()</f>
        <v>#N/A</v>
      </c>
      <c r="N1714" t="e">
        <f>NA()</f>
        <v>#N/A</v>
      </c>
      <c r="O1714">
        <f t="shared" si="63"/>
        <v>2.4</v>
      </c>
    </row>
    <row r="1715" spans="1:15" x14ac:dyDescent="0.25">
      <c r="A1715" s="1">
        <v>43529</v>
      </c>
      <c r="B1715" t="e">
        <f>NA()</f>
        <v>#N/A</v>
      </c>
      <c r="C1715" t="e">
        <f>NA()</f>
        <v>#N/A</v>
      </c>
      <c r="D1715" t="e">
        <f>NA()</f>
        <v>#N/A</v>
      </c>
      <c r="E1715" t="e">
        <f>NA()</f>
        <v>#N/A</v>
      </c>
      <c r="F1715" t="e">
        <f>NA()</f>
        <v>#N/A</v>
      </c>
      <c r="G1715" t="e">
        <f>NA()</f>
        <v>#N/A</v>
      </c>
      <c r="H1715" t="e">
        <f>NA()</f>
        <v>#N/A</v>
      </c>
      <c r="I1715" t="e">
        <f>NA()</f>
        <v>#N/A</v>
      </c>
      <c r="J1715" t="e">
        <f>NA()</f>
        <v>#N/A</v>
      </c>
      <c r="K1715" t="e">
        <f>NA()</f>
        <v>#N/A</v>
      </c>
      <c r="L1715" t="e">
        <f>NA()</f>
        <v>#N/A</v>
      </c>
      <c r="M1715" t="e">
        <f>NA()</f>
        <v>#N/A</v>
      </c>
      <c r="N1715" t="e">
        <f>NA()</f>
        <v>#N/A</v>
      </c>
      <c r="O1715">
        <f t="shared" si="63"/>
        <v>2.4</v>
      </c>
    </row>
    <row r="1716" spans="1:15" x14ac:dyDescent="0.25">
      <c r="A1716" s="1">
        <v>43528</v>
      </c>
      <c r="B1716" t="e">
        <f>NA()</f>
        <v>#N/A</v>
      </c>
      <c r="C1716" t="e">
        <f>NA()</f>
        <v>#N/A</v>
      </c>
      <c r="D1716" t="e">
        <f>NA()</f>
        <v>#N/A</v>
      </c>
      <c r="E1716" t="e">
        <f>NA()</f>
        <v>#N/A</v>
      </c>
      <c r="F1716" t="e">
        <f>NA()</f>
        <v>#N/A</v>
      </c>
      <c r="G1716" t="e">
        <f>NA()</f>
        <v>#N/A</v>
      </c>
      <c r="H1716" t="e">
        <f>NA()</f>
        <v>#N/A</v>
      </c>
      <c r="I1716" t="e">
        <f>NA()</f>
        <v>#N/A</v>
      </c>
      <c r="J1716" t="e">
        <f>NA()</f>
        <v>#N/A</v>
      </c>
      <c r="K1716" t="e">
        <f>NA()</f>
        <v>#N/A</v>
      </c>
      <c r="L1716" t="e">
        <f>NA()</f>
        <v>#N/A</v>
      </c>
      <c r="M1716" t="e">
        <f>NA()</f>
        <v>#N/A</v>
      </c>
      <c r="N1716" t="e">
        <f>NA()</f>
        <v>#N/A</v>
      </c>
      <c r="O1716">
        <f t="shared" si="63"/>
        <v>2.4</v>
      </c>
    </row>
    <row r="1717" spans="1:15" x14ac:dyDescent="0.25">
      <c r="A1717" s="1">
        <v>43525</v>
      </c>
      <c r="B1717">
        <f>-0.6</f>
        <v>-0.6</v>
      </c>
      <c r="C1717">
        <f>0</f>
        <v>0</v>
      </c>
      <c r="D1717" t="e">
        <f>NA()</f>
        <v>#N/A</v>
      </c>
      <c r="E1717" t="e">
        <f>NA()</f>
        <v>#N/A</v>
      </c>
      <c r="F1717" t="e">
        <f>NA()</f>
        <v>#N/A</v>
      </c>
      <c r="G1717" t="e">
        <f>NA()</f>
        <v>#N/A</v>
      </c>
      <c r="H1717" t="e">
        <f>NA()</f>
        <v>#N/A</v>
      </c>
      <c r="I1717" t="e">
        <f>NA()</f>
        <v>#N/A</v>
      </c>
      <c r="J1717" t="e">
        <f>NA()</f>
        <v>#N/A</v>
      </c>
      <c r="K1717" t="e">
        <f>NA()</f>
        <v>#N/A</v>
      </c>
      <c r="L1717" t="e">
        <f>NA()</f>
        <v>#N/A</v>
      </c>
      <c r="M1717" t="e">
        <f>NA()</f>
        <v>#N/A</v>
      </c>
      <c r="N1717" t="e">
        <f>NA()</f>
        <v>#N/A</v>
      </c>
      <c r="O1717">
        <f t="shared" si="63"/>
        <v>2.4</v>
      </c>
    </row>
    <row r="1718" spans="1:15" x14ac:dyDescent="0.25">
      <c r="A1718" s="1">
        <v>43524</v>
      </c>
      <c r="B1718" t="e">
        <f>NA()</f>
        <v>#N/A</v>
      </c>
      <c r="C1718" t="e">
        <f>NA()</f>
        <v>#N/A</v>
      </c>
      <c r="D1718">
        <f>0.4</f>
        <v>0.4</v>
      </c>
      <c r="E1718">
        <f>2</f>
        <v>2</v>
      </c>
      <c r="F1718">
        <f>7066</f>
        <v>7066</v>
      </c>
      <c r="G1718">
        <f>63.1</f>
        <v>63.1</v>
      </c>
      <c r="H1718">
        <f>2.8</f>
        <v>2.8</v>
      </c>
      <c r="I1718">
        <f>252.8</f>
        <v>252.8</v>
      </c>
      <c r="J1718">
        <f>1.5</f>
        <v>1.5</v>
      </c>
      <c r="K1718">
        <f>54.4</f>
        <v>54.4</v>
      </c>
      <c r="L1718">
        <f>-0.5</f>
        <v>-0.5</v>
      </c>
      <c r="M1718" t="e">
        <f>NA()</f>
        <v>#N/A</v>
      </c>
      <c r="N1718">
        <f>3.8</f>
        <v>3.8</v>
      </c>
      <c r="O1718">
        <f t="shared" si="63"/>
        <v>2.4</v>
      </c>
    </row>
    <row r="1719" spans="1:15" x14ac:dyDescent="0.25">
      <c r="A1719" s="1">
        <v>43523</v>
      </c>
      <c r="B1719" t="e">
        <f>NA()</f>
        <v>#N/A</v>
      </c>
      <c r="C1719" t="e">
        <f>NA()</f>
        <v>#N/A</v>
      </c>
      <c r="D1719" t="e">
        <f>NA()</f>
        <v>#N/A</v>
      </c>
      <c r="E1719" t="e">
        <f>NA()</f>
        <v>#N/A</v>
      </c>
      <c r="F1719" t="e">
        <f>NA()</f>
        <v>#N/A</v>
      </c>
      <c r="G1719" t="e">
        <f>NA()</f>
        <v>#N/A</v>
      </c>
      <c r="H1719" t="e">
        <f>NA()</f>
        <v>#N/A</v>
      </c>
      <c r="I1719" t="e">
        <f>NA()</f>
        <v>#N/A</v>
      </c>
      <c r="J1719" t="e">
        <f>NA()</f>
        <v>#N/A</v>
      </c>
      <c r="K1719" t="e">
        <f>NA()</f>
        <v>#N/A</v>
      </c>
      <c r="L1719" t="e">
        <f>NA()</f>
        <v>#N/A</v>
      </c>
      <c r="M1719" t="e">
        <f>NA()</f>
        <v>#N/A</v>
      </c>
      <c r="N1719" t="e">
        <f>NA()</f>
        <v>#N/A</v>
      </c>
      <c r="O1719">
        <f t="shared" si="63"/>
        <v>2.4</v>
      </c>
    </row>
    <row r="1720" spans="1:15" x14ac:dyDescent="0.25">
      <c r="A1720" s="1">
        <v>43522</v>
      </c>
      <c r="B1720" t="e">
        <f>NA()</f>
        <v>#N/A</v>
      </c>
      <c r="C1720" t="e">
        <f>NA()</f>
        <v>#N/A</v>
      </c>
      <c r="D1720" t="e">
        <f>NA()</f>
        <v>#N/A</v>
      </c>
      <c r="E1720" t="e">
        <f>NA()</f>
        <v>#N/A</v>
      </c>
      <c r="F1720" t="e">
        <f>NA()</f>
        <v>#N/A</v>
      </c>
      <c r="G1720" t="e">
        <f>NA()</f>
        <v>#N/A</v>
      </c>
      <c r="H1720" t="e">
        <f>NA()</f>
        <v>#N/A</v>
      </c>
      <c r="I1720" t="e">
        <f>NA()</f>
        <v>#N/A</v>
      </c>
      <c r="J1720" t="e">
        <f>NA()</f>
        <v>#N/A</v>
      </c>
      <c r="K1720" t="e">
        <f>NA()</f>
        <v>#N/A</v>
      </c>
      <c r="L1720" t="e">
        <f>NA()</f>
        <v>#N/A</v>
      </c>
      <c r="M1720" t="e">
        <f>NA()</f>
        <v>#N/A</v>
      </c>
      <c r="N1720" t="e">
        <f>NA()</f>
        <v>#N/A</v>
      </c>
      <c r="O1720">
        <f t="shared" si="63"/>
        <v>2.4</v>
      </c>
    </row>
    <row r="1721" spans="1:15" x14ac:dyDescent="0.25">
      <c r="A1721" s="1">
        <v>43521</v>
      </c>
      <c r="B1721" t="e">
        <f>NA()</f>
        <v>#N/A</v>
      </c>
      <c r="C1721" t="e">
        <f>NA()</f>
        <v>#N/A</v>
      </c>
      <c r="D1721" t="e">
        <f>NA()</f>
        <v>#N/A</v>
      </c>
      <c r="E1721" t="e">
        <f>NA()</f>
        <v>#N/A</v>
      </c>
      <c r="F1721" t="e">
        <f>NA()</f>
        <v>#N/A</v>
      </c>
      <c r="G1721" t="e">
        <f>NA()</f>
        <v>#N/A</v>
      </c>
      <c r="H1721" t="e">
        <f>NA()</f>
        <v>#N/A</v>
      </c>
      <c r="I1721" t="e">
        <f>NA()</f>
        <v>#N/A</v>
      </c>
      <c r="J1721" t="e">
        <f>NA()</f>
        <v>#N/A</v>
      </c>
      <c r="K1721" t="e">
        <f>NA()</f>
        <v>#N/A</v>
      </c>
      <c r="L1721" t="e">
        <f>NA()</f>
        <v>#N/A</v>
      </c>
      <c r="M1721" t="e">
        <f>NA()</f>
        <v>#N/A</v>
      </c>
      <c r="N1721" t="e">
        <f>NA()</f>
        <v>#N/A</v>
      </c>
      <c r="O1721">
        <f t="shared" si="63"/>
        <v>2.4</v>
      </c>
    </row>
    <row r="1722" spans="1:15" x14ac:dyDescent="0.25">
      <c r="A1722" s="1">
        <v>43518</v>
      </c>
      <c r="B1722">
        <f>-0.5</f>
        <v>-0.5</v>
      </c>
      <c r="C1722">
        <f>0</f>
        <v>0</v>
      </c>
      <c r="D1722" t="e">
        <f>NA()</f>
        <v>#N/A</v>
      </c>
      <c r="E1722" t="e">
        <f>NA()</f>
        <v>#N/A</v>
      </c>
      <c r="F1722" t="e">
        <f>NA()</f>
        <v>#N/A</v>
      </c>
      <c r="G1722" t="e">
        <f>NA()</f>
        <v>#N/A</v>
      </c>
      <c r="H1722" t="e">
        <f>NA()</f>
        <v>#N/A</v>
      </c>
      <c r="I1722" t="e">
        <f>NA()</f>
        <v>#N/A</v>
      </c>
      <c r="J1722" t="e">
        <f>NA()</f>
        <v>#N/A</v>
      </c>
      <c r="K1722" t="e">
        <f>NA()</f>
        <v>#N/A</v>
      </c>
      <c r="L1722" t="e">
        <f>NA()</f>
        <v>#N/A</v>
      </c>
      <c r="M1722" t="e">
        <f>NA()</f>
        <v>#N/A</v>
      </c>
      <c r="N1722" t="e">
        <f>NA()</f>
        <v>#N/A</v>
      </c>
      <c r="O1722">
        <f t="shared" si="63"/>
        <v>2.4</v>
      </c>
    </row>
    <row r="1723" spans="1:15" x14ac:dyDescent="0.25">
      <c r="A1723" s="1">
        <v>43517</v>
      </c>
      <c r="B1723" t="e">
        <f>NA()</f>
        <v>#N/A</v>
      </c>
      <c r="C1723" t="e">
        <f>NA()</f>
        <v>#N/A</v>
      </c>
      <c r="D1723" t="e">
        <f>NA()</f>
        <v>#N/A</v>
      </c>
      <c r="E1723" t="e">
        <f>NA()</f>
        <v>#N/A</v>
      </c>
      <c r="F1723" t="e">
        <f>NA()</f>
        <v>#N/A</v>
      </c>
      <c r="G1723" t="e">
        <f>NA()</f>
        <v>#N/A</v>
      </c>
      <c r="H1723" t="e">
        <f>NA()</f>
        <v>#N/A</v>
      </c>
      <c r="I1723" t="e">
        <f>NA()</f>
        <v>#N/A</v>
      </c>
      <c r="J1723" t="e">
        <f>NA()</f>
        <v>#N/A</v>
      </c>
      <c r="K1723" t="e">
        <f>NA()</f>
        <v>#N/A</v>
      </c>
      <c r="L1723" t="e">
        <f>NA()</f>
        <v>#N/A</v>
      </c>
      <c r="M1723" t="e">
        <f>NA()</f>
        <v>#N/A</v>
      </c>
      <c r="N1723" t="e">
        <f>NA()</f>
        <v>#N/A</v>
      </c>
      <c r="O1723">
        <f t="shared" si="63"/>
        <v>2.4</v>
      </c>
    </row>
    <row r="1724" spans="1:15" x14ac:dyDescent="0.25">
      <c r="A1724" s="1">
        <v>43516</v>
      </c>
      <c r="B1724" t="e">
        <f>NA()</f>
        <v>#N/A</v>
      </c>
      <c r="C1724" t="e">
        <f>NA()</f>
        <v>#N/A</v>
      </c>
      <c r="D1724" t="e">
        <f>NA()</f>
        <v>#N/A</v>
      </c>
      <c r="E1724" t="e">
        <f>NA()</f>
        <v>#N/A</v>
      </c>
      <c r="F1724" t="e">
        <f>NA()</f>
        <v>#N/A</v>
      </c>
      <c r="G1724" t="e">
        <f>NA()</f>
        <v>#N/A</v>
      </c>
      <c r="H1724" t="e">
        <f>NA()</f>
        <v>#N/A</v>
      </c>
      <c r="I1724" t="e">
        <f>NA()</f>
        <v>#N/A</v>
      </c>
      <c r="J1724" t="e">
        <f>NA()</f>
        <v>#N/A</v>
      </c>
      <c r="K1724" t="e">
        <f>NA()</f>
        <v>#N/A</v>
      </c>
      <c r="L1724" t="e">
        <f>NA()</f>
        <v>#N/A</v>
      </c>
      <c r="M1724" t="e">
        <f>NA()</f>
        <v>#N/A</v>
      </c>
      <c r="N1724" t="e">
        <f>NA()</f>
        <v>#N/A</v>
      </c>
      <c r="O1724">
        <f t="shared" si="63"/>
        <v>2.4</v>
      </c>
    </row>
    <row r="1725" spans="1:15" x14ac:dyDescent="0.25">
      <c r="A1725" s="1">
        <v>43515</v>
      </c>
      <c r="B1725" t="e">
        <f>NA()</f>
        <v>#N/A</v>
      </c>
      <c r="C1725" t="e">
        <f>NA()</f>
        <v>#N/A</v>
      </c>
      <c r="D1725" t="e">
        <f>NA()</f>
        <v>#N/A</v>
      </c>
      <c r="E1725" t="e">
        <f>NA()</f>
        <v>#N/A</v>
      </c>
      <c r="F1725" t="e">
        <f>NA()</f>
        <v>#N/A</v>
      </c>
      <c r="G1725" t="e">
        <f>NA()</f>
        <v>#N/A</v>
      </c>
      <c r="H1725" t="e">
        <f>NA()</f>
        <v>#N/A</v>
      </c>
      <c r="I1725" t="e">
        <f>NA()</f>
        <v>#N/A</v>
      </c>
      <c r="J1725" t="e">
        <f>NA()</f>
        <v>#N/A</v>
      </c>
      <c r="K1725" t="e">
        <f>NA()</f>
        <v>#N/A</v>
      </c>
      <c r="L1725" t="e">
        <f>NA()</f>
        <v>#N/A</v>
      </c>
      <c r="M1725" t="e">
        <f>NA()</f>
        <v>#N/A</v>
      </c>
      <c r="N1725" t="e">
        <f>NA()</f>
        <v>#N/A</v>
      </c>
      <c r="O1725">
        <f t="shared" si="63"/>
        <v>2.4</v>
      </c>
    </row>
    <row r="1726" spans="1:15" x14ac:dyDescent="0.25">
      <c r="A1726" s="1">
        <v>43511</v>
      </c>
      <c r="B1726">
        <f>-0.4</f>
        <v>-0.4</v>
      </c>
      <c r="C1726">
        <f>0</f>
        <v>0</v>
      </c>
      <c r="D1726" t="e">
        <f>NA()</f>
        <v>#N/A</v>
      </c>
      <c r="E1726" t="e">
        <f>NA()</f>
        <v>#N/A</v>
      </c>
      <c r="F1726" t="e">
        <f>NA()</f>
        <v>#N/A</v>
      </c>
      <c r="G1726" t="e">
        <f>NA()</f>
        <v>#N/A</v>
      </c>
      <c r="H1726" t="e">
        <f>NA()</f>
        <v>#N/A</v>
      </c>
      <c r="I1726" t="e">
        <f>NA()</f>
        <v>#N/A</v>
      </c>
      <c r="J1726" t="e">
        <f>NA()</f>
        <v>#N/A</v>
      </c>
      <c r="K1726" t="e">
        <f>NA()</f>
        <v>#N/A</v>
      </c>
      <c r="L1726" t="e">
        <f>NA()</f>
        <v>#N/A</v>
      </c>
      <c r="M1726" t="e">
        <f>NA()</f>
        <v>#N/A</v>
      </c>
      <c r="N1726" t="e">
        <f>NA()</f>
        <v>#N/A</v>
      </c>
      <c r="O1726">
        <f t="shared" si="63"/>
        <v>2.4</v>
      </c>
    </row>
    <row r="1727" spans="1:15" x14ac:dyDescent="0.25">
      <c r="A1727" s="1">
        <v>43510</v>
      </c>
      <c r="B1727" t="e">
        <f>NA()</f>
        <v>#N/A</v>
      </c>
      <c r="C1727" t="e">
        <f>NA()</f>
        <v>#N/A</v>
      </c>
      <c r="D1727" t="e">
        <f>NA()</f>
        <v>#N/A</v>
      </c>
      <c r="E1727" t="e">
        <f>NA()</f>
        <v>#N/A</v>
      </c>
      <c r="F1727" t="e">
        <f>NA()</f>
        <v>#N/A</v>
      </c>
      <c r="G1727" t="e">
        <f>NA()</f>
        <v>#N/A</v>
      </c>
      <c r="H1727" t="e">
        <f>NA()</f>
        <v>#N/A</v>
      </c>
      <c r="I1727" t="e">
        <f>NA()</f>
        <v>#N/A</v>
      </c>
      <c r="J1727" t="e">
        <f>NA()</f>
        <v>#N/A</v>
      </c>
      <c r="K1727" t="e">
        <f>NA()</f>
        <v>#N/A</v>
      </c>
      <c r="L1727" t="e">
        <f>NA()</f>
        <v>#N/A</v>
      </c>
      <c r="M1727" t="e">
        <f>NA()</f>
        <v>#N/A</v>
      </c>
      <c r="N1727" t="e">
        <f>NA()</f>
        <v>#N/A</v>
      </c>
      <c r="O1727">
        <f t="shared" si="63"/>
        <v>2.4</v>
      </c>
    </row>
    <row r="1728" spans="1:15" x14ac:dyDescent="0.25">
      <c r="A1728" s="1">
        <v>43509</v>
      </c>
      <c r="B1728" t="e">
        <f>NA()</f>
        <v>#N/A</v>
      </c>
      <c r="C1728" t="e">
        <f>NA()</f>
        <v>#N/A</v>
      </c>
      <c r="D1728" t="e">
        <f>NA()</f>
        <v>#N/A</v>
      </c>
      <c r="E1728" t="e">
        <f>NA()</f>
        <v>#N/A</v>
      </c>
      <c r="F1728" t="e">
        <f>NA()</f>
        <v>#N/A</v>
      </c>
      <c r="G1728" t="e">
        <f>NA()</f>
        <v>#N/A</v>
      </c>
      <c r="H1728" t="e">
        <f>NA()</f>
        <v>#N/A</v>
      </c>
      <c r="I1728" t="e">
        <f>NA()</f>
        <v>#N/A</v>
      </c>
      <c r="J1728" t="e">
        <f>NA()</f>
        <v>#N/A</v>
      </c>
      <c r="K1728" t="e">
        <f>NA()</f>
        <v>#N/A</v>
      </c>
      <c r="L1728" t="e">
        <f>NA()</f>
        <v>#N/A</v>
      </c>
      <c r="M1728" t="e">
        <f>NA()</f>
        <v>#N/A</v>
      </c>
      <c r="N1728" t="e">
        <f>NA()</f>
        <v>#N/A</v>
      </c>
      <c r="O1728">
        <f t="shared" si="63"/>
        <v>2.4</v>
      </c>
    </row>
    <row r="1729" spans="1:15" x14ac:dyDescent="0.25">
      <c r="A1729" s="1">
        <v>43508</v>
      </c>
      <c r="B1729" t="e">
        <f>NA()</f>
        <v>#N/A</v>
      </c>
      <c r="C1729" t="e">
        <f>NA()</f>
        <v>#N/A</v>
      </c>
      <c r="D1729" t="e">
        <f>NA()</f>
        <v>#N/A</v>
      </c>
      <c r="E1729" t="e">
        <f>NA()</f>
        <v>#N/A</v>
      </c>
      <c r="F1729" t="e">
        <f>NA()</f>
        <v>#N/A</v>
      </c>
      <c r="G1729" t="e">
        <f>NA()</f>
        <v>#N/A</v>
      </c>
      <c r="H1729" t="e">
        <f>NA()</f>
        <v>#N/A</v>
      </c>
      <c r="I1729" t="e">
        <f>NA()</f>
        <v>#N/A</v>
      </c>
      <c r="J1729" t="e">
        <f>NA()</f>
        <v>#N/A</v>
      </c>
      <c r="K1729" t="e">
        <f>NA()</f>
        <v>#N/A</v>
      </c>
      <c r="L1729" t="e">
        <f>NA()</f>
        <v>#N/A</v>
      </c>
      <c r="M1729" t="e">
        <f>NA()</f>
        <v>#N/A</v>
      </c>
      <c r="N1729" t="e">
        <f>NA()</f>
        <v>#N/A</v>
      </c>
      <c r="O1729">
        <f t="shared" ref="O1729:O1764" si="64">2.4</f>
        <v>2.4</v>
      </c>
    </row>
    <row r="1730" spans="1:15" x14ac:dyDescent="0.25">
      <c r="A1730" s="1">
        <v>43507</v>
      </c>
      <c r="B1730" t="e">
        <f>NA()</f>
        <v>#N/A</v>
      </c>
      <c r="C1730" t="e">
        <f>NA()</f>
        <v>#N/A</v>
      </c>
      <c r="D1730" t="e">
        <f>NA()</f>
        <v>#N/A</v>
      </c>
      <c r="E1730" t="e">
        <f>NA()</f>
        <v>#N/A</v>
      </c>
      <c r="F1730" t="e">
        <f>NA()</f>
        <v>#N/A</v>
      </c>
      <c r="G1730" t="e">
        <f>NA()</f>
        <v>#N/A</v>
      </c>
      <c r="H1730" t="e">
        <f>NA()</f>
        <v>#N/A</v>
      </c>
      <c r="I1730" t="e">
        <f>NA()</f>
        <v>#N/A</v>
      </c>
      <c r="J1730" t="e">
        <f>NA()</f>
        <v>#N/A</v>
      </c>
      <c r="K1730" t="e">
        <f>NA()</f>
        <v>#N/A</v>
      </c>
      <c r="L1730" t="e">
        <f>NA()</f>
        <v>#N/A</v>
      </c>
      <c r="M1730" t="e">
        <f>NA()</f>
        <v>#N/A</v>
      </c>
      <c r="N1730" t="e">
        <f>NA()</f>
        <v>#N/A</v>
      </c>
      <c r="O1730">
        <f t="shared" si="64"/>
        <v>2.4</v>
      </c>
    </row>
    <row r="1731" spans="1:15" x14ac:dyDescent="0.25">
      <c r="A1731" s="1">
        <v>43504</v>
      </c>
      <c r="B1731">
        <f>-0.3</f>
        <v>-0.3</v>
      </c>
      <c r="C1731">
        <f>0</f>
        <v>0</v>
      </c>
      <c r="D1731" t="e">
        <f>NA()</f>
        <v>#N/A</v>
      </c>
      <c r="E1731" t="e">
        <f>NA()</f>
        <v>#N/A</v>
      </c>
      <c r="F1731" t="e">
        <f>NA()</f>
        <v>#N/A</v>
      </c>
      <c r="G1731" t="e">
        <f>NA()</f>
        <v>#N/A</v>
      </c>
      <c r="H1731" t="e">
        <f>NA()</f>
        <v>#N/A</v>
      </c>
      <c r="I1731" t="e">
        <f>NA()</f>
        <v>#N/A</v>
      </c>
      <c r="J1731" t="e">
        <f>NA()</f>
        <v>#N/A</v>
      </c>
      <c r="K1731" t="e">
        <f>NA()</f>
        <v>#N/A</v>
      </c>
      <c r="L1731" t="e">
        <f>NA()</f>
        <v>#N/A</v>
      </c>
      <c r="M1731" t="e">
        <f>NA()</f>
        <v>#N/A</v>
      </c>
      <c r="N1731" t="e">
        <f>NA()</f>
        <v>#N/A</v>
      </c>
      <c r="O1731">
        <f t="shared" si="64"/>
        <v>2.4</v>
      </c>
    </row>
    <row r="1732" spans="1:15" x14ac:dyDescent="0.25">
      <c r="A1732" s="1">
        <v>43503</v>
      </c>
      <c r="B1732" t="e">
        <f>NA()</f>
        <v>#N/A</v>
      </c>
      <c r="C1732" t="e">
        <f>NA()</f>
        <v>#N/A</v>
      </c>
      <c r="D1732" t="e">
        <f>NA()</f>
        <v>#N/A</v>
      </c>
      <c r="E1732" t="e">
        <f>NA()</f>
        <v>#N/A</v>
      </c>
      <c r="F1732" t="e">
        <f>NA()</f>
        <v>#N/A</v>
      </c>
      <c r="G1732" t="e">
        <f>NA()</f>
        <v>#N/A</v>
      </c>
      <c r="H1732" t="e">
        <f>NA()</f>
        <v>#N/A</v>
      </c>
      <c r="I1732" t="e">
        <f>NA()</f>
        <v>#N/A</v>
      </c>
      <c r="J1732" t="e">
        <f>NA()</f>
        <v>#N/A</v>
      </c>
      <c r="K1732" t="e">
        <f>NA()</f>
        <v>#N/A</v>
      </c>
      <c r="L1732" t="e">
        <f>NA()</f>
        <v>#N/A</v>
      </c>
      <c r="M1732" t="e">
        <f>NA()</f>
        <v>#N/A</v>
      </c>
      <c r="N1732" t="e">
        <f>NA()</f>
        <v>#N/A</v>
      </c>
      <c r="O1732">
        <f t="shared" si="64"/>
        <v>2.4</v>
      </c>
    </row>
    <row r="1733" spans="1:15" x14ac:dyDescent="0.25">
      <c r="A1733" s="1">
        <v>43502</v>
      </c>
      <c r="B1733" t="e">
        <f>NA()</f>
        <v>#N/A</v>
      </c>
      <c r="C1733" t="e">
        <f>NA()</f>
        <v>#N/A</v>
      </c>
      <c r="D1733" t="e">
        <f>NA()</f>
        <v>#N/A</v>
      </c>
      <c r="E1733" t="e">
        <f>NA()</f>
        <v>#N/A</v>
      </c>
      <c r="F1733" t="e">
        <f>NA()</f>
        <v>#N/A</v>
      </c>
      <c r="G1733" t="e">
        <f>NA()</f>
        <v>#N/A</v>
      </c>
      <c r="H1733" t="e">
        <f>NA()</f>
        <v>#N/A</v>
      </c>
      <c r="I1733" t="e">
        <f>NA()</f>
        <v>#N/A</v>
      </c>
      <c r="J1733" t="e">
        <f>NA()</f>
        <v>#N/A</v>
      </c>
      <c r="K1733" t="e">
        <f>NA()</f>
        <v>#N/A</v>
      </c>
      <c r="L1733" t="e">
        <f>NA()</f>
        <v>#N/A</v>
      </c>
      <c r="M1733" t="e">
        <f>NA()</f>
        <v>#N/A</v>
      </c>
      <c r="N1733" t="e">
        <f>NA()</f>
        <v>#N/A</v>
      </c>
      <c r="O1733">
        <f t="shared" si="64"/>
        <v>2.4</v>
      </c>
    </row>
    <row r="1734" spans="1:15" x14ac:dyDescent="0.25">
      <c r="A1734" s="1">
        <v>43501</v>
      </c>
      <c r="B1734" t="e">
        <f>NA()</f>
        <v>#N/A</v>
      </c>
      <c r="C1734" t="e">
        <f>NA()</f>
        <v>#N/A</v>
      </c>
      <c r="D1734" t="e">
        <f>NA()</f>
        <v>#N/A</v>
      </c>
      <c r="E1734" t="e">
        <f>NA()</f>
        <v>#N/A</v>
      </c>
      <c r="F1734" t="e">
        <f>NA()</f>
        <v>#N/A</v>
      </c>
      <c r="G1734" t="e">
        <f>NA()</f>
        <v>#N/A</v>
      </c>
      <c r="H1734" t="e">
        <f>NA()</f>
        <v>#N/A</v>
      </c>
      <c r="I1734" t="e">
        <f>NA()</f>
        <v>#N/A</v>
      </c>
      <c r="J1734" t="e">
        <f>NA()</f>
        <v>#N/A</v>
      </c>
      <c r="K1734" t="e">
        <f>NA()</f>
        <v>#N/A</v>
      </c>
      <c r="L1734" t="e">
        <f>NA()</f>
        <v>#N/A</v>
      </c>
      <c r="M1734" t="e">
        <f>NA()</f>
        <v>#N/A</v>
      </c>
      <c r="N1734" t="e">
        <f>NA()</f>
        <v>#N/A</v>
      </c>
      <c r="O1734">
        <f t="shared" si="64"/>
        <v>2.4</v>
      </c>
    </row>
    <row r="1735" spans="1:15" x14ac:dyDescent="0.25">
      <c r="A1735" s="1">
        <v>43500</v>
      </c>
      <c r="B1735" t="e">
        <f>NA()</f>
        <v>#N/A</v>
      </c>
      <c r="C1735" t="e">
        <f>NA()</f>
        <v>#N/A</v>
      </c>
      <c r="D1735" t="e">
        <f>NA()</f>
        <v>#N/A</v>
      </c>
      <c r="E1735" t="e">
        <f>NA()</f>
        <v>#N/A</v>
      </c>
      <c r="F1735" t="e">
        <f>NA()</f>
        <v>#N/A</v>
      </c>
      <c r="G1735" t="e">
        <f>NA()</f>
        <v>#N/A</v>
      </c>
      <c r="H1735" t="e">
        <f>NA()</f>
        <v>#N/A</v>
      </c>
      <c r="I1735" t="e">
        <f>NA()</f>
        <v>#N/A</v>
      </c>
      <c r="J1735" t="e">
        <f>NA()</f>
        <v>#N/A</v>
      </c>
      <c r="K1735" t="e">
        <f>NA()</f>
        <v>#N/A</v>
      </c>
      <c r="L1735" t="e">
        <f>NA()</f>
        <v>#N/A</v>
      </c>
      <c r="M1735" t="e">
        <f>NA()</f>
        <v>#N/A</v>
      </c>
      <c r="N1735" t="e">
        <f>NA()</f>
        <v>#N/A</v>
      </c>
      <c r="O1735">
        <f t="shared" si="64"/>
        <v>2.4</v>
      </c>
    </row>
    <row r="1736" spans="1:15" x14ac:dyDescent="0.25">
      <c r="A1736" s="1">
        <v>43497</v>
      </c>
      <c r="B1736">
        <f>-0.2</f>
        <v>-0.2</v>
      </c>
      <c r="C1736">
        <f>0</f>
        <v>0</v>
      </c>
      <c r="D1736" t="e">
        <f>NA()</f>
        <v>#N/A</v>
      </c>
      <c r="E1736" t="e">
        <f>NA()</f>
        <v>#N/A</v>
      </c>
      <c r="F1736" t="e">
        <f>NA()</f>
        <v>#N/A</v>
      </c>
      <c r="G1736" t="e">
        <f>NA()</f>
        <v>#N/A</v>
      </c>
      <c r="H1736" t="e">
        <f>NA()</f>
        <v>#N/A</v>
      </c>
      <c r="I1736" t="e">
        <f>NA()</f>
        <v>#N/A</v>
      </c>
      <c r="J1736" t="e">
        <f>NA()</f>
        <v>#N/A</v>
      </c>
      <c r="K1736" t="e">
        <f>NA()</f>
        <v>#N/A</v>
      </c>
      <c r="L1736" t="e">
        <f>NA()</f>
        <v>#N/A</v>
      </c>
      <c r="M1736" t="e">
        <f>NA()</f>
        <v>#N/A</v>
      </c>
      <c r="N1736" t="e">
        <f>NA()</f>
        <v>#N/A</v>
      </c>
      <c r="O1736">
        <f t="shared" si="64"/>
        <v>2.4</v>
      </c>
    </row>
    <row r="1737" spans="1:15" x14ac:dyDescent="0.25">
      <c r="A1737" s="1">
        <v>43496</v>
      </c>
      <c r="B1737" t="e">
        <f>NA()</f>
        <v>#N/A</v>
      </c>
      <c r="C1737" t="e">
        <f>NA()</f>
        <v>#N/A</v>
      </c>
      <c r="D1737">
        <f>0.1</f>
        <v>0.1</v>
      </c>
      <c r="E1737">
        <f>1.7</f>
        <v>1.7</v>
      </c>
      <c r="F1737">
        <f>7502</f>
        <v>7502</v>
      </c>
      <c r="G1737">
        <f>63.1</f>
        <v>63.1</v>
      </c>
      <c r="H1737">
        <f>2.8</f>
        <v>2.8</v>
      </c>
      <c r="I1737">
        <f>251.7</f>
        <v>251.7</v>
      </c>
      <c r="J1737">
        <f>1.6</f>
        <v>1.6</v>
      </c>
      <c r="K1737">
        <f>55.7</f>
        <v>55.7</v>
      </c>
      <c r="L1737">
        <f>-0.7</f>
        <v>-0.7</v>
      </c>
      <c r="M1737" t="e">
        <f>NA()</f>
        <v>#N/A</v>
      </c>
      <c r="N1737">
        <f>4</f>
        <v>4</v>
      </c>
      <c r="O1737">
        <f t="shared" si="64"/>
        <v>2.4</v>
      </c>
    </row>
    <row r="1738" spans="1:15" x14ac:dyDescent="0.25">
      <c r="A1738" s="1">
        <v>43495</v>
      </c>
      <c r="B1738" t="e">
        <f>NA()</f>
        <v>#N/A</v>
      </c>
      <c r="C1738" t="e">
        <f>NA()</f>
        <v>#N/A</v>
      </c>
      <c r="D1738" t="e">
        <f>NA()</f>
        <v>#N/A</v>
      </c>
      <c r="E1738" t="e">
        <f>NA()</f>
        <v>#N/A</v>
      </c>
      <c r="F1738" t="e">
        <f>NA()</f>
        <v>#N/A</v>
      </c>
      <c r="G1738" t="e">
        <f>NA()</f>
        <v>#N/A</v>
      </c>
      <c r="H1738" t="e">
        <f>NA()</f>
        <v>#N/A</v>
      </c>
      <c r="I1738" t="e">
        <f>NA()</f>
        <v>#N/A</v>
      </c>
      <c r="J1738" t="e">
        <f>NA()</f>
        <v>#N/A</v>
      </c>
      <c r="K1738" t="e">
        <f>NA()</f>
        <v>#N/A</v>
      </c>
      <c r="L1738" t="e">
        <f>NA()</f>
        <v>#N/A</v>
      </c>
      <c r="M1738" t="e">
        <f>NA()</f>
        <v>#N/A</v>
      </c>
      <c r="N1738" t="e">
        <f>NA()</f>
        <v>#N/A</v>
      </c>
      <c r="O1738">
        <f t="shared" si="64"/>
        <v>2.4</v>
      </c>
    </row>
    <row r="1739" spans="1:15" x14ac:dyDescent="0.25">
      <c r="A1739" s="1">
        <v>43494</v>
      </c>
      <c r="B1739" t="e">
        <f>NA()</f>
        <v>#N/A</v>
      </c>
      <c r="C1739" t="e">
        <f>NA()</f>
        <v>#N/A</v>
      </c>
      <c r="D1739" t="e">
        <f>NA()</f>
        <v>#N/A</v>
      </c>
      <c r="E1739" t="e">
        <f>NA()</f>
        <v>#N/A</v>
      </c>
      <c r="F1739" t="e">
        <f>NA()</f>
        <v>#N/A</v>
      </c>
      <c r="G1739" t="e">
        <f>NA()</f>
        <v>#N/A</v>
      </c>
      <c r="H1739" t="e">
        <f>NA()</f>
        <v>#N/A</v>
      </c>
      <c r="I1739" t="e">
        <f>NA()</f>
        <v>#N/A</v>
      </c>
      <c r="J1739" t="e">
        <f>NA()</f>
        <v>#N/A</v>
      </c>
      <c r="K1739" t="e">
        <f>NA()</f>
        <v>#N/A</v>
      </c>
      <c r="L1739" t="e">
        <f>NA()</f>
        <v>#N/A</v>
      </c>
      <c r="M1739" t="e">
        <f>NA()</f>
        <v>#N/A</v>
      </c>
      <c r="N1739" t="e">
        <f>NA()</f>
        <v>#N/A</v>
      </c>
      <c r="O1739">
        <f t="shared" si="64"/>
        <v>2.4</v>
      </c>
    </row>
    <row r="1740" spans="1:15" x14ac:dyDescent="0.25">
      <c r="A1740" s="1">
        <v>43493</v>
      </c>
      <c r="B1740" t="e">
        <f>NA()</f>
        <v>#N/A</v>
      </c>
      <c r="C1740" t="e">
        <f>NA()</f>
        <v>#N/A</v>
      </c>
      <c r="D1740" t="e">
        <f>NA()</f>
        <v>#N/A</v>
      </c>
      <c r="E1740" t="e">
        <f>NA()</f>
        <v>#N/A</v>
      </c>
      <c r="F1740" t="e">
        <f>NA()</f>
        <v>#N/A</v>
      </c>
      <c r="G1740" t="e">
        <f>NA()</f>
        <v>#N/A</v>
      </c>
      <c r="H1740" t="e">
        <f>NA()</f>
        <v>#N/A</v>
      </c>
      <c r="I1740" t="e">
        <f>NA()</f>
        <v>#N/A</v>
      </c>
      <c r="J1740" t="e">
        <f>NA()</f>
        <v>#N/A</v>
      </c>
      <c r="K1740" t="e">
        <f>NA()</f>
        <v>#N/A</v>
      </c>
      <c r="L1740" t="e">
        <f>NA()</f>
        <v>#N/A</v>
      </c>
      <c r="M1740" t="e">
        <f>NA()</f>
        <v>#N/A</v>
      </c>
      <c r="N1740" t="e">
        <f>NA()</f>
        <v>#N/A</v>
      </c>
      <c r="O1740">
        <f t="shared" si="64"/>
        <v>2.4</v>
      </c>
    </row>
    <row r="1741" spans="1:15" x14ac:dyDescent="0.25">
      <c r="A1741" s="1">
        <v>43490</v>
      </c>
      <c r="B1741">
        <f>-0.1</f>
        <v>-0.1</v>
      </c>
      <c r="C1741">
        <f>0</f>
        <v>0</v>
      </c>
      <c r="D1741" t="e">
        <f>NA()</f>
        <v>#N/A</v>
      </c>
      <c r="E1741" t="e">
        <f>NA()</f>
        <v>#N/A</v>
      </c>
      <c r="F1741" t="e">
        <f>NA()</f>
        <v>#N/A</v>
      </c>
      <c r="G1741" t="e">
        <f>NA()</f>
        <v>#N/A</v>
      </c>
      <c r="H1741" t="e">
        <f>NA()</f>
        <v>#N/A</v>
      </c>
      <c r="I1741" t="e">
        <f>NA()</f>
        <v>#N/A</v>
      </c>
      <c r="J1741" t="e">
        <f>NA()</f>
        <v>#N/A</v>
      </c>
      <c r="K1741" t="e">
        <f>NA()</f>
        <v>#N/A</v>
      </c>
      <c r="L1741" t="e">
        <f>NA()</f>
        <v>#N/A</v>
      </c>
      <c r="M1741" t="e">
        <f>NA()</f>
        <v>#N/A</v>
      </c>
      <c r="N1741" t="e">
        <f>NA()</f>
        <v>#N/A</v>
      </c>
      <c r="O1741">
        <f t="shared" si="64"/>
        <v>2.4</v>
      </c>
    </row>
    <row r="1742" spans="1:15" x14ac:dyDescent="0.25">
      <c r="A1742" s="1">
        <v>43489</v>
      </c>
      <c r="B1742" t="e">
        <f>NA()</f>
        <v>#N/A</v>
      </c>
      <c r="C1742" t="e">
        <f>NA()</f>
        <v>#N/A</v>
      </c>
      <c r="D1742" t="e">
        <f>NA()</f>
        <v>#N/A</v>
      </c>
      <c r="E1742" t="e">
        <f>NA()</f>
        <v>#N/A</v>
      </c>
      <c r="F1742" t="e">
        <f>NA()</f>
        <v>#N/A</v>
      </c>
      <c r="G1742" t="e">
        <f>NA()</f>
        <v>#N/A</v>
      </c>
      <c r="H1742" t="e">
        <f>NA()</f>
        <v>#N/A</v>
      </c>
      <c r="I1742" t="e">
        <f>NA()</f>
        <v>#N/A</v>
      </c>
      <c r="J1742" t="e">
        <f>NA()</f>
        <v>#N/A</v>
      </c>
      <c r="K1742" t="e">
        <f>NA()</f>
        <v>#N/A</v>
      </c>
      <c r="L1742" t="e">
        <f>NA()</f>
        <v>#N/A</v>
      </c>
      <c r="M1742" t="e">
        <f>NA()</f>
        <v>#N/A</v>
      </c>
      <c r="N1742" t="e">
        <f>NA()</f>
        <v>#N/A</v>
      </c>
      <c r="O1742">
        <f t="shared" si="64"/>
        <v>2.4</v>
      </c>
    </row>
    <row r="1743" spans="1:15" x14ac:dyDescent="0.25">
      <c r="A1743" s="1">
        <v>43488</v>
      </c>
      <c r="B1743" t="e">
        <f>NA()</f>
        <v>#N/A</v>
      </c>
      <c r="C1743" t="e">
        <f>NA()</f>
        <v>#N/A</v>
      </c>
      <c r="D1743" t="e">
        <f>NA()</f>
        <v>#N/A</v>
      </c>
      <c r="E1743" t="e">
        <f>NA()</f>
        <v>#N/A</v>
      </c>
      <c r="F1743" t="e">
        <f>NA()</f>
        <v>#N/A</v>
      </c>
      <c r="G1743" t="e">
        <f>NA()</f>
        <v>#N/A</v>
      </c>
      <c r="H1743" t="e">
        <f>NA()</f>
        <v>#N/A</v>
      </c>
      <c r="I1743" t="e">
        <f>NA()</f>
        <v>#N/A</v>
      </c>
      <c r="J1743" t="e">
        <f>NA()</f>
        <v>#N/A</v>
      </c>
      <c r="K1743" t="e">
        <f>NA()</f>
        <v>#N/A</v>
      </c>
      <c r="L1743" t="e">
        <f>NA()</f>
        <v>#N/A</v>
      </c>
      <c r="M1743" t="e">
        <f>NA()</f>
        <v>#N/A</v>
      </c>
      <c r="N1743" t="e">
        <f>NA()</f>
        <v>#N/A</v>
      </c>
      <c r="O1743">
        <f t="shared" si="64"/>
        <v>2.4</v>
      </c>
    </row>
    <row r="1744" spans="1:15" x14ac:dyDescent="0.25">
      <c r="A1744" s="1">
        <v>43487</v>
      </c>
      <c r="B1744" t="e">
        <f>NA()</f>
        <v>#N/A</v>
      </c>
      <c r="C1744" t="e">
        <f>NA()</f>
        <v>#N/A</v>
      </c>
      <c r="D1744" t="e">
        <f>NA()</f>
        <v>#N/A</v>
      </c>
      <c r="E1744" t="e">
        <f>NA()</f>
        <v>#N/A</v>
      </c>
      <c r="F1744" t="e">
        <f>NA()</f>
        <v>#N/A</v>
      </c>
      <c r="G1744" t="e">
        <f>NA()</f>
        <v>#N/A</v>
      </c>
      <c r="H1744" t="e">
        <f>NA()</f>
        <v>#N/A</v>
      </c>
      <c r="I1744" t="e">
        <f>NA()</f>
        <v>#N/A</v>
      </c>
      <c r="J1744" t="e">
        <f>NA()</f>
        <v>#N/A</v>
      </c>
      <c r="K1744" t="e">
        <f>NA()</f>
        <v>#N/A</v>
      </c>
      <c r="L1744" t="e">
        <f>NA()</f>
        <v>#N/A</v>
      </c>
      <c r="M1744" t="e">
        <f>NA()</f>
        <v>#N/A</v>
      </c>
      <c r="N1744" t="e">
        <f>NA()</f>
        <v>#N/A</v>
      </c>
      <c r="O1744">
        <f t="shared" si="64"/>
        <v>2.4</v>
      </c>
    </row>
    <row r="1745" spans="1:15" x14ac:dyDescent="0.25">
      <c r="A1745" s="1">
        <v>43483</v>
      </c>
      <c r="B1745">
        <f>-0.2</f>
        <v>-0.2</v>
      </c>
      <c r="C1745">
        <f>0</f>
        <v>0</v>
      </c>
      <c r="D1745" t="e">
        <f>NA()</f>
        <v>#N/A</v>
      </c>
      <c r="E1745" t="e">
        <f>NA()</f>
        <v>#N/A</v>
      </c>
      <c r="F1745" t="e">
        <f>NA()</f>
        <v>#N/A</v>
      </c>
      <c r="G1745" t="e">
        <f>NA()</f>
        <v>#N/A</v>
      </c>
      <c r="H1745" t="e">
        <f>NA()</f>
        <v>#N/A</v>
      </c>
      <c r="I1745" t="e">
        <f>NA()</f>
        <v>#N/A</v>
      </c>
      <c r="J1745" t="e">
        <f>NA()</f>
        <v>#N/A</v>
      </c>
      <c r="K1745" t="e">
        <f>NA()</f>
        <v>#N/A</v>
      </c>
      <c r="L1745" t="e">
        <f>NA()</f>
        <v>#N/A</v>
      </c>
      <c r="M1745" t="e">
        <f>NA()</f>
        <v>#N/A</v>
      </c>
      <c r="N1745" t="e">
        <f>NA()</f>
        <v>#N/A</v>
      </c>
      <c r="O1745">
        <f t="shared" si="64"/>
        <v>2.4</v>
      </c>
    </row>
    <row r="1746" spans="1:15" x14ac:dyDescent="0.25">
      <c r="A1746" s="1">
        <v>43482</v>
      </c>
      <c r="B1746" t="e">
        <f>NA()</f>
        <v>#N/A</v>
      </c>
      <c r="C1746" t="e">
        <f>NA()</f>
        <v>#N/A</v>
      </c>
      <c r="D1746" t="e">
        <f>NA()</f>
        <v>#N/A</v>
      </c>
      <c r="E1746" t="e">
        <f>NA()</f>
        <v>#N/A</v>
      </c>
      <c r="F1746" t="e">
        <f>NA()</f>
        <v>#N/A</v>
      </c>
      <c r="G1746" t="e">
        <f>NA()</f>
        <v>#N/A</v>
      </c>
      <c r="H1746" t="e">
        <f>NA()</f>
        <v>#N/A</v>
      </c>
      <c r="I1746" t="e">
        <f>NA()</f>
        <v>#N/A</v>
      </c>
      <c r="J1746" t="e">
        <f>NA()</f>
        <v>#N/A</v>
      </c>
      <c r="K1746" t="e">
        <f>NA()</f>
        <v>#N/A</v>
      </c>
      <c r="L1746" t="e">
        <f>NA()</f>
        <v>#N/A</v>
      </c>
      <c r="M1746" t="e">
        <f>NA()</f>
        <v>#N/A</v>
      </c>
      <c r="N1746" t="e">
        <f>NA()</f>
        <v>#N/A</v>
      </c>
      <c r="O1746">
        <f t="shared" si="64"/>
        <v>2.4</v>
      </c>
    </row>
    <row r="1747" spans="1:15" x14ac:dyDescent="0.25">
      <c r="A1747" s="1">
        <v>43481</v>
      </c>
      <c r="B1747" t="e">
        <f>NA()</f>
        <v>#N/A</v>
      </c>
      <c r="C1747" t="e">
        <f>NA()</f>
        <v>#N/A</v>
      </c>
      <c r="D1747" t="e">
        <f>NA()</f>
        <v>#N/A</v>
      </c>
      <c r="E1747" t="e">
        <f>NA()</f>
        <v>#N/A</v>
      </c>
      <c r="F1747" t="e">
        <f>NA()</f>
        <v>#N/A</v>
      </c>
      <c r="G1747" t="e">
        <f>NA()</f>
        <v>#N/A</v>
      </c>
      <c r="H1747" t="e">
        <f>NA()</f>
        <v>#N/A</v>
      </c>
      <c r="I1747" t="e">
        <f>NA()</f>
        <v>#N/A</v>
      </c>
      <c r="J1747" t="e">
        <f>NA()</f>
        <v>#N/A</v>
      </c>
      <c r="K1747" t="e">
        <f>NA()</f>
        <v>#N/A</v>
      </c>
      <c r="L1747" t="e">
        <f>NA()</f>
        <v>#N/A</v>
      </c>
      <c r="M1747" t="e">
        <f>NA()</f>
        <v>#N/A</v>
      </c>
      <c r="N1747" t="e">
        <f>NA()</f>
        <v>#N/A</v>
      </c>
      <c r="O1747">
        <f t="shared" si="64"/>
        <v>2.4</v>
      </c>
    </row>
    <row r="1748" spans="1:15" x14ac:dyDescent="0.25">
      <c r="A1748" s="1">
        <v>43480</v>
      </c>
      <c r="B1748" t="e">
        <f>NA()</f>
        <v>#N/A</v>
      </c>
      <c r="C1748" t="e">
        <f>NA()</f>
        <v>#N/A</v>
      </c>
      <c r="D1748" t="e">
        <f>NA()</f>
        <v>#N/A</v>
      </c>
      <c r="E1748" t="e">
        <f>NA()</f>
        <v>#N/A</v>
      </c>
      <c r="F1748" t="e">
        <f>NA()</f>
        <v>#N/A</v>
      </c>
      <c r="G1748" t="e">
        <f>NA()</f>
        <v>#N/A</v>
      </c>
      <c r="H1748" t="e">
        <f>NA()</f>
        <v>#N/A</v>
      </c>
      <c r="I1748" t="e">
        <f>NA()</f>
        <v>#N/A</v>
      </c>
      <c r="J1748" t="e">
        <f>NA()</f>
        <v>#N/A</v>
      </c>
      <c r="K1748" t="e">
        <f>NA()</f>
        <v>#N/A</v>
      </c>
      <c r="L1748" t="e">
        <f>NA()</f>
        <v>#N/A</v>
      </c>
      <c r="M1748" t="e">
        <f>NA()</f>
        <v>#N/A</v>
      </c>
      <c r="N1748" t="e">
        <f>NA()</f>
        <v>#N/A</v>
      </c>
      <c r="O1748">
        <f t="shared" si="64"/>
        <v>2.4</v>
      </c>
    </row>
    <row r="1749" spans="1:15" x14ac:dyDescent="0.25">
      <c r="A1749" s="1">
        <v>43479</v>
      </c>
      <c r="B1749" t="e">
        <f>NA()</f>
        <v>#N/A</v>
      </c>
      <c r="C1749" t="e">
        <f>NA()</f>
        <v>#N/A</v>
      </c>
      <c r="D1749" t="e">
        <f>NA()</f>
        <v>#N/A</v>
      </c>
      <c r="E1749" t="e">
        <f>NA()</f>
        <v>#N/A</v>
      </c>
      <c r="F1749" t="e">
        <f>NA()</f>
        <v>#N/A</v>
      </c>
      <c r="G1749" t="e">
        <f>NA()</f>
        <v>#N/A</v>
      </c>
      <c r="H1749" t="e">
        <f>NA()</f>
        <v>#N/A</v>
      </c>
      <c r="I1749" t="e">
        <f>NA()</f>
        <v>#N/A</v>
      </c>
      <c r="J1749" t="e">
        <f>NA()</f>
        <v>#N/A</v>
      </c>
      <c r="K1749" t="e">
        <f>NA()</f>
        <v>#N/A</v>
      </c>
      <c r="L1749" t="e">
        <f>NA()</f>
        <v>#N/A</v>
      </c>
      <c r="M1749" t="e">
        <f>NA()</f>
        <v>#N/A</v>
      </c>
      <c r="N1749" t="e">
        <f>NA()</f>
        <v>#N/A</v>
      </c>
      <c r="O1749">
        <f t="shared" si="64"/>
        <v>2.4</v>
      </c>
    </row>
    <row r="1750" spans="1:15" x14ac:dyDescent="0.25">
      <c r="A1750" s="1">
        <v>43476</v>
      </c>
      <c r="B1750">
        <f>-0.2</f>
        <v>-0.2</v>
      </c>
      <c r="C1750">
        <f>0</f>
        <v>0</v>
      </c>
      <c r="D1750" t="e">
        <f>NA()</f>
        <v>#N/A</v>
      </c>
      <c r="E1750" t="e">
        <f>NA()</f>
        <v>#N/A</v>
      </c>
      <c r="F1750" t="e">
        <f>NA()</f>
        <v>#N/A</v>
      </c>
      <c r="G1750" t="e">
        <f>NA()</f>
        <v>#N/A</v>
      </c>
      <c r="H1750" t="e">
        <f>NA()</f>
        <v>#N/A</v>
      </c>
      <c r="I1750" t="e">
        <f>NA()</f>
        <v>#N/A</v>
      </c>
      <c r="J1750" t="e">
        <f>NA()</f>
        <v>#N/A</v>
      </c>
      <c r="K1750" t="e">
        <f>NA()</f>
        <v>#N/A</v>
      </c>
      <c r="L1750" t="e">
        <f>NA()</f>
        <v>#N/A</v>
      </c>
      <c r="M1750" t="e">
        <f>NA()</f>
        <v>#N/A</v>
      </c>
      <c r="N1750" t="e">
        <f>NA()</f>
        <v>#N/A</v>
      </c>
      <c r="O1750">
        <f t="shared" si="64"/>
        <v>2.4</v>
      </c>
    </row>
    <row r="1751" spans="1:15" x14ac:dyDescent="0.25">
      <c r="A1751" s="1">
        <v>43475</v>
      </c>
      <c r="B1751" t="e">
        <f>NA()</f>
        <v>#N/A</v>
      </c>
      <c r="C1751" t="e">
        <f>NA()</f>
        <v>#N/A</v>
      </c>
      <c r="D1751" t="e">
        <f>NA()</f>
        <v>#N/A</v>
      </c>
      <c r="E1751" t="e">
        <f>NA()</f>
        <v>#N/A</v>
      </c>
      <c r="F1751" t="e">
        <f>NA()</f>
        <v>#N/A</v>
      </c>
      <c r="G1751" t="e">
        <f>NA()</f>
        <v>#N/A</v>
      </c>
      <c r="H1751" t="e">
        <f>NA()</f>
        <v>#N/A</v>
      </c>
      <c r="I1751" t="e">
        <f>NA()</f>
        <v>#N/A</v>
      </c>
      <c r="J1751" t="e">
        <f>NA()</f>
        <v>#N/A</v>
      </c>
      <c r="K1751" t="e">
        <f>NA()</f>
        <v>#N/A</v>
      </c>
      <c r="L1751" t="e">
        <f>NA()</f>
        <v>#N/A</v>
      </c>
      <c r="M1751" t="e">
        <f>NA()</f>
        <v>#N/A</v>
      </c>
      <c r="N1751" t="e">
        <f>NA()</f>
        <v>#N/A</v>
      </c>
      <c r="O1751">
        <f t="shared" si="64"/>
        <v>2.4</v>
      </c>
    </row>
    <row r="1752" spans="1:15" x14ac:dyDescent="0.25">
      <c r="A1752" s="1">
        <v>43474</v>
      </c>
      <c r="B1752" t="e">
        <f>NA()</f>
        <v>#N/A</v>
      </c>
      <c r="C1752" t="e">
        <f>NA()</f>
        <v>#N/A</v>
      </c>
      <c r="D1752" t="e">
        <f>NA()</f>
        <v>#N/A</v>
      </c>
      <c r="E1752" t="e">
        <f>NA()</f>
        <v>#N/A</v>
      </c>
      <c r="F1752" t="e">
        <f>NA()</f>
        <v>#N/A</v>
      </c>
      <c r="G1752" t="e">
        <f>NA()</f>
        <v>#N/A</v>
      </c>
      <c r="H1752" t="e">
        <f>NA()</f>
        <v>#N/A</v>
      </c>
      <c r="I1752" t="e">
        <f>NA()</f>
        <v>#N/A</v>
      </c>
      <c r="J1752" t="e">
        <f>NA()</f>
        <v>#N/A</v>
      </c>
      <c r="K1752" t="e">
        <f>NA()</f>
        <v>#N/A</v>
      </c>
      <c r="L1752" t="e">
        <f>NA()</f>
        <v>#N/A</v>
      </c>
      <c r="M1752" t="e">
        <f>NA()</f>
        <v>#N/A</v>
      </c>
      <c r="N1752" t="e">
        <f>NA()</f>
        <v>#N/A</v>
      </c>
      <c r="O1752">
        <f t="shared" si="64"/>
        <v>2.4</v>
      </c>
    </row>
    <row r="1753" spans="1:15" x14ac:dyDescent="0.25">
      <c r="A1753" s="1">
        <v>43473</v>
      </c>
      <c r="B1753" t="e">
        <f>NA()</f>
        <v>#N/A</v>
      </c>
      <c r="C1753" t="e">
        <f>NA()</f>
        <v>#N/A</v>
      </c>
      <c r="D1753" t="e">
        <f>NA()</f>
        <v>#N/A</v>
      </c>
      <c r="E1753" t="e">
        <f>NA()</f>
        <v>#N/A</v>
      </c>
      <c r="F1753" t="e">
        <f>NA()</f>
        <v>#N/A</v>
      </c>
      <c r="G1753" t="e">
        <f>NA()</f>
        <v>#N/A</v>
      </c>
      <c r="H1753" t="e">
        <f>NA()</f>
        <v>#N/A</v>
      </c>
      <c r="I1753" t="e">
        <f>NA()</f>
        <v>#N/A</v>
      </c>
      <c r="J1753" t="e">
        <f>NA()</f>
        <v>#N/A</v>
      </c>
      <c r="K1753" t="e">
        <f>NA()</f>
        <v>#N/A</v>
      </c>
      <c r="L1753" t="e">
        <f>NA()</f>
        <v>#N/A</v>
      </c>
      <c r="M1753" t="e">
        <f>NA()</f>
        <v>#N/A</v>
      </c>
      <c r="N1753" t="e">
        <f>NA()</f>
        <v>#N/A</v>
      </c>
      <c r="O1753">
        <f t="shared" si="64"/>
        <v>2.4</v>
      </c>
    </row>
    <row r="1754" spans="1:15" x14ac:dyDescent="0.25">
      <c r="A1754" s="1">
        <v>43472</v>
      </c>
      <c r="B1754" t="e">
        <f>NA()</f>
        <v>#N/A</v>
      </c>
      <c r="C1754" t="e">
        <f>NA()</f>
        <v>#N/A</v>
      </c>
      <c r="D1754" t="e">
        <f>NA()</f>
        <v>#N/A</v>
      </c>
      <c r="E1754" t="e">
        <f>NA()</f>
        <v>#N/A</v>
      </c>
      <c r="F1754" t="e">
        <f>NA()</f>
        <v>#N/A</v>
      </c>
      <c r="G1754" t="e">
        <f>NA()</f>
        <v>#N/A</v>
      </c>
      <c r="H1754" t="e">
        <f>NA()</f>
        <v>#N/A</v>
      </c>
      <c r="I1754" t="e">
        <f>NA()</f>
        <v>#N/A</v>
      </c>
      <c r="J1754" t="e">
        <f>NA()</f>
        <v>#N/A</v>
      </c>
      <c r="K1754" t="e">
        <f>NA()</f>
        <v>#N/A</v>
      </c>
      <c r="L1754" t="e">
        <f>NA()</f>
        <v>#N/A</v>
      </c>
      <c r="M1754" t="e">
        <f>NA()</f>
        <v>#N/A</v>
      </c>
      <c r="N1754" t="e">
        <f>NA()</f>
        <v>#N/A</v>
      </c>
      <c r="O1754">
        <f t="shared" si="64"/>
        <v>2.4</v>
      </c>
    </row>
    <row r="1755" spans="1:15" x14ac:dyDescent="0.25">
      <c r="A1755" s="1">
        <v>43469</v>
      </c>
      <c r="B1755">
        <f>0.3</f>
        <v>0.3</v>
      </c>
      <c r="C1755">
        <f>0</f>
        <v>0</v>
      </c>
      <c r="D1755" t="e">
        <f>NA()</f>
        <v>#N/A</v>
      </c>
      <c r="E1755" t="e">
        <f>NA()</f>
        <v>#N/A</v>
      </c>
      <c r="F1755" t="e">
        <f>NA()</f>
        <v>#N/A</v>
      </c>
      <c r="G1755" t="e">
        <f>NA()</f>
        <v>#N/A</v>
      </c>
      <c r="H1755" t="e">
        <f>NA()</f>
        <v>#N/A</v>
      </c>
      <c r="I1755" t="e">
        <f>NA()</f>
        <v>#N/A</v>
      </c>
      <c r="J1755" t="e">
        <f>NA()</f>
        <v>#N/A</v>
      </c>
      <c r="K1755" t="e">
        <f>NA()</f>
        <v>#N/A</v>
      </c>
      <c r="L1755" t="e">
        <f>NA()</f>
        <v>#N/A</v>
      </c>
      <c r="M1755" t="e">
        <f>NA()</f>
        <v>#N/A</v>
      </c>
      <c r="N1755" t="e">
        <f>NA()</f>
        <v>#N/A</v>
      </c>
      <c r="O1755">
        <f t="shared" si="64"/>
        <v>2.4</v>
      </c>
    </row>
    <row r="1756" spans="1:15" x14ac:dyDescent="0.25">
      <c r="A1756" s="1">
        <v>43468</v>
      </c>
      <c r="B1756" t="e">
        <f>NA()</f>
        <v>#N/A</v>
      </c>
      <c r="C1756" t="e">
        <f>NA()</f>
        <v>#N/A</v>
      </c>
      <c r="D1756" t="e">
        <f>NA()</f>
        <v>#N/A</v>
      </c>
      <c r="E1756" t="e">
        <f>NA()</f>
        <v>#N/A</v>
      </c>
      <c r="F1756" t="e">
        <f>NA()</f>
        <v>#N/A</v>
      </c>
      <c r="G1756" t="e">
        <f>NA()</f>
        <v>#N/A</v>
      </c>
      <c r="H1756" t="e">
        <f>NA()</f>
        <v>#N/A</v>
      </c>
      <c r="I1756" t="e">
        <f>NA()</f>
        <v>#N/A</v>
      </c>
      <c r="J1756" t="e">
        <f>NA()</f>
        <v>#N/A</v>
      </c>
      <c r="K1756" t="e">
        <f>NA()</f>
        <v>#N/A</v>
      </c>
      <c r="L1756" t="e">
        <f>NA()</f>
        <v>#N/A</v>
      </c>
      <c r="M1756" t="e">
        <f>NA()</f>
        <v>#N/A</v>
      </c>
      <c r="N1756" t="e">
        <f>NA()</f>
        <v>#N/A</v>
      </c>
      <c r="O1756">
        <f t="shared" si="64"/>
        <v>2.4</v>
      </c>
    </row>
    <row r="1757" spans="1:15" x14ac:dyDescent="0.25">
      <c r="A1757" s="1">
        <v>43467</v>
      </c>
      <c r="B1757" t="e">
        <f>NA()</f>
        <v>#N/A</v>
      </c>
      <c r="C1757" t="e">
        <f>NA()</f>
        <v>#N/A</v>
      </c>
      <c r="D1757" t="e">
        <f>NA()</f>
        <v>#N/A</v>
      </c>
      <c r="E1757" t="e">
        <f>NA()</f>
        <v>#N/A</v>
      </c>
      <c r="F1757" t="e">
        <f>NA()</f>
        <v>#N/A</v>
      </c>
      <c r="G1757" t="e">
        <f>NA()</f>
        <v>#N/A</v>
      </c>
      <c r="H1757" t="e">
        <f>NA()</f>
        <v>#N/A</v>
      </c>
      <c r="I1757" t="e">
        <f>NA()</f>
        <v>#N/A</v>
      </c>
      <c r="J1757" t="e">
        <f>NA()</f>
        <v>#N/A</v>
      </c>
      <c r="K1757" t="e">
        <f>NA()</f>
        <v>#N/A</v>
      </c>
      <c r="L1757" t="e">
        <f>NA()</f>
        <v>#N/A</v>
      </c>
      <c r="M1757" t="e">
        <f>NA()</f>
        <v>#N/A</v>
      </c>
      <c r="N1757" t="e">
        <f>NA()</f>
        <v>#N/A</v>
      </c>
      <c r="O1757">
        <f t="shared" si="64"/>
        <v>2.4</v>
      </c>
    </row>
    <row r="1758" spans="1:15" x14ac:dyDescent="0.25">
      <c r="A1758" s="1">
        <v>43465</v>
      </c>
      <c r="B1758" t="e">
        <f>NA()</f>
        <v>#N/A</v>
      </c>
      <c r="C1758" t="e">
        <f>NA()</f>
        <v>#N/A</v>
      </c>
      <c r="D1758">
        <f>0.4</f>
        <v>0.4</v>
      </c>
      <c r="E1758">
        <f>1.4</f>
        <v>1.4</v>
      </c>
      <c r="F1758">
        <f>7489</f>
        <v>7489</v>
      </c>
      <c r="G1758">
        <f>63</f>
        <v>63</v>
      </c>
      <c r="H1758">
        <f>2.8</f>
        <v>2.8</v>
      </c>
      <c r="I1758">
        <f>251.2</f>
        <v>251.2</v>
      </c>
      <c r="J1758">
        <f>1.9</f>
        <v>1.9</v>
      </c>
      <c r="K1758">
        <f>54.9</f>
        <v>54.9</v>
      </c>
      <c r="L1758">
        <f>0</f>
        <v>0</v>
      </c>
      <c r="M1758">
        <f>0.6</f>
        <v>0.6</v>
      </c>
      <c r="N1758">
        <f>3.9</f>
        <v>3.9</v>
      </c>
      <c r="O1758">
        <f t="shared" si="64"/>
        <v>2.4</v>
      </c>
    </row>
    <row r="1759" spans="1:15" x14ac:dyDescent="0.25">
      <c r="A1759" s="1">
        <v>43462</v>
      </c>
      <c r="B1759">
        <f>0.7</f>
        <v>0.7</v>
      </c>
      <c r="C1759">
        <f>0</f>
        <v>0</v>
      </c>
      <c r="D1759" t="e">
        <f>NA()</f>
        <v>#N/A</v>
      </c>
      <c r="E1759" t="e">
        <f>NA()</f>
        <v>#N/A</v>
      </c>
      <c r="F1759" t="e">
        <f>NA()</f>
        <v>#N/A</v>
      </c>
      <c r="G1759" t="e">
        <f>NA()</f>
        <v>#N/A</v>
      </c>
      <c r="H1759" t="e">
        <f>NA()</f>
        <v>#N/A</v>
      </c>
      <c r="I1759" t="e">
        <f>NA()</f>
        <v>#N/A</v>
      </c>
      <c r="J1759" t="e">
        <f>NA()</f>
        <v>#N/A</v>
      </c>
      <c r="K1759" t="e">
        <f>NA()</f>
        <v>#N/A</v>
      </c>
      <c r="L1759" t="e">
        <f>NA()</f>
        <v>#N/A</v>
      </c>
      <c r="M1759" t="e">
        <f>NA()</f>
        <v>#N/A</v>
      </c>
      <c r="N1759" t="e">
        <f>NA()</f>
        <v>#N/A</v>
      </c>
      <c r="O1759">
        <f t="shared" si="64"/>
        <v>2.4</v>
      </c>
    </row>
    <row r="1760" spans="1:15" x14ac:dyDescent="0.25">
      <c r="A1760" s="1">
        <v>43461</v>
      </c>
      <c r="B1760" t="e">
        <f>NA()</f>
        <v>#N/A</v>
      </c>
      <c r="C1760" t="e">
        <f>NA()</f>
        <v>#N/A</v>
      </c>
      <c r="D1760" t="e">
        <f>NA()</f>
        <v>#N/A</v>
      </c>
      <c r="E1760" t="e">
        <f>NA()</f>
        <v>#N/A</v>
      </c>
      <c r="F1760" t="e">
        <f>NA()</f>
        <v>#N/A</v>
      </c>
      <c r="G1760" t="e">
        <f>NA()</f>
        <v>#N/A</v>
      </c>
      <c r="H1760" t="e">
        <f>NA()</f>
        <v>#N/A</v>
      </c>
      <c r="I1760" t="e">
        <f>NA()</f>
        <v>#N/A</v>
      </c>
      <c r="J1760" t="e">
        <f>NA()</f>
        <v>#N/A</v>
      </c>
      <c r="K1760" t="e">
        <f>NA()</f>
        <v>#N/A</v>
      </c>
      <c r="L1760" t="e">
        <f>NA()</f>
        <v>#N/A</v>
      </c>
      <c r="M1760" t="e">
        <f>NA()</f>
        <v>#N/A</v>
      </c>
      <c r="N1760" t="e">
        <f>NA()</f>
        <v>#N/A</v>
      </c>
      <c r="O1760">
        <f t="shared" si="64"/>
        <v>2.4</v>
      </c>
    </row>
    <row r="1761" spans="1:15" x14ac:dyDescent="0.25">
      <c r="A1761" s="1">
        <v>43460</v>
      </c>
      <c r="B1761" t="e">
        <f>NA()</f>
        <v>#N/A</v>
      </c>
      <c r="C1761" t="e">
        <f>NA()</f>
        <v>#N/A</v>
      </c>
      <c r="D1761" t="e">
        <f>NA()</f>
        <v>#N/A</v>
      </c>
      <c r="E1761" t="e">
        <f>NA()</f>
        <v>#N/A</v>
      </c>
      <c r="F1761" t="e">
        <f>NA()</f>
        <v>#N/A</v>
      </c>
      <c r="G1761" t="e">
        <f>NA()</f>
        <v>#N/A</v>
      </c>
      <c r="H1761" t="e">
        <f>NA()</f>
        <v>#N/A</v>
      </c>
      <c r="I1761" t="e">
        <f>NA()</f>
        <v>#N/A</v>
      </c>
      <c r="J1761" t="e">
        <f>NA()</f>
        <v>#N/A</v>
      </c>
      <c r="K1761" t="e">
        <f>NA()</f>
        <v>#N/A</v>
      </c>
      <c r="L1761" t="e">
        <f>NA()</f>
        <v>#N/A</v>
      </c>
      <c r="M1761" t="e">
        <f>NA()</f>
        <v>#N/A</v>
      </c>
      <c r="N1761" t="e">
        <f>NA()</f>
        <v>#N/A</v>
      </c>
      <c r="O1761">
        <f t="shared" si="64"/>
        <v>2.4</v>
      </c>
    </row>
    <row r="1762" spans="1:15" x14ac:dyDescent="0.25">
      <c r="A1762" s="1">
        <v>43458</v>
      </c>
      <c r="B1762" t="e">
        <f>NA()</f>
        <v>#N/A</v>
      </c>
      <c r="C1762" t="e">
        <f>NA()</f>
        <v>#N/A</v>
      </c>
      <c r="D1762" t="e">
        <f>NA()</f>
        <v>#N/A</v>
      </c>
      <c r="E1762" t="e">
        <f>NA()</f>
        <v>#N/A</v>
      </c>
      <c r="F1762" t="e">
        <f>NA()</f>
        <v>#N/A</v>
      </c>
      <c r="G1762" t="e">
        <f>NA()</f>
        <v>#N/A</v>
      </c>
      <c r="H1762" t="e">
        <f>NA()</f>
        <v>#N/A</v>
      </c>
      <c r="I1762" t="e">
        <f>NA()</f>
        <v>#N/A</v>
      </c>
      <c r="J1762" t="e">
        <f>NA()</f>
        <v>#N/A</v>
      </c>
      <c r="K1762" t="e">
        <f>NA()</f>
        <v>#N/A</v>
      </c>
      <c r="L1762" t="e">
        <f>NA()</f>
        <v>#N/A</v>
      </c>
      <c r="M1762" t="e">
        <f>NA()</f>
        <v>#N/A</v>
      </c>
      <c r="N1762" t="e">
        <f>NA()</f>
        <v>#N/A</v>
      </c>
      <c r="O1762">
        <f t="shared" si="64"/>
        <v>2.4</v>
      </c>
    </row>
    <row r="1763" spans="1:15" x14ac:dyDescent="0.25">
      <c r="A1763" s="1">
        <v>43455</v>
      </c>
      <c r="B1763">
        <f>0.5</f>
        <v>0.5</v>
      </c>
      <c r="C1763">
        <f>0</f>
        <v>0</v>
      </c>
      <c r="D1763" t="e">
        <f>NA()</f>
        <v>#N/A</v>
      </c>
      <c r="E1763" t="e">
        <f>NA()</f>
        <v>#N/A</v>
      </c>
      <c r="F1763" t="e">
        <f>NA()</f>
        <v>#N/A</v>
      </c>
      <c r="G1763" t="e">
        <f>NA()</f>
        <v>#N/A</v>
      </c>
      <c r="H1763" t="e">
        <f>NA()</f>
        <v>#N/A</v>
      </c>
      <c r="I1763" t="e">
        <f>NA()</f>
        <v>#N/A</v>
      </c>
      <c r="J1763" t="e">
        <f>NA()</f>
        <v>#N/A</v>
      </c>
      <c r="K1763" t="e">
        <f>NA()</f>
        <v>#N/A</v>
      </c>
      <c r="L1763" t="e">
        <f>NA()</f>
        <v>#N/A</v>
      </c>
      <c r="M1763" t="e">
        <f>NA()</f>
        <v>#N/A</v>
      </c>
      <c r="N1763" t="e">
        <f>NA()</f>
        <v>#N/A</v>
      </c>
      <c r="O1763">
        <f t="shared" si="64"/>
        <v>2.4</v>
      </c>
    </row>
    <row r="1764" spans="1:15" x14ac:dyDescent="0.25">
      <c r="A1764" s="1">
        <v>43454</v>
      </c>
      <c r="B1764" t="e">
        <f>NA()</f>
        <v>#N/A</v>
      </c>
      <c r="C1764" t="e">
        <f>NA()</f>
        <v>#N/A</v>
      </c>
      <c r="D1764" t="e">
        <f>NA()</f>
        <v>#N/A</v>
      </c>
      <c r="E1764" t="e">
        <f>NA()</f>
        <v>#N/A</v>
      </c>
      <c r="F1764" t="e">
        <f>NA()</f>
        <v>#N/A</v>
      </c>
      <c r="G1764" t="e">
        <f>NA()</f>
        <v>#N/A</v>
      </c>
      <c r="H1764" t="e">
        <f>NA()</f>
        <v>#N/A</v>
      </c>
      <c r="I1764" t="e">
        <f>NA()</f>
        <v>#N/A</v>
      </c>
      <c r="J1764" t="e">
        <f>NA()</f>
        <v>#N/A</v>
      </c>
      <c r="K1764" t="e">
        <f>NA()</f>
        <v>#N/A</v>
      </c>
      <c r="L1764" t="e">
        <f>NA()</f>
        <v>#N/A</v>
      </c>
      <c r="M1764" t="e">
        <f>NA()</f>
        <v>#N/A</v>
      </c>
      <c r="N1764" t="e">
        <f>NA()</f>
        <v>#N/A</v>
      </c>
      <c r="O1764">
        <f t="shared" si="64"/>
        <v>2.4</v>
      </c>
    </row>
    <row r="1765" spans="1:15" x14ac:dyDescent="0.25">
      <c r="A1765" s="1">
        <v>43453</v>
      </c>
      <c r="B1765" t="e">
        <f>NA()</f>
        <v>#N/A</v>
      </c>
      <c r="C1765" t="e">
        <f>NA()</f>
        <v>#N/A</v>
      </c>
      <c r="D1765" t="e">
        <f>NA()</f>
        <v>#N/A</v>
      </c>
      <c r="E1765" t="e">
        <f>NA()</f>
        <v>#N/A</v>
      </c>
      <c r="F1765" t="e">
        <f>NA()</f>
        <v>#N/A</v>
      </c>
      <c r="G1765" t="e">
        <f>NA()</f>
        <v>#N/A</v>
      </c>
      <c r="H1765" t="e">
        <f>NA()</f>
        <v>#N/A</v>
      </c>
      <c r="I1765" t="e">
        <f>NA()</f>
        <v>#N/A</v>
      </c>
      <c r="J1765" t="e">
        <f>NA()</f>
        <v>#N/A</v>
      </c>
      <c r="K1765" t="e">
        <f>NA()</f>
        <v>#N/A</v>
      </c>
      <c r="L1765" t="e">
        <f>NA()</f>
        <v>#N/A</v>
      </c>
      <c r="M1765" t="e">
        <f>NA()</f>
        <v>#N/A</v>
      </c>
      <c r="N1765" t="e">
        <f>NA()</f>
        <v>#N/A</v>
      </c>
      <c r="O1765">
        <f t="shared" ref="O1765:O1796" si="65">2.2</f>
        <v>2.2000000000000002</v>
      </c>
    </row>
    <row r="1766" spans="1:15" x14ac:dyDescent="0.25">
      <c r="A1766" s="1">
        <v>43452</v>
      </c>
      <c r="B1766" t="e">
        <f>NA()</f>
        <v>#N/A</v>
      </c>
      <c r="C1766" t="e">
        <f>NA()</f>
        <v>#N/A</v>
      </c>
      <c r="D1766" t="e">
        <f>NA()</f>
        <v>#N/A</v>
      </c>
      <c r="E1766" t="e">
        <f>NA()</f>
        <v>#N/A</v>
      </c>
      <c r="F1766" t="e">
        <f>NA()</f>
        <v>#N/A</v>
      </c>
      <c r="G1766" t="e">
        <f>NA()</f>
        <v>#N/A</v>
      </c>
      <c r="H1766" t="e">
        <f>NA()</f>
        <v>#N/A</v>
      </c>
      <c r="I1766" t="e">
        <f>NA()</f>
        <v>#N/A</v>
      </c>
      <c r="J1766" t="e">
        <f>NA()</f>
        <v>#N/A</v>
      </c>
      <c r="K1766" t="e">
        <f>NA()</f>
        <v>#N/A</v>
      </c>
      <c r="L1766" t="e">
        <f>NA()</f>
        <v>#N/A</v>
      </c>
      <c r="M1766" t="e">
        <f>NA()</f>
        <v>#N/A</v>
      </c>
      <c r="N1766" t="e">
        <f>NA()</f>
        <v>#N/A</v>
      </c>
      <c r="O1766">
        <f t="shared" si="65"/>
        <v>2.2000000000000002</v>
      </c>
    </row>
    <row r="1767" spans="1:15" x14ac:dyDescent="0.25">
      <c r="A1767" s="1">
        <v>43451</v>
      </c>
      <c r="B1767" t="e">
        <f>NA()</f>
        <v>#N/A</v>
      </c>
      <c r="C1767" t="e">
        <f>NA()</f>
        <v>#N/A</v>
      </c>
      <c r="D1767" t="e">
        <f>NA()</f>
        <v>#N/A</v>
      </c>
      <c r="E1767" t="e">
        <f>NA()</f>
        <v>#N/A</v>
      </c>
      <c r="F1767" t="e">
        <f>NA()</f>
        <v>#N/A</v>
      </c>
      <c r="G1767" t="e">
        <f>NA()</f>
        <v>#N/A</v>
      </c>
      <c r="H1767" t="e">
        <f>NA()</f>
        <v>#N/A</v>
      </c>
      <c r="I1767" t="e">
        <f>NA()</f>
        <v>#N/A</v>
      </c>
      <c r="J1767" t="e">
        <f>NA()</f>
        <v>#N/A</v>
      </c>
      <c r="K1767" t="e">
        <f>NA()</f>
        <v>#N/A</v>
      </c>
      <c r="L1767" t="e">
        <f>NA()</f>
        <v>#N/A</v>
      </c>
      <c r="M1767" t="e">
        <f>NA()</f>
        <v>#N/A</v>
      </c>
      <c r="N1767" t="e">
        <f>NA()</f>
        <v>#N/A</v>
      </c>
      <c r="O1767">
        <f t="shared" si="65"/>
        <v>2.2000000000000002</v>
      </c>
    </row>
    <row r="1768" spans="1:15" x14ac:dyDescent="0.25">
      <c r="A1768" s="1">
        <v>43448</v>
      </c>
      <c r="B1768">
        <f>0.3</f>
        <v>0.3</v>
      </c>
      <c r="C1768">
        <f>0</f>
        <v>0</v>
      </c>
      <c r="D1768" t="e">
        <f>NA()</f>
        <v>#N/A</v>
      </c>
      <c r="E1768" t="e">
        <f>NA()</f>
        <v>#N/A</v>
      </c>
      <c r="F1768" t="e">
        <f>NA()</f>
        <v>#N/A</v>
      </c>
      <c r="G1768" t="e">
        <f>NA()</f>
        <v>#N/A</v>
      </c>
      <c r="H1768" t="e">
        <f>NA()</f>
        <v>#N/A</v>
      </c>
      <c r="I1768" t="e">
        <f>NA()</f>
        <v>#N/A</v>
      </c>
      <c r="J1768" t="e">
        <f>NA()</f>
        <v>#N/A</v>
      </c>
      <c r="K1768" t="e">
        <f>NA()</f>
        <v>#N/A</v>
      </c>
      <c r="L1768" t="e">
        <f>NA()</f>
        <v>#N/A</v>
      </c>
      <c r="M1768" t="e">
        <f>NA()</f>
        <v>#N/A</v>
      </c>
      <c r="N1768" t="e">
        <f>NA()</f>
        <v>#N/A</v>
      </c>
      <c r="O1768">
        <f t="shared" si="65"/>
        <v>2.2000000000000002</v>
      </c>
    </row>
    <row r="1769" spans="1:15" x14ac:dyDescent="0.25">
      <c r="A1769" s="1">
        <v>43447</v>
      </c>
      <c r="B1769" t="e">
        <f>NA()</f>
        <v>#N/A</v>
      </c>
      <c r="C1769" t="e">
        <f>NA()</f>
        <v>#N/A</v>
      </c>
      <c r="D1769" t="e">
        <f>NA()</f>
        <v>#N/A</v>
      </c>
      <c r="E1769" t="e">
        <f>NA()</f>
        <v>#N/A</v>
      </c>
      <c r="F1769" t="e">
        <f>NA()</f>
        <v>#N/A</v>
      </c>
      <c r="G1769" t="e">
        <f>NA()</f>
        <v>#N/A</v>
      </c>
      <c r="H1769" t="e">
        <f>NA()</f>
        <v>#N/A</v>
      </c>
      <c r="I1769" t="e">
        <f>NA()</f>
        <v>#N/A</v>
      </c>
      <c r="J1769" t="e">
        <f>NA()</f>
        <v>#N/A</v>
      </c>
      <c r="K1769" t="e">
        <f>NA()</f>
        <v>#N/A</v>
      </c>
      <c r="L1769" t="e">
        <f>NA()</f>
        <v>#N/A</v>
      </c>
      <c r="M1769" t="e">
        <f>NA()</f>
        <v>#N/A</v>
      </c>
      <c r="N1769" t="e">
        <f>NA()</f>
        <v>#N/A</v>
      </c>
      <c r="O1769">
        <f t="shared" si="65"/>
        <v>2.2000000000000002</v>
      </c>
    </row>
    <row r="1770" spans="1:15" x14ac:dyDescent="0.25">
      <c r="A1770" s="1">
        <v>43446</v>
      </c>
      <c r="B1770" t="e">
        <f>NA()</f>
        <v>#N/A</v>
      </c>
      <c r="C1770" t="e">
        <f>NA()</f>
        <v>#N/A</v>
      </c>
      <c r="D1770" t="e">
        <f>NA()</f>
        <v>#N/A</v>
      </c>
      <c r="E1770" t="e">
        <f>NA()</f>
        <v>#N/A</v>
      </c>
      <c r="F1770" t="e">
        <f>NA()</f>
        <v>#N/A</v>
      </c>
      <c r="G1770" t="e">
        <f>NA()</f>
        <v>#N/A</v>
      </c>
      <c r="H1770" t="e">
        <f>NA()</f>
        <v>#N/A</v>
      </c>
      <c r="I1770" t="e">
        <f>NA()</f>
        <v>#N/A</v>
      </c>
      <c r="J1770" t="e">
        <f>NA()</f>
        <v>#N/A</v>
      </c>
      <c r="K1770" t="e">
        <f>NA()</f>
        <v>#N/A</v>
      </c>
      <c r="L1770" t="e">
        <f>NA()</f>
        <v>#N/A</v>
      </c>
      <c r="M1770" t="e">
        <f>NA()</f>
        <v>#N/A</v>
      </c>
      <c r="N1770" t="e">
        <f>NA()</f>
        <v>#N/A</v>
      </c>
      <c r="O1770">
        <f t="shared" si="65"/>
        <v>2.2000000000000002</v>
      </c>
    </row>
    <row r="1771" spans="1:15" x14ac:dyDescent="0.25">
      <c r="A1771" s="1">
        <v>43445</v>
      </c>
      <c r="B1771" t="e">
        <f>NA()</f>
        <v>#N/A</v>
      </c>
      <c r="C1771" t="e">
        <f>NA()</f>
        <v>#N/A</v>
      </c>
      <c r="D1771" t="e">
        <f>NA()</f>
        <v>#N/A</v>
      </c>
      <c r="E1771" t="e">
        <f>NA()</f>
        <v>#N/A</v>
      </c>
      <c r="F1771" t="e">
        <f>NA()</f>
        <v>#N/A</v>
      </c>
      <c r="G1771" t="e">
        <f>NA()</f>
        <v>#N/A</v>
      </c>
      <c r="H1771" t="e">
        <f>NA()</f>
        <v>#N/A</v>
      </c>
      <c r="I1771" t="e">
        <f>NA()</f>
        <v>#N/A</v>
      </c>
      <c r="J1771" t="e">
        <f>NA()</f>
        <v>#N/A</v>
      </c>
      <c r="K1771" t="e">
        <f>NA()</f>
        <v>#N/A</v>
      </c>
      <c r="L1771" t="e">
        <f>NA()</f>
        <v>#N/A</v>
      </c>
      <c r="M1771" t="e">
        <f>NA()</f>
        <v>#N/A</v>
      </c>
      <c r="N1771" t="e">
        <f>NA()</f>
        <v>#N/A</v>
      </c>
      <c r="O1771">
        <f t="shared" si="65"/>
        <v>2.2000000000000002</v>
      </c>
    </row>
    <row r="1772" spans="1:15" x14ac:dyDescent="0.25">
      <c r="A1772" s="1">
        <v>43444</v>
      </c>
      <c r="B1772" t="e">
        <f>NA()</f>
        <v>#N/A</v>
      </c>
      <c r="C1772" t="e">
        <f>NA()</f>
        <v>#N/A</v>
      </c>
      <c r="D1772" t="e">
        <f>NA()</f>
        <v>#N/A</v>
      </c>
      <c r="E1772" t="e">
        <f>NA()</f>
        <v>#N/A</v>
      </c>
      <c r="F1772" t="e">
        <f>NA()</f>
        <v>#N/A</v>
      </c>
      <c r="G1772" t="e">
        <f>NA()</f>
        <v>#N/A</v>
      </c>
      <c r="H1772" t="e">
        <f>NA()</f>
        <v>#N/A</v>
      </c>
      <c r="I1772" t="e">
        <f>NA()</f>
        <v>#N/A</v>
      </c>
      <c r="J1772" t="e">
        <f>NA()</f>
        <v>#N/A</v>
      </c>
      <c r="K1772" t="e">
        <f>NA()</f>
        <v>#N/A</v>
      </c>
      <c r="L1772" t="e">
        <f>NA()</f>
        <v>#N/A</v>
      </c>
      <c r="M1772" t="e">
        <f>NA()</f>
        <v>#N/A</v>
      </c>
      <c r="N1772" t="e">
        <f>NA()</f>
        <v>#N/A</v>
      </c>
      <c r="O1772">
        <f t="shared" si="65"/>
        <v>2.2000000000000002</v>
      </c>
    </row>
    <row r="1773" spans="1:15" x14ac:dyDescent="0.25">
      <c r="A1773" s="1">
        <v>43441</v>
      </c>
      <c r="B1773">
        <f>0.2</f>
        <v>0.2</v>
      </c>
      <c r="C1773">
        <f>0</f>
        <v>0</v>
      </c>
      <c r="D1773" t="e">
        <f>NA()</f>
        <v>#N/A</v>
      </c>
      <c r="E1773" t="e">
        <f>NA()</f>
        <v>#N/A</v>
      </c>
      <c r="F1773" t="e">
        <f>NA()</f>
        <v>#N/A</v>
      </c>
      <c r="G1773" t="e">
        <f>NA()</f>
        <v>#N/A</v>
      </c>
      <c r="H1773" t="e">
        <f>NA()</f>
        <v>#N/A</v>
      </c>
      <c r="I1773" t="e">
        <f>NA()</f>
        <v>#N/A</v>
      </c>
      <c r="J1773" t="e">
        <f>NA()</f>
        <v>#N/A</v>
      </c>
      <c r="K1773" t="e">
        <f>NA()</f>
        <v>#N/A</v>
      </c>
      <c r="L1773" t="e">
        <f>NA()</f>
        <v>#N/A</v>
      </c>
      <c r="M1773" t="e">
        <f>NA()</f>
        <v>#N/A</v>
      </c>
      <c r="N1773" t="e">
        <f>NA()</f>
        <v>#N/A</v>
      </c>
      <c r="O1773">
        <f t="shared" si="65"/>
        <v>2.2000000000000002</v>
      </c>
    </row>
    <row r="1774" spans="1:15" x14ac:dyDescent="0.25">
      <c r="A1774" s="1">
        <v>43440</v>
      </c>
      <c r="B1774" t="e">
        <f>NA()</f>
        <v>#N/A</v>
      </c>
      <c r="C1774" t="e">
        <f>NA()</f>
        <v>#N/A</v>
      </c>
      <c r="D1774" t="e">
        <f>NA()</f>
        <v>#N/A</v>
      </c>
      <c r="E1774" t="e">
        <f>NA()</f>
        <v>#N/A</v>
      </c>
      <c r="F1774" t="e">
        <f>NA()</f>
        <v>#N/A</v>
      </c>
      <c r="G1774" t="e">
        <f>NA()</f>
        <v>#N/A</v>
      </c>
      <c r="H1774" t="e">
        <f>NA()</f>
        <v>#N/A</v>
      </c>
      <c r="I1774" t="e">
        <f>NA()</f>
        <v>#N/A</v>
      </c>
      <c r="J1774" t="e">
        <f>NA()</f>
        <v>#N/A</v>
      </c>
      <c r="K1774" t="e">
        <f>NA()</f>
        <v>#N/A</v>
      </c>
      <c r="L1774" t="e">
        <f>NA()</f>
        <v>#N/A</v>
      </c>
      <c r="M1774" t="e">
        <f>NA()</f>
        <v>#N/A</v>
      </c>
      <c r="N1774" t="e">
        <f>NA()</f>
        <v>#N/A</v>
      </c>
      <c r="O1774">
        <f t="shared" si="65"/>
        <v>2.2000000000000002</v>
      </c>
    </row>
    <row r="1775" spans="1:15" x14ac:dyDescent="0.25">
      <c r="A1775" s="1">
        <v>43439</v>
      </c>
      <c r="B1775" t="e">
        <f>NA()</f>
        <v>#N/A</v>
      </c>
      <c r="C1775" t="e">
        <f>NA()</f>
        <v>#N/A</v>
      </c>
      <c r="D1775" t="e">
        <f>NA()</f>
        <v>#N/A</v>
      </c>
      <c r="E1775" t="e">
        <f>NA()</f>
        <v>#N/A</v>
      </c>
      <c r="F1775" t="e">
        <f>NA()</f>
        <v>#N/A</v>
      </c>
      <c r="G1775" t="e">
        <f>NA()</f>
        <v>#N/A</v>
      </c>
      <c r="H1775" t="e">
        <f>NA()</f>
        <v>#N/A</v>
      </c>
      <c r="I1775" t="e">
        <f>NA()</f>
        <v>#N/A</v>
      </c>
      <c r="J1775" t="e">
        <f>NA()</f>
        <v>#N/A</v>
      </c>
      <c r="K1775" t="e">
        <f>NA()</f>
        <v>#N/A</v>
      </c>
      <c r="L1775" t="e">
        <f>NA()</f>
        <v>#N/A</v>
      </c>
      <c r="M1775" t="e">
        <f>NA()</f>
        <v>#N/A</v>
      </c>
      <c r="N1775" t="e">
        <f>NA()</f>
        <v>#N/A</v>
      </c>
      <c r="O1775">
        <f t="shared" si="65"/>
        <v>2.2000000000000002</v>
      </c>
    </row>
    <row r="1776" spans="1:15" x14ac:dyDescent="0.25">
      <c r="A1776" s="1">
        <v>43438</v>
      </c>
      <c r="B1776" t="e">
        <f>NA()</f>
        <v>#N/A</v>
      </c>
      <c r="C1776" t="e">
        <f>NA()</f>
        <v>#N/A</v>
      </c>
      <c r="D1776" t="e">
        <f>NA()</f>
        <v>#N/A</v>
      </c>
      <c r="E1776" t="e">
        <f>NA()</f>
        <v>#N/A</v>
      </c>
      <c r="F1776" t="e">
        <f>NA()</f>
        <v>#N/A</v>
      </c>
      <c r="G1776" t="e">
        <f>NA()</f>
        <v>#N/A</v>
      </c>
      <c r="H1776" t="e">
        <f>NA()</f>
        <v>#N/A</v>
      </c>
      <c r="I1776" t="e">
        <f>NA()</f>
        <v>#N/A</v>
      </c>
      <c r="J1776" t="e">
        <f>NA()</f>
        <v>#N/A</v>
      </c>
      <c r="K1776" t="e">
        <f>NA()</f>
        <v>#N/A</v>
      </c>
      <c r="L1776" t="e">
        <f>NA()</f>
        <v>#N/A</v>
      </c>
      <c r="M1776" t="e">
        <f>NA()</f>
        <v>#N/A</v>
      </c>
      <c r="N1776" t="e">
        <f>NA()</f>
        <v>#N/A</v>
      </c>
      <c r="O1776">
        <f t="shared" si="65"/>
        <v>2.2000000000000002</v>
      </c>
    </row>
    <row r="1777" spans="1:15" x14ac:dyDescent="0.25">
      <c r="A1777" s="1">
        <v>43437</v>
      </c>
      <c r="B1777" t="e">
        <f>NA()</f>
        <v>#N/A</v>
      </c>
      <c r="C1777" t="e">
        <f>NA()</f>
        <v>#N/A</v>
      </c>
      <c r="D1777" t="e">
        <f>NA()</f>
        <v>#N/A</v>
      </c>
      <c r="E1777" t="e">
        <f>NA()</f>
        <v>#N/A</v>
      </c>
      <c r="F1777" t="e">
        <f>NA()</f>
        <v>#N/A</v>
      </c>
      <c r="G1777" t="e">
        <f>NA()</f>
        <v>#N/A</v>
      </c>
      <c r="H1777" t="e">
        <f>NA()</f>
        <v>#N/A</v>
      </c>
      <c r="I1777" t="e">
        <f>NA()</f>
        <v>#N/A</v>
      </c>
      <c r="J1777" t="e">
        <f>NA()</f>
        <v>#N/A</v>
      </c>
      <c r="K1777" t="e">
        <f>NA()</f>
        <v>#N/A</v>
      </c>
      <c r="L1777" t="e">
        <f>NA()</f>
        <v>#N/A</v>
      </c>
      <c r="M1777" t="e">
        <f>NA()</f>
        <v>#N/A</v>
      </c>
      <c r="N1777" t="e">
        <f>NA()</f>
        <v>#N/A</v>
      </c>
      <c r="O1777">
        <f t="shared" si="65"/>
        <v>2.2000000000000002</v>
      </c>
    </row>
    <row r="1778" spans="1:15" x14ac:dyDescent="0.25">
      <c r="A1778" s="1">
        <v>43434</v>
      </c>
      <c r="B1778">
        <f>-0.2</f>
        <v>-0.2</v>
      </c>
      <c r="C1778">
        <f>0</f>
        <v>0</v>
      </c>
      <c r="D1778">
        <f>0.3</f>
        <v>0.3</v>
      </c>
      <c r="E1778">
        <f>1.2</f>
        <v>1.2</v>
      </c>
      <c r="F1778">
        <f>7594</f>
        <v>7594</v>
      </c>
      <c r="G1778">
        <f>62.9</f>
        <v>62.9</v>
      </c>
      <c r="H1778">
        <f>4.6</f>
        <v>4.5999999999999996</v>
      </c>
      <c r="I1778">
        <f>252</f>
        <v>252</v>
      </c>
      <c r="J1778">
        <f>2.2</f>
        <v>2.2000000000000002</v>
      </c>
      <c r="K1778">
        <f>58.6</f>
        <v>58.6</v>
      </c>
      <c r="L1778">
        <f>0.1</f>
        <v>0.1</v>
      </c>
      <c r="M1778" t="e">
        <f>NA()</f>
        <v>#N/A</v>
      </c>
      <c r="N1778">
        <f>3.8</f>
        <v>3.8</v>
      </c>
      <c r="O1778">
        <f t="shared" si="65"/>
        <v>2.2000000000000002</v>
      </c>
    </row>
    <row r="1779" spans="1:15" x14ac:dyDescent="0.25">
      <c r="A1779" s="1">
        <v>43433</v>
      </c>
      <c r="B1779" t="e">
        <f>NA()</f>
        <v>#N/A</v>
      </c>
      <c r="C1779" t="e">
        <f>NA()</f>
        <v>#N/A</v>
      </c>
      <c r="D1779" t="e">
        <f>NA()</f>
        <v>#N/A</v>
      </c>
      <c r="E1779" t="e">
        <f>NA()</f>
        <v>#N/A</v>
      </c>
      <c r="F1779" t="e">
        <f>NA()</f>
        <v>#N/A</v>
      </c>
      <c r="G1779" t="e">
        <f>NA()</f>
        <v>#N/A</v>
      </c>
      <c r="H1779" t="e">
        <f>NA()</f>
        <v>#N/A</v>
      </c>
      <c r="I1779" t="e">
        <f>NA()</f>
        <v>#N/A</v>
      </c>
      <c r="J1779" t="e">
        <f>NA()</f>
        <v>#N/A</v>
      </c>
      <c r="K1779" t="e">
        <f>NA()</f>
        <v>#N/A</v>
      </c>
      <c r="L1779" t="e">
        <f>NA()</f>
        <v>#N/A</v>
      </c>
      <c r="M1779" t="e">
        <f>NA()</f>
        <v>#N/A</v>
      </c>
      <c r="N1779" t="e">
        <f>NA()</f>
        <v>#N/A</v>
      </c>
      <c r="O1779">
        <f t="shared" si="65"/>
        <v>2.2000000000000002</v>
      </c>
    </row>
    <row r="1780" spans="1:15" x14ac:dyDescent="0.25">
      <c r="A1780" s="1">
        <v>43432</v>
      </c>
      <c r="B1780" t="e">
        <f>NA()</f>
        <v>#N/A</v>
      </c>
      <c r="C1780" t="e">
        <f>NA()</f>
        <v>#N/A</v>
      </c>
      <c r="D1780" t="e">
        <f>NA()</f>
        <v>#N/A</v>
      </c>
      <c r="E1780" t="e">
        <f>NA()</f>
        <v>#N/A</v>
      </c>
      <c r="F1780" t="e">
        <f>NA()</f>
        <v>#N/A</v>
      </c>
      <c r="G1780" t="e">
        <f>NA()</f>
        <v>#N/A</v>
      </c>
      <c r="H1780" t="e">
        <f>NA()</f>
        <v>#N/A</v>
      </c>
      <c r="I1780" t="e">
        <f>NA()</f>
        <v>#N/A</v>
      </c>
      <c r="J1780" t="e">
        <f>NA()</f>
        <v>#N/A</v>
      </c>
      <c r="K1780" t="e">
        <f>NA()</f>
        <v>#N/A</v>
      </c>
      <c r="L1780" t="e">
        <f>NA()</f>
        <v>#N/A</v>
      </c>
      <c r="M1780" t="e">
        <f>NA()</f>
        <v>#N/A</v>
      </c>
      <c r="N1780" t="e">
        <f>NA()</f>
        <v>#N/A</v>
      </c>
      <c r="O1780">
        <f t="shared" si="65"/>
        <v>2.2000000000000002</v>
      </c>
    </row>
    <row r="1781" spans="1:15" x14ac:dyDescent="0.25">
      <c r="A1781" s="1">
        <v>43431</v>
      </c>
      <c r="B1781" t="e">
        <f>NA()</f>
        <v>#N/A</v>
      </c>
      <c r="C1781" t="e">
        <f>NA()</f>
        <v>#N/A</v>
      </c>
      <c r="D1781" t="e">
        <f>NA()</f>
        <v>#N/A</v>
      </c>
      <c r="E1781" t="e">
        <f>NA()</f>
        <v>#N/A</v>
      </c>
      <c r="F1781" t="e">
        <f>NA()</f>
        <v>#N/A</v>
      </c>
      <c r="G1781" t="e">
        <f>NA()</f>
        <v>#N/A</v>
      </c>
      <c r="H1781" t="e">
        <f>NA()</f>
        <v>#N/A</v>
      </c>
      <c r="I1781" t="e">
        <f>NA()</f>
        <v>#N/A</v>
      </c>
      <c r="J1781" t="e">
        <f>NA()</f>
        <v>#N/A</v>
      </c>
      <c r="K1781" t="e">
        <f>NA()</f>
        <v>#N/A</v>
      </c>
      <c r="L1781" t="e">
        <f>NA()</f>
        <v>#N/A</v>
      </c>
      <c r="M1781" t="e">
        <f>NA()</f>
        <v>#N/A</v>
      </c>
      <c r="N1781" t="e">
        <f>NA()</f>
        <v>#N/A</v>
      </c>
      <c r="O1781">
        <f t="shared" si="65"/>
        <v>2.2000000000000002</v>
      </c>
    </row>
    <row r="1782" spans="1:15" x14ac:dyDescent="0.25">
      <c r="A1782" s="1">
        <v>43430</v>
      </c>
      <c r="B1782" t="e">
        <f>NA()</f>
        <v>#N/A</v>
      </c>
      <c r="C1782" t="e">
        <f>NA()</f>
        <v>#N/A</v>
      </c>
      <c r="D1782" t="e">
        <f>NA()</f>
        <v>#N/A</v>
      </c>
      <c r="E1782" t="e">
        <f>NA()</f>
        <v>#N/A</v>
      </c>
      <c r="F1782" t="e">
        <f>NA()</f>
        <v>#N/A</v>
      </c>
      <c r="G1782" t="e">
        <f>NA()</f>
        <v>#N/A</v>
      </c>
      <c r="H1782" t="e">
        <f>NA()</f>
        <v>#N/A</v>
      </c>
      <c r="I1782" t="e">
        <f>NA()</f>
        <v>#N/A</v>
      </c>
      <c r="J1782" t="e">
        <f>NA()</f>
        <v>#N/A</v>
      </c>
      <c r="K1782" t="e">
        <f>NA()</f>
        <v>#N/A</v>
      </c>
      <c r="L1782" t="e">
        <f>NA()</f>
        <v>#N/A</v>
      </c>
      <c r="M1782" t="e">
        <f>NA()</f>
        <v>#N/A</v>
      </c>
      <c r="N1782" t="e">
        <f>NA()</f>
        <v>#N/A</v>
      </c>
      <c r="O1782">
        <f t="shared" si="65"/>
        <v>2.2000000000000002</v>
      </c>
    </row>
    <row r="1783" spans="1:15" x14ac:dyDescent="0.25">
      <c r="A1783" s="1">
        <v>43427</v>
      </c>
      <c r="B1783">
        <f>0</f>
        <v>0</v>
      </c>
      <c r="C1783">
        <f>0</f>
        <v>0</v>
      </c>
      <c r="D1783" t="e">
        <f>NA()</f>
        <v>#N/A</v>
      </c>
      <c r="E1783" t="e">
        <f>NA()</f>
        <v>#N/A</v>
      </c>
      <c r="F1783" t="e">
        <f>NA()</f>
        <v>#N/A</v>
      </c>
      <c r="G1783" t="e">
        <f>NA()</f>
        <v>#N/A</v>
      </c>
      <c r="H1783" t="e">
        <f>NA()</f>
        <v>#N/A</v>
      </c>
      <c r="I1783" t="e">
        <f>NA()</f>
        <v>#N/A</v>
      </c>
      <c r="J1783" t="e">
        <f>NA()</f>
        <v>#N/A</v>
      </c>
      <c r="K1783" t="e">
        <f>NA()</f>
        <v>#N/A</v>
      </c>
      <c r="L1783" t="e">
        <f>NA()</f>
        <v>#N/A</v>
      </c>
      <c r="M1783" t="e">
        <f>NA()</f>
        <v>#N/A</v>
      </c>
      <c r="N1783" t="e">
        <f>NA()</f>
        <v>#N/A</v>
      </c>
      <c r="O1783">
        <f t="shared" si="65"/>
        <v>2.2000000000000002</v>
      </c>
    </row>
    <row r="1784" spans="1:15" x14ac:dyDescent="0.25">
      <c r="A1784" s="1">
        <v>43425</v>
      </c>
      <c r="B1784" t="e">
        <f>NA()</f>
        <v>#N/A</v>
      </c>
      <c r="C1784" t="e">
        <f>NA()</f>
        <v>#N/A</v>
      </c>
      <c r="D1784" t="e">
        <f>NA()</f>
        <v>#N/A</v>
      </c>
      <c r="E1784" t="e">
        <f>NA()</f>
        <v>#N/A</v>
      </c>
      <c r="F1784" t="e">
        <f>NA()</f>
        <v>#N/A</v>
      </c>
      <c r="G1784" t="e">
        <f>NA()</f>
        <v>#N/A</v>
      </c>
      <c r="H1784" t="e">
        <f>NA()</f>
        <v>#N/A</v>
      </c>
      <c r="I1784" t="e">
        <f>NA()</f>
        <v>#N/A</v>
      </c>
      <c r="J1784" t="e">
        <f>NA()</f>
        <v>#N/A</v>
      </c>
      <c r="K1784" t="e">
        <f>NA()</f>
        <v>#N/A</v>
      </c>
      <c r="L1784" t="e">
        <f>NA()</f>
        <v>#N/A</v>
      </c>
      <c r="M1784" t="e">
        <f>NA()</f>
        <v>#N/A</v>
      </c>
      <c r="N1784" t="e">
        <f>NA()</f>
        <v>#N/A</v>
      </c>
      <c r="O1784">
        <f t="shared" si="65"/>
        <v>2.2000000000000002</v>
      </c>
    </row>
    <row r="1785" spans="1:15" x14ac:dyDescent="0.25">
      <c r="A1785" s="1">
        <v>43424</v>
      </c>
      <c r="B1785" t="e">
        <f>NA()</f>
        <v>#N/A</v>
      </c>
      <c r="C1785" t="e">
        <f>NA()</f>
        <v>#N/A</v>
      </c>
      <c r="D1785" t="e">
        <f>NA()</f>
        <v>#N/A</v>
      </c>
      <c r="E1785" t="e">
        <f>NA()</f>
        <v>#N/A</v>
      </c>
      <c r="F1785" t="e">
        <f>NA()</f>
        <v>#N/A</v>
      </c>
      <c r="G1785" t="e">
        <f>NA()</f>
        <v>#N/A</v>
      </c>
      <c r="H1785" t="e">
        <f>NA()</f>
        <v>#N/A</v>
      </c>
      <c r="I1785" t="e">
        <f>NA()</f>
        <v>#N/A</v>
      </c>
      <c r="J1785" t="e">
        <f>NA()</f>
        <v>#N/A</v>
      </c>
      <c r="K1785" t="e">
        <f>NA()</f>
        <v>#N/A</v>
      </c>
      <c r="L1785" t="e">
        <f>NA()</f>
        <v>#N/A</v>
      </c>
      <c r="M1785" t="e">
        <f>NA()</f>
        <v>#N/A</v>
      </c>
      <c r="N1785" t="e">
        <f>NA()</f>
        <v>#N/A</v>
      </c>
      <c r="O1785">
        <f t="shared" si="65"/>
        <v>2.2000000000000002</v>
      </c>
    </row>
    <row r="1786" spans="1:15" x14ac:dyDescent="0.25">
      <c r="A1786" s="1">
        <v>43423</v>
      </c>
      <c r="B1786" t="e">
        <f>NA()</f>
        <v>#N/A</v>
      </c>
      <c r="C1786" t="e">
        <f>NA()</f>
        <v>#N/A</v>
      </c>
      <c r="D1786" t="e">
        <f>NA()</f>
        <v>#N/A</v>
      </c>
      <c r="E1786" t="e">
        <f>NA()</f>
        <v>#N/A</v>
      </c>
      <c r="F1786" t="e">
        <f>NA()</f>
        <v>#N/A</v>
      </c>
      <c r="G1786" t="e">
        <f>NA()</f>
        <v>#N/A</v>
      </c>
      <c r="H1786" t="e">
        <f>NA()</f>
        <v>#N/A</v>
      </c>
      <c r="I1786" t="e">
        <f>NA()</f>
        <v>#N/A</v>
      </c>
      <c r="J1786" t="e">
        <f>NA()</f>
        <v>#N/A</v>
      </c>
      <c r="K1786" t="e">
        <f>NA()</f>
        <v>#N/A</v>
      </c>
      <c r="L1786" t="e">
        <f>NA()</f>
        <v>#N/A</v>
      </c>
      <c r="M1786" t="e">
        <f>NA()</f>
        <v>#N/A</v>
      </c>
      <c r="N1786" t="e">
        <f>NA()</f>
        <v>#N/A</v>
      </c>
      <c r="O1786">
        <f t="shared" si="65"/>
        <v>2.2000000000000002</v>
      </c>
    </row>
    <row r="1787" spans="1:15" x14ac:dyDescent="0.25">
      <c r="A1787" s="1">
        <v>43420</v>
      </c>
      <c r="B1787">
        <f>0</f>
        <v>0</v>
      </c>
      <c r="C1787">
        <f>0</f>
        <v>0</v>
      </c>
      <c r="D1787" t="e">
        <f>NA()</f>
        <v>#N/A</v>
      </c>
      <c r="E1787" t="e">
        <f>NA()</f>
        <v>#N/A</v>
      </c>
      <c r="F1787" t="e">
        <f>NA()</f>
        <v>#N/A</v>
      </c>
      <c r="G1787" t="e">
        <f>NA()</f>
        <v>#N/A</v>
      </c>
      <c r="H1787" t="e">
        <f>NA()</f>
        <v>#N/A</v>
      </c>
      <c r="I1787" t="e">
        <f>NA()</f>
        <v>#N/A</v>
      </c>
      <c r="J1787" t="e">
        <f>NA()</f>
        <v>#N/A</v>
      </c>
      <c r="K1787" t="e">
        <f>NA()</f>
        <v>#N/A</v>
      </c>
      <c r="L1787" t="e">
        <f>NA()</f>
        <v>#N/A</v>
      </c>
      <c r="M1787" t="e">
        <f>NA()</f>
        <v>#N/A</v>
      </c>
      <c r="N1787" t="e">
        <f>NA()</f>
        <v>#N/A</v>
      </c>
      <c r="O1787">
        <f t="shared" si="65"/>
        <v>2.2000000000000002</v>
      </c>
    </row>
    <row r="1788" spans="1:15" x14ac:dyDescent="0.25">
      <c r="A1788" s="1">
        <v>43419</v>
      </c>
      <c r="B1788" t="e">
        <f>NA()</f>
        <v>#N/A</v>
      </c>
      <c r="C1788" t="e">
        <f>NA()</f>
        <v>#N/A</v>
      </c>
      <c r="D1788" t="e">
        <f>NA()</f>
        <v>#N/A</v>
      </c>
      <c r="E1788" t="e">
        <f>NA()</f>
        <v>#N/A</v>
      </c>
      <c r="F1788" t="e">
        <f>NA()</f>
        <v>#N/A</v>
      </c>
      <c r="G1788" t="e">
        <f>NA()</f>
        <v>#N/A</v>
      </c>
      <c r="H1788" t="e">
        <f>NA()</f>
        <v>#N/A</v>
      </c>
      <c r="I1788" t="e">
        <f>NA()</f>
        <v>#N/A</v>
      </c>
      <c r="J1788" t="e">
        <f>NA()</f>
        <v>#N/A</v>
      </c>
      <c r="K1788" t="e">
        <f>NA()</f>
        <v>#N/A</v>
      </c>
      <c r="L1788" t="e">
        <f>NA()</f>
        <v>#N/A</v>
      </c>
      <c r="M1788" t="e">
        <f>NA()</f>
        <v>#N/A</v>
      </c>
      <c r="N1788" t="e">
        <f>NA()</f>
        <v>#N/A</v>
      </c>
      <c r="O1788">
        <f t="shared" si="65"/>
        <v>2.2000000000000002</v>
      </c>
    </row>
    <row r="1789" spans="1:15" x14ac:dyDescent="0.25">
      <c r="A1789" s="1">
        <v>43418</v>
      </c>
      <c r="B1789" t="e">
        <f>NA()</f>
        <v>#N/A</v>
      </c>
      <c r="C1789" t="e">
        <f>NA()</f>
        <v>#N/A</v>
      </c>
      <c r="D1789" t="e">
        <f>NA()</f>
        <v>#N/A</v>
      </c>
      <c r="E1789" t="e">
        <f>NA()</f>
        <v>#N/A</v>
      </c>
      <c r="F1789" t="e">
        <f>NA()</f>
        <v>#N/A</v>
      </c>
      <c r="G1789" t="e">
        <f>NA()</f>
        <v>#N/A</v>
      </c>
      <c r="H1789" t="e">
        <f>NA()</f>
        <v>#N/A</v>
      </c>
      <c r="I1789" t="e">
        <f>NA()</f>
        <v>#N/A</v>
      </c>
      <c r="J1789" t="e">
        <f>NA()</f>
        <v>#N/A</v>
      </c>
      <c r="K1789" t="e">
        <f>NA()</f>
        <v>#N/A</v>
      </c>
      <c r="L1789" t="e">
        <f>NA()</f>
        <v>#N/A</v>
      </c>
      <c r="M1789" t="e">
        <f>NA()</f>
        <v>#N/A</v>
      </c>
      <c r="N1789" t="e">
        <f>NA()</f>
        <v>#N/A</v>
      </c>
      <c r="O1789">
        <f t="shared" si="65"/>
        <v>2.2000000000000002</v>
      </c>
    </row>
    <row r="1790" spans="1:15" x14ac:dyDescent="0.25">
      <c r="A1790" s="1">
        <v>43417</v>
      </c>
      <c r="B1790" t="e">
        <f>NA()</f>
        <v>#N/A</v>
      </c>
      <c r="C1790" t="e">
        <f>NA()</f>
        <v>#N/A</v>
      </c>
      <c r="D1790" t="e">
        <f>NA()</f>
        <v>#N/A</v>
      </c>
      <c r="E1790" t="e">
        <f>NA()</f>
        <v>#N/A</v>
      </c>
      <c r="F1790" t="e">
        <f>NA()</f>
        <v>#N/A</v>
      </c>
      <c r="G1790" t="e">
        <f>NA()</f>
        <v>#N/A</v>
      </c>
      <c r="H1790" t="e">
        <f>NA()</f>
        <v>#N/A</v>
      </c>
      <c r="I1790" t="e">
        <f>NA()</f>
        <v>#N/A</v>
      </c>
      <c r="J1790" t="e">
        <f>NA()</f>
        <v>#N/A</v>
      </c>
      <c r="K1790" t="e">
        <f>NA()</f>
        <v>#N/A</v>
      </c>
      <c r="L1790" t="e">
        <f>NA()</f>
        <v>#N/A</v>
      </c>
      <c r="M1790" t="e">
        <f>NA()</f>
        <v>#N/A</v>
      </c>
      <c r="N1790" t="e">
        <f>NA()</f>
        <v>#N/A</v>
      </c>
      <c r="O1790">
        <f t="shared" si="65"/>
        <v>2.2000000000000002</v>
      </c>
    </row>
    <row r="1791" spans="1:15" x14ac:dyDescent="0.25">
      <c r="A1791" s="1">
        <v>43413</v>
      </c>
      <c r="B1791">
        <f>-0.5</f>
        <v>-0.5</v>
      </c>
      <c r="C1791">
        <f>0</f>
        <v>0</v>
      </c>
      <c r="D1791" t="e">
        <f>NA()</f>
        <v>#N/A</v>
      </c>
      <c r="E1791" t="e">
        <f>NA()</f>
        <v>#N/A</v>
      </c>
      <c r="F1791" t="e">
        <f>NA()</f>
        <v>#N/A</v>
      </c>
      <c r="G1791" t="e">
        <f>NA()</f>
        <v>#N/A</v>
      </c>
      <c r="H1791" t="e">
        <f>NA()</f>
        <v>#N/A</v>
      </c>
      <c r="I1791" t="e">
        <f>NA()</f>
        <v>#N/A</v>
      </c>
      <c r="J1791" t="e">
        <f>NA()</f>
        <v>#N/A</v>
      </c>
      <c r="K1791" t="e">
        <f>NA()</f>
        <v>#N/A</v>
      </c>
      <c r="L1791" t="e">
        <f>NA()</f>
        <v>#N/A</v>
      </c>
      <c r="M1791" t="e">
        <f>NA()</f>
        <v>#N/A</v>
      </c>
      <c r="N1791" t="e">
        <f>NA()</f>
        <v>#N/A</v>
      </c>
      <c r="O1791">
        <f t="shared" si="65"/>
        <v>2.2000000000000002</v>
      </c>
    </row>
    <row r="1792" spans="1:15" x14ac:dyDescent="0.25">
      <c r="A1792" s="1">
        <v>43412</v>
      </c>
      <c r="B1792" t="e">
        <f>NA()</f>
        <v>#N/A</v>
      </c>
      <c r="C1792" t="e">
        <f>NA()</f>
        <v>#N/A</v>
      </c>
      <c r="D1792" t="e">
        <f>NA()</f>
        <v>#N/A</v>
      </c>
      <c r="E1792" t="e">
        <f>NA()</f>
        <v>#N/A</v>
      </c>
      <c r="F1792" t="e">
        <f>NA()</f>
        <v>#N/A</v>
      </c>
      <c r="G1792" t="e">
        <f>NA()</f>
        <v>#N/A</v>
      </c>
      <c r="H1792" t="e">
        <f>NA()</f>
        <v>#N/A</v>
      </c>
      <c r="I1792" t="e">
        <f>NA()</f>
        <v>#N/A</v>
      </c>
      <c r="J1792" t="e">
        <f>NA()</f>
        <v>#N/A</v>
      </c>
      <c r="K1792" t="e">
        <f>NA()</f>
        <v>#N/A</v>
      </c>
      <c r="L1792" t="e">
        <f>NA()</f>
        <v>#N/A</v>
      </c>
      <c r="M1792" t="e">
        <f>NA()</f>
        <v>#N/A</v>
      </c>
      <c r="N1792" t="e">
        <f>NA()</f>
        <v>#N/A</v>
      </c>
      <c r="O1792">
        <f t="shared" si="65"/>
        <v>2.2000000000000002</v>
      </c>
    </row>
    <row r="1793" spans="1:15" x14ac:dyDescent="0.25">
      <c r="A1793" s="1">
        <v>43411</v>
      </c>
      <c r="B1793" t="e">
        <f>NA()</f>
        <v>#N/A</v>
      </c>
      <c r="C1793" t="e">
        <f>NA()</f>
        <v>#N/A</v>
      </c>
      <c r="D1793" t="e">
        <f>NA()</f>
        <v>#N/A</v>
      </c>
      <c r="E1793" t="e">
        <f>NA()</f>
        <v>#N/A</v>
      </c>
      <c r="F1793" t="e">
        <f>NA()</f>
        <v>#N/A</v>
      </c>
      <c r="G1793" t="e">
        <f>NA()</f>
        <v>#N/A</v>
      </c>
      <c r="H1793" t="e">
        <f>NA()</f>
        <v>#N/A</v>
      </c>
      <c r="I1793" t="e">
        <f>NA()</f>
        <v>#N/A</v>
      </c>
      <c r="J1793" t="e">
        <f>NA()</f>
        <v>#N/A</v>
      </c>
      <c r="K1793" t="e">
        <f>NA()</f>
        <v>#N/A</v>
      </c>
      <c r="L1793" t="e">
        <f>NA()</f>
        <v>#N/A</v>
      </c>
      <c r="M1793" t="e">
        <f>NA()</f>
        <v>#N/A</v>
      </c>
      <c r="N1793" t="e">
        <f>NA()</f>
        <v>#N/A</v>
      </c>
      <c r="O1793">
        <f t="shared" si="65"/>
        <v>2.2000000000000002</v>
      </c>
    </row>
    <row r="1794" spans="1:15" x14ac:dyDescent="0.25">
      <c r="A1794" s="1">
        <v>43410</v>
      </c>
      <c r="B1794" t="e">
        <f>NA()</f>
        <v>#N/A</v>
      </c>
      <c r="C1794" t="e">
        <f>NA()</f>
        <v>#N/A</v>
      </c>
      <c r="D1794" t="e">
        <f>NA()</f>
        <v>#N/A</v>
      </c>
      <c r="E1794" t="e">
        <f>NA()</f>
        <v>#N/A</v>
      </c>
      <c r="F1794" t="e">
        <f>NA()</f>
        <v>#N/A</v>
      </c>
      <c r="G1794" t="e">
        <f>NA()</f>
        <v>#N/A</v>
      </c>
      <c r="H1794" t="e">
        <f>NA()</f>
        <v>#N/A</v>
      </c>
      <c r="I1794" t="e">
        <f>NA()</f>
        <v>#N/A</v>
      </c>
      <c r="J1794" t="e">
        <f>NA()</f>
        <v>#N/A</v>
      </c>
      <c r="K1794" t="e">
        <f>NA()</f>
        <v>#N/A</v>
      </c>
      <c r="L1794" t="e">
        <f>NA()</f>
        <v>#N/A</v>
      </c>
      <c r="M1794" t="e">
        <f>NA()</f>
        <v>#N/A</v>
      </c>
      <c r="N1794" t="e">
        <f>NA()</f>
        <v>#N/A</v>
      </c>
      <c r="O1794">
        <f t="shared" si="65"/>
        <v>2.2000000000000002</v>
      </c>
    </row>
    <row r="1795" spans="1:15" x14ac:dyDescent="0.25">
      <c r="A1795" s="1">
        <v>43409</v>
      </c>
      <c r="B1795" t="e">
        <f>NA()</f>
        <v>#N/A</v>
      </c>
      <c r="C1795" t="e">
        <f>NA()</f>
        <v>#N/A</v>
      </c>
      <c r="D1795" t="e">
        <f>NA()</f>
        <v>#N/A</v>
      </c>
      <c r="E1795" t="e">
        <f>NA()</f>
        <v>#N/A</v>
      </c>
      <c r="F1795" t="e">
        <f>NA()</f>
        <v>#N/A</v>
      </c>
      <c r="G1795" t="e">
        <f>NA()</f>
        <v>#N/A</v>
      </c>
      <c r="H1795" t="e">
        <f>NA()</f>
        <v>#N/A</v>
      </c>
      <c r="I1795" t="e">
        <f>NA()</f>
        <v>#N/A</v>
      </c>
      <c r="J1795" t="e">
        <f>NA()</f>
        <v>#N/A</v>
      </c>
      <c r="K1795" t="e">
        <f>NA()</f>
        <v>#N/A</v>
      </c>
      <c r="L1795" t="e">
        <f>NA()</f>
        <v>#N/A</v>
      </c>
      <c r="M1795" t="e">
        <f>NA()</f>
        <v>#N/A</v>
      </c>
      <c r="N1795" t="e">
        <f>NA()</f>
        <v>#N/A</v>
      </c>
      <c r="O1795">
        <f t="shared" si="65"/>
        <v>2.2000000000000002</v>
      </c>
    </row>
    <row r="1796" spans="1:15" x14ac:dyDescent="0.25">
      <c r="A1796" s="1">
        <v>43406</v>
      </c>
      <c r="B1796">
        <f>-0.2</f>
        <v>-0.2</v>
      </c>
      <c r="C1796">
        <f>0</f>
        <v>0</v>
      </c>
      <c r="D1796" t="e">
        <f>NA()</f>
        <v>#N/A</v>
      </c>
      <c r="E1796" t="e">
        <f>NA()</f>
        <v>#N/A</v>
      </c>
      <c r="F1796" t="e">
        <f>NA()</f>
        <v>#N/A</v>
      </c>
      <c r="G1796" t="e">
        <f>NA()</f>
        <v>#N/A</v>
      </c>
      <c r="H1796" t="e">
        <f>NA()</f>
        <v>#N/A</v>
      </c>
      <c r="I1796" t="e">
        <f>NA()</f>
        <v>#N/A</v>
      </c>
      <c r="J1796" t="e">
        <f>NA()</f>
        <v>#N/A</v>
      </c>
      <c r="K1796" t="e">
        <f>NA()</f>
        <v>#N/A</v>
      </c>
      <c r="L1796" t="e">
        <f>NA()</f>
        <v>#N/A</v>
      </c>
      <c r="M1796" t="e">
        <f>NA()</f>
        <v>#N/A</v>
      </c>
      <c r="N1796" t="e">
        <f>NA()</f>
        <v>#N/A</v>
      </c>
      <c r="O1796">
        <f t="shared" si="65"/>
        <v>2.2000000000000002</v>
      </c>
    </row>
    <row r="1797" spans="1:15" x14ac:dyDescent="0.25">
      <c r="A1797" s="1">
        <v>43405</v>
      </c>
      <c r="B1797" t="e">
        <f>NA()</f>
        <v>#N/A</v>
      </c>
      <c r="C1797" t="e">
        <f>NA()</f>
        <v>#N/A</v>
      </c>
      <c r="D1797" t="e">
        <f>NA()</f>
        <v>#N/A</v>
      </c>
      <c r="E1797" t="e">
        <f>NA()</f>
        <v>#N/A</v>
      </c>
      <c r="F1797" t="e">
        <f>NA()</f>
        <v>#N/A</v>
      </c>
      <c r="G1797" t="e">
        <f>NA()</f>
        <v>#N/A</v>
      </c>
      <c r="H1797" t="e">
        <f>NA()</f>
        <v>#N/A</v>
      </c>
      <c r="I1797" t="e">
        <f>NA()</f>
        <v>#N/A</v>
      </c>
      <c r="J1797" t="e">
        <f>NA()</f>
        <v>#N/A</v>
      </c>
      <c r="K1797" t="e">
        <f>NA()</f>
        <v>#N/A</v>
      </c>
      <c r="L1797" t="e">
        <f>NA()</f>
        <v>#N/A</v>
      </c>
      <c r="M1797" t="e">
        <f>NA()</f>
        <v>#N/A</v>
      </c>
      <c r="N1797" t="e">
        <f>NA()</f>
        <v>#N/A</v>
      </c>
      <c r="O1797">
        <f t="shared" ref="O1797:O1819" si="66">2.2</f>
        <v>2.2000000000000002</v>
      </c>
    </row>
    <row r="1798" spans="1:15" x14ac:dyDescent="0.25">
      <c r="A1798" s="1">
        <v>43404</v>
      </c>
      <c r="B1798" t="e">
        <f>NA()</f>
        <v>#N/A</v>
      </c>
      <c r="C1798" t="e">
        <f>NA()</f>
        <v>#N/A</v>
      </c>
      <c r="D1798">
        <f>0.2</f>
        <v>0.2</v>
      </c>
      <c r="E1798">
        <f>0.7</f>
        <v>0.7</v>
      </c>
      <c r="F1798">
        <f>7304</f>
        <v>7304</v>
      </c>
      <c r="G1798">
        <f>62.9</f>
        <v>62.9</v>
      </c>
      <c r="H1798">
        <f>4.7</f>
        <v>4.7</v>
      </c>
      <c r="I1798">
        <f>252.9</f>
        <v>252.9</v>
      </c>
      <c r="J1798">
        <f>2.5</f>
        <v>2.5</v>
      </c>
      <c r="K1798">
        <f>58.1</f>
        <v>58.1</v>
      </c>
      <c r="L1798">
        <f>-0.2</f>
        <v>-0.2</v>
      </c>
      <c r="M1798" t="e">
        <f>NA()</f>
        <v>#N/A</v>
      </c>
      <c r="N1798">
        <f>3.8</f>
        <v>3.8</v>
      </c>
      <c r="O1798">
        <f t="shared" si="66"/>
        <v>2.2000000000000002</v>
      </c>
    </row>
    <row r="1799" spans="1:15" x14ac:dyDescent="0.25">
      <c r="A1799" s="1">
        <v>43403</v>
      </c>
      <c r="B1799" t="e">
        <f>NA()</f>
        <v>#N/A</v>
      </c>
      <c r="C1799" t="e">
        <f>NA()</f>
        <v>#N/A</v>
      </c>
      <c r="D1799" t="e">
        <f>NA()</f>
        <v>#N/A</v>
      </c>
      <c r="E1799" t="e">
        <f>NA()</f>
        <v>#N/A</v>
      </c>
      <c r="F1799" t="e">
        <f>NA()</f>
        <v>#N/A</v>
      </c>
      <c r="G1799" t="e">
        <f>NA()</f>
        <v>#N/A</v>
      </c>
      <c r="H1799" t="e">
        <f>NA()</f>
        <v>#N/A</v>
      </c>
      <c r="I1799" t="e">
        <f>NA()</f>
        <v>#N/A</v>
      </c>
      <c r="J1799" t="e">
        <f>NA()</f>
        <v>#N/A</v>
      </c>
      <c r="K1799" t="e">
        <f>NA()</f>
        <v>#N/A</v>
      </c>
      <c r="L1799" t="e">
        <f>NA()</f>
        <v>#N/A</v>
      </c>
      <c r="M1799" t="e">
        <f>NA()</f>
        <v>#N/A</v>
      </c>
      <c r="N1799" t="e">
        <f>NA()</f>
        <v>#N/A</v>
      </c>
      <c r="O1799">
        <f t="shared" si="66"/>
        <v>2.2000000000000002</v>
      </c>
    </row>
    <row r="1800" spans="1:15" x14ac:dyDescent="0.25">
      <c r="A1800" s="1">
        <v>43402</v>
      </c>
      <c r="B1800" t="e">
        <f>NA()</f>
        <v>#N/A</v>
      </c>
      <c r="C1800" t="e">
        <f>NA()</f>
        <v>#N/A</v>
      </c>
      <c r="D1800" t="e">
        <f>NA()</f>
        <v>#N/A</v>
      </c>
      <c r="E1800" t="e">
        <f>NA()</f>
        <v>#N/A</v>
      </c>
      <c r="F1800" t="e">
        <f>NA()</f>
        <v>#N/A</v>
      </c>
      <c r="G1800" t="e">
        <f>NA()</f>
        <v>#N/A</v>
      </c>
      <c r="H1800" t="e">
        <f>NA()</f>
        <v>#N/A</v>
      </c>
      <c r="I1800" t="e">
        <f>NA()</f>
        <v>#N/A</v>
      </c>
      <c r="J1800" t="e">
        <f>NA()</f>
        <v>#N/A</v>
      </c>
      <c r="K1800" t="e">
        <f>NA()</f>
        <v>#N/A</v>
      </c>
      <c r="L1800" t="e">
        <f>NA()</f>
        <v>#N/A</v>
      </c>
      <c r="M1800" t="e">
        <f>NA()</f>
        <v>#N/A</v>
      </c>
      <c r="N1800" t="e">
        <f>NA()</f>
        <v>#N/A</v>
      </c>
      <c r="O1800">
        <f t="shared" si="66"/>
        <v>2.2000000000000002</v>
      </c>
    </row>
    <row r="1801" spans="1:15" x14ac:dyDescent="0.25">
      <c r="A1801" s="1">
        <v>43399</v>
      </c>
      <c r="B1801">
        <f>-0.2</f>
        <v>-0.2</v>
      </c>
      <c r="C1801">
        <f>0</f>
        <v>0</v>
      </c>
      <c r="D1801" t="e">
        <f>NA()</f>
        <v>#N/A</v>
      </c>
      <c r="E1801" t="e">
        <f>NA()</f>
        <v>#N/A</v>
      </c>
      <c r="F1801" t="e">
        <f>NA()</f>
        <v>#N/A</v>
      </c>
      <c r="G1801" t="e">
        <f>NA()</f>
        <v>#N/A</v>
      </c>
      <c r="H1801" t="e">
        <f>NA()</f>
        <v>#N/A</v>
      </c>
      <c r="I1801" t="e">
        <f>NA()</f>
        <v>#N/A</v>
      </c>
      <c r="J1801" t="e">
        <f>NA()</f>
        <v>#N/A</v>
      </c>
      <c r="K1801" t="e">
        <f>NA()</f>
        <v>#N/A</v>
      </c>
      <c r="L1801" t="e">
        <f>NA()</f>
        <v>#N/A</v>
      </c>
      <c r="M1801" t="e">
        <f>NA()</f>
        <v>#N/A</v>
      </c>
      <c r="N1801" t="e">
        <f>NA()</f>
        <v>#N/A</v>
      </c>
      <c r="O1801">
        <f t="shared" si="66"/>
        <v>2.2000000000000002</v>
      </c>
    </row>
    <row r="1802" spans="1:15" x14ac:dyDescent="0.25">
      <c r="A1802" s="1">
        <v>43398</v>
      </c>
      <c r="B1802" t="e">
        <f>NA()</f>
        <v>#N/A</v>
      </c>
      <c r="C1802" t="e">
        <f>NA()</f>
        <v>#N/A</v>
      </c>
      <c r="D1802" t="e">
        <f>NA()</f>
        <v>#N/A</v>
      </c>
      <c r="E1802" t="e">
        <f>NA()</f>
        <v>#N/A</v>
      </c>
      <c r="F1802" t="e">
        <f>NA()</f>
        <v>#N/A</v>
      </c>
      <c r="G1802" t="e">
        <f>NA()</f>
        <v>#N/A</v>
      </c>
      <c r="H1802" t="e">
        <f>NA()</f>
        <v>#N/A</v>
      </c>
      <c r="I1802" t="e">
        <f>NA()</f>
        <v>#N/A</v>
      </c>
      <c r="J1802" t="e">
        <f>NA()</f>
        <v>#N/A</v>
      </c>
      <c r="K1802" t="e">
        <f>NA()</f>
        <v>#N/A</v>
      </c>
      <c r="L1802" t="e">
        <f>NA()</f>
        <v>#N/A</v>
      </c>
      <c r="M1802" t="e">
        <f>NA()</f>
        <v>#N/A</v>
      </c>
      <c r="N1802" t="e">
        <f>NA()</f>
        <v>#N/A</v>
      </c>
      <c r="O1802">
        <f t="shared" si="66"/>
        <v>2.2000000000000002</v>
      </c>
    </row>
    <row r="1803" spans="1:15" x14ac:dyDescent="0.25">
      <c r="A1803" s="1">
        <v>43397</v>
      </c>
      <c r="B1803" t="e">
        <f>NA()</f>
        <v>#N/A</v>
      </c>
      <c r="C1803" t="e">
        <f>NA()</f>
        <v>#N/A</v>
      </c>
      <c r="D1803" t="e">
        <f>NA()</f>
        <v>#N/A</v>
      </c>
      <c r="E1803" t="e">
        <f>NA()</f>
        <v>#N/A</v>
      </c>
      <c r="F1803" t="e">
        <f>NA()</f>
        <v>#N/A</v>
      </c>
      <c r="G1803" t="e">
        <f>NA()</f>
        <v>#N/A</v>
      </c>
      <c r="H1803" t="e">
        <f>NA()</f>
        <v>#N/A</v>
      </c>
      <c r="I1803" t="e">
        <f>NA()</f>
        <v>#N/A</v>
      </c>
      <c r="J1803" t="e">
        <f>NA()</f>
        <v>#N/A</v>
      </c>
      <c r="K1803" t="e">
        <f>NA()</f>
        <v>#N/A</v>
      </c>
      <c r="L1803" t="e">
        <f>NA()</f>
        <v>#N/A</v>
      </c>
      <c r="M1803" t="e">
        <f>NA()</f>
        <v>#N/A</v>
      </c>
      <c r="N1803" t="e">
        <f>NA()</f>
        <v>#N/A</v>
      </c>
      <c r="O1803">
        <f t="shared" si="66"/>
        <v>2.2000000000000002</v>
      </c>
    </row>
    <row r="1804" spans="1:15" x14ac:dyDescent="0.25">
      <c r="A1804" s="1">
        <v>43396</v>
      </c>
      <c r="B1804" t="e">
        <f>NA()</f>
        <v>#N/A</v>
      </c>
      <c r="C1804" t="e">
        <f>NA()</f>
        <v>#N/A</v>
      </c>
      <c r="D1804" t="e">
        <f>NA()</f>
        <v>#N/A</v>
      </c>
      <c r="E1804" t="e">
        <f>NA()</f>
        <v>#N/A</v>
      </c>
      <c r="F1804" t="e">
        <f>NA()</f>
        <v>#N/A</v>
      </c>
      <c r="G1804" t="e">
        <f>NA()</f>
        <v>#N/A</v>
      </c>
      <c r="H1804" t="e">
        <f>NA()</f>
        <v>#N/A</v>
      </c>
      <c r="I1804" t="e">
        <f>NA()</f>
        <v>#N/A</v>
      </c>
      <c r="J1804" t="e">
        <f>NA()</f>
        <v>#N/A</v>
      </c>
      <c r="K1804" t="e">
        <f>NA()</f>
        <v>#N/A</v>
      </c>
      <c r="L1804" t="e">
        <f>NA()</f>
        <v>#N/A</v>
      </c>
      <c r="M1804" t="e">
        <f>NA()</f>
        <v>#N/A</v>
      </c>
      <c r="N1804" t="e">
        <f>NA()</f>
        <v>#N/A</v>
      </c>
      <c r="O1804">
        <f t="shared" si="66"/>
        <v>2.2000000000000002</v>
      </c>
    </row>
    <row r="1805" spans="1:15" x14ac:dyDescent="0.25">
      <c r="A1805" s="1">
        <v>43395</v>
      </c>
      <c r="B1805" t="e">
        <f>NA()</f>
        <v>#N/A</v>
      </c>
      <c r="C1805" t="e">
        <f>NA()</f>
        <v>#N/A</v>
      </c>
      <c r="D1805" t="e">
        <f>NA()</f>
        <v>#N/A</v>
      </c>
      <c r="E1805" t="e">
        <f>NA()</f>
        <v>#N/A</v>
      </c>
      <c r="F1805" t="e">
        <f>NA()</f>
        <v>#N/A</v>
      </c>
      <c r="G1805" t="e">
        <f>NA()</f>
        <v>#N/A</v>
      </c>
      <c r="H1805" t="e">
        <f>NA()</f>
        <v>#N/A</v>
      </c>
      <c r="I1805" t="e">
        <f>NA()</f>
        <v>#N/A</v>
      </c>
      <c r="J1805" t="e">
        <f>NA()</f>
        <v>#N/A</v>
      </c>
      <c r="K1805" t="e">
        <f>NA()</f>
        <v>#N/A</v>
      </c>
      <c r="L1805" t="e">
        <f>NA()</f>
        <v>#N/A</v>
      </c>
      <c r="M1805" t="e">
        <f>NA()</f>
        <v>#N/A</v>
      </c>
      <c r="N1805" t="e">
        <f>NA()</f>
        <v>#N/A</v>
      </c>
      <c r="O1805">
        <f t="shared" si="66"/>
        <v>2.2000000000000002</v>
      </c>
    </row>
    <row r="1806" spans="1:15" x14ac:dyDescent="0.25">
      <c r="A1806" s="1">
        <v>43392</v>
      </c>
      <c r="B1806">
        <f>-0.5</f>
        <v>-0.5</v>
      </c>
      <c r="C1806">
        <f>0</f>
        <v>0</v>
      </c>
      <c r="D1806" t="e">
        <f>NA()</f>
        <v>#N/A</v>
      </c>
      <c r="E1806" t="e">
        <f>NA()</f>
        <v>#N/A</v>
      </c>
      <c r="F1806" t="e">
        <f>NA()</f>
        <v>#N/A</v>
      </c>
      <c r="G1806" t="e">
        <f>NA()</f>
        <v>#N/A</v>
      </c>
      <c r="H1806" t="e">
        <f>NA()</f>
        <v>#N/A</v>
      </c>
      <c r="I1806" t="e">
        <f>NA()</f>
        <v>#N/A</v>
      </c>
      <c r="J1806" t="e">
        <f>NA()</f>
        <v>#N/A</v>
      </c>
      <c r="K1806" t="e">
        <f>NA()</f>
        <v>#N/A</v>
      </c>
      <c r="L1806" t="e">
        <f>NA()</f>
        <v>#N/A</v>
      </c>
      <c r="M1806" t="e">
        <f>NA()</f>
        <v>#N/A</v>
      </c>
      <c r="N1806" t="e">
        <f>NA()</f>
        <v>#N/A</v>
      </c>
      <c r="O1806">
        <f t="shared" si="66"/>
        <v>2.2000000000000002</v>
      </c>
    </row>
    <row r="1807" spans="1:15" x14ac:dyDescent="0.25">
      <c r="A1807" s="1">
        <v>43391</v>
      </c>
      <c r="B1807" t="e">
        <f>NA()</f>
        <v>#N/A</v>
      </c>
      <c r="C1807" t="e">
        <f>NA()</f>
        <v>#N/A</v>
      </c>
      <c r="D1807" t="e">
        <f>NA()</f>
        <v>#N/A</v>
      </c>
      <c r="E1807" t="e">
        <f>NA()</f>
        <v>#N/A</v>
      </c>
      <c r="F1807" t="e">
        <f>NA()</f>
        <v>#N/A</v>
      </c>
      <c r="G1807" t="e">
        <f>NA()</f>
        <v>#N/A</v>
      </c>
      <c r="H1807" t="e">
        <f>NA()</f>
        <v>#N/A</v>
      </c>
      <c r="I1807" t="e">
        <f>NA()</f>
        <v>#N/A</v>
      </c>
      <c r="J1807" t="e">
        <f>NA()</f>
        <v>#N/A</v>
      </c>
      <c r="K1807" t="e">
        <f>NA()</f>
        <v>#N/A</v>
      </c>
      <c r="L1807" t="e">
        <f>NA()</f>
        <v>#N/A</v>
      </c>
      <c r="M1807" t="e">
        <f>NA()</f>
        <v>#N/A</v>
      </c>
      <c r="N1807" t="e">
        <f>NA()</f>
        <v>#N/A</v>
      </c>
      <c r="O1807">
        <f t="shared" si="66"/>
        <v>2.2000000000000002</v>
      </c>
    </row>
    <row r="1808" spans="1:15" x14ac:dyDescent="0.25">
      <c r="A1808" s="1">
        <v>43390</v>
      </c>
      <c r="B1808" t="e">
        <f>NA()</f>
        <v>#N/A</v>
      </c>
      <c r="C1808" t="e">
        <f>NA()</f>
        <v>#N/A</v>
      </c>
      <c r="D1808" t="e">
        <f>NA()</f>
        <v>#N/A</v>
      </c>
      <c r="E1808" t="e">
        <f>NA()</f>
        <v>#N/A</v>
      </c>
      <c r="F1808" t="e">
        <f>NA()</f>
        <v>#N/A</v>
      </c>
      <c r="G1808" t="e">
        <f>NA()</f>
        <v>#N/A</v>
      </c>
      <c r="H1808" t="e">
        <f>NA()</f>
        <v>#N/A</v>
      </c>
      <c r="I1808" t="e">
        <f>NA()</f>
        <v>#N/A</v>
      </c>
      <c r="J1808" t="e">
        <f>NA()</f>
        <v>#N/A</v>
      </c>
      <c r="K1808" t="e">
        <f>NA()</f>
        <v>#N/A</v>
      </c>
      <c r="L1808" t="e">
        <f>NA()</f>
        <v>#N/A</v>
      </c>
      <c r="M1808" t="e">
        <f>NA()</f>
        <v>#N/A</v>
      </c>
      <c r="N1808" t="e">
        <f>NA()</f>
        <v>#N/A</v>
      </c>
      <c r="O1808">
        <f t="shared" si="66"/>
        <v>2.2000000000000002</v>
      </c>
    </row>
    <row r="1809" spans="1:15" x14ac:dyDescent="0.25">
      <c r="A1809" s="1">
        <v>43389</v>
      </c>
      <c r="B1809" t="e">
        <f>NA()</f>
        <v>#N/A</v>
      </c>
      <c r="C1809" t="e">
        <f>NA()</f>
        <v>#N/A</v>
      </c>
      <c r="D1809" t="e">
        <f>NA()</f>
        <v>#N/A</v>
      </c>
      <c r="E1809" t="e">
        <f>NA()</f>
        <v>#N/A</v>
      </c>
      <c r="F1809" t="e">
        <f>NA()</f>
        <v>#N/A</v>
      </c>
      <c r="G1809" t="e">
        <f>NA()</f>
        <v>#N/A</v>
      </c>
      <c r="H1809" t="e">
        <f>NA()</f>
        <v>#N/A</v>
      </c>
      <c r="I1809" t="e">
        <f>NA()</f>
        <v>#N/A</v>
      </c>
      <c r="J1809" t="e">
        <f>NA()</f>
        <v>#N/A</v>
      </c>
      <c r="K1809" t="e">
        <f>NA()</f>
        <v>#N/A</v>
      </c>
      <c r="L1809" t="e">
        <f>NA()</f>
        <v>#N/A</v>
      </c>
      <c r="M1809" t="e">
        <f>NA()</f>
        <v>#N/A</v>
      </c>
      <c r="N1809" t="e">
        <f>NA()</f>
        <v>#N/A</v>
      </c>
      <c r="O1809">
        <f t="shared" si="66"/>
        <v>2.2000000000000002</v>
      </c>
    </row>
    <row r="1810" spans="1:15" x14ac:dyDescent="0.25">
      <c r="A1810" s="1">
        <v>43388</v>
      </c>
      <c r="B1810" t="e">
        <f>NA()</f>
        <v>#N/A</v>
      </c>
      <c r="C1810" t="e">
        <f>NA()</f>
        <v>#N/A</v>
      </c>
      <c r="D1810" t="e">
        <f>NA()</f>
        <v>#N/A</v>
      </c>
      <c r="E1810" t="e">
        <f>NA()</f>
        <v>#N/A</v>
      </c>
      <c r="F1810" t="e">
        <f>NA()</f>
        <v>#N/A</v>
      </c>
      <c r="G1810" t="e">
        <f>NA()</f>
        <v>#N/A</v>
      </c>
      <c r="H1810" t="e">
        <f>NA()</f>
        <v>#N/A</v>
      </c>
      <c r="I1810" t="e">
        <f>NA()</f>
        <v>#N/A</v>
      </c>
      <c r="J1810" t="e">
        <f>NA()</f>
        <v>#N/A</v>
      </c>
      <c r="K1810" t="e">
        <f>NA()</f>
        <v>#N/A</v>
      </c>
      <c r="L1810" t="e">
        <f>NA()</f>
        <v>#N/A</v>
      </c>
      <c r="M1810" t="e">
        <f>NA()</f>
        <v>#N/A</v>
      </c>
      <c r="N1810" t="e">
        <f>NA()</f>
        <v>#N/A</v>
      </c>
      <c r="O1810">
        <f t="shared" si="66"/>
        <v>2.2000000000000002</v>
      </c>
    </row>
    <row r="1811" spans="1:15" x14ac:dyDescent="0.25">
      <c r="A1811" s="1">
        <v>43385</v>
      </c>
      <c r="B1811">
        <f>-0.5</f>
        <v>-0.5</v>
      </c>
      <c r="C1811">
        <f>0</f>
        <v>0</v>
      </c>
      <c r="D1811" t="e">
        <f>NA()</f>
        <v>#N/A</v>
      </c>
      <c r="E1811" t="e">
        <f>NA()</f>
        <v>#N/A</v>
      </c>
      <c r="F1811" t="e">
        <f>NA()</f>
        <v>#N/A</v>
      </c>
      <c r="G1811" t="e">
        <f>NA()</f>
        <v>#N/A</v>
      </c>
      <c r="H1811" t="e">
        <f>NA()</f>
        <v>#N/A</v>
      </c>
      <c r="I1811" t="e">
        <f>NA()</f>
        <v>#N/A</v>
      </c>
      <c r="J1811" t="e">
        <f>NA()</f>
        <v>#N/A</v>
      </c>
      <c r="K1811" t="e">
        <f>NA()</f>
        <v>#N/A</v>
      </c>
      <c r="L1811" t="e">
        <f>NA()</f>
        <v>#N/A</v>
      </c>
      <c r="M1811" t="e">
        <f>NA()</f>
        <v>#N/A</v>
      </c>
      <c r="N1811" t="e">
        <f>NA()</f>
        <v>#N/A</v>
      </c>
      <c r="O1811">
        <f t="shared" si="66"/>
        <v>2.2000000000000002</v>
      </c>
    </row>
    <row r="1812" spans="1:15" x14ac:dyDescent="0.25">
      <c r="A1812" s="1">
        <v>43384</v>
      </c>
      <c r="B1812" t="e">
        <f>NA()</f>
        <v>#N/A</v>
      </c>
      <c r="C1812" t="e">
        <f>NA()</f>
        <v>#N/A</v>
      </c>
      <c r="D1812" t="e">
        <f>NA()</f>
        <v>#N/A</v>
      </c>
      <c r="E1812" t="e">
        <f>NA()</f>
        <v>#N/A</v>
      </c>
      <c r="F1812" t="e">
        <f>NA()</f>
        <v>#N/A</v>
      </c>
      <c r="G1812" t="e">
        <f>NA()</f>
        <v>#N/A</v>
      </c>
      <c r="H1812" t="e">
        <f>NA()</f>
        <v>#N/A</v>
      </c>
      <c r="I1812" t="e">
        <f>NA()</f>
        <v>#N/A</v>
      </c>
      <c r="J1812" t="e">
        <f>NA()</f>
        <v>#N/A</v>
      </c>
      <c r="K1812" t="e">
        <f>NA()</f>
        <v>#N/A</v>
      </c>
      <c r="L1812" t="e">
        <f>NA()</f>
        <v>#N/A</v>
      </c>
      <c r="M1812" t="e">
        <f>NA()</f>
        <v>#N/A</v>
      </c>
      <c r="N1812" t="e">
        <f>NA()</f>
        <v>#N/A</v>
      </c>
      <c r="O1812">
        <f t="shared" si="66"/>
        <v>2.2000000000000002</v>
      </c>
    </row>
    <row r="1813" spans="1:15" x14ac:dyDescent="0.25">
      <c r="A1813" s="1">
        <v>43383</v>
      </c>
      <c r="B1813" t="e">
        <f>NA()</f>
        <v>#N/A</v>
      </c>
      <c r="C1813" t="e">
        <f>NA()</f>
        <v>#N/A</v>
      </c>
      <c r="D1813" t="e">
        <f>NA()</f>
        <v>#N/A</v>
      </c>
      <c r="E1813" t="e">
        <f>NA()</f>
        <v>#N/A</v>
      </c>
      <c r="F1813" t="e">
        <f>NA()</f>
        <v>#N/A</v>
      </c>
      <c r="G1813" t="e">
        <f>NA()</f>
        <v>#N/A</v>
      </c>
      <c r="H1813" t="e">
        <f>NA()</f>
        <v>#N/A</v>
      </c>
      <c r="I1813" t="e">
        <f>NA()</f>
        <v>#N/A</v>
      </c>
      <c r="J1813" t="e">
        <f>NA()</f>
        <v>#N/A</v>
      </c>
      <c r="K1813" t="e">
        <f>NA()</f>
        <v>#N/A</v>
      </c>
      <c r="L1813" t="e">
        <f>NA()</f>
        <v>#N/A</v>
      </c>
      <c r="M1813" t="e">
        <f>NA()</f>
        <v>#N/A</v>
      </c>
      <c r="N1813" t="e">
        <f>NA()</f>
        <v>#N/A</v>
      </c>
      <c r="O1813">
        <f t="shared" si="66"/>
        <v>2.2000000000000002</v>
      </c>
    </row>
    <row r="1814" spans="1:15" x14ac:dyDescent="0.25">
      <c r="A1814" s="1">
        <v>43382</v>
      </c>
      <c r="B1814" t="e">
        <f>NA()</f>
        <v>#N/A</v>
      </c>
      <c r="C1814" t="e">
        <f>NA()</f>
        <v>#N/A</v>
      </c>
      <c r="D1814" t="e">
        <f>NA()</f>
        <v>#N/A</v>
      </c>
      <c r="E1814" t="e">
        <f>NA()</f>
        <v>#N/A</v>
      </c>
      <c r="F1814" t="e">
        <f>NA()</f>
        <v>#N/A</v>
      </c>
      <c r="G1814" t="e">
        <f>NA()</f>
        <v>#N/A</v>
      </c>
      <c r="H1814" t="e">
        <f>NA()</f>
        <v>#N/A</v>
      </c>
      <c r="I1814" t="e">
        <f>NA()</f>
        <v>#N/A</v>
      </c>
      <c r="J1814" t="e">
        <f>NA()</f>
        <v>#N/A</v>
      </c>
      <c r="K1814" t="e">
        <f>NA()</f>
        <v>#N/A</v>
      </c>
      <c r="L1814" t="e">
        <f>NA()</f>
        <v>#N/A</v>
      </c>
      <c r="M1814" t="e">
        <f>NA()</f>
        <v>#N/A</v>
      </c>
      <c r="N1814" t="e">
        <f>NA()</f>
        <v>#N/A</v>
      </c>
      <c r="O1814">
        <f t="shared" si="66"/>
        <v>2.2000000000000002</v>
      </c>
    </row>
    <row r="1815" spans="1:15" x14ac:dyDescent="0.25">
      <c r="A1815" s="1">
        <v>43378</v>
      </c>
      <c r="B1815">
        <f>-0.8</f>
        <v>-0.8</v>
      </c>
      <c r="C1815">
        <f>0</f>
        <v>0</v>
      </c>
      <c r="D1815" t="e">
        <f>NA()</f>
        <v>#N/A</v>
      </c>
      <c r="E1815" t="e">
        <f>NA()</f>
        <v>#N/A</v>
      </c>
      <c r="F1815" t="e">
        <f>NA()</f>
        <v>#N/A</v>
      </c>
      <c r="G1815" t="e">
        <f>NA()</f>
        <v>#N/A</v>
      </c>
      <c r="H1815" t="e">
        <f>NA()</f>
        <v>#N/A</v>
      </c>
      <c r="I1815" t="e">
        <f>NA()</f>
        <v>#N/A</v>
      </c>
      <c r="J1815" t="e">
        <f>NA()</f>
        <v>#N/A</v>
      </c>
      <c r="K1815" t="e">
        <f>NA()</f>
        <v>#N/A</v>
      </c>
      <c r="L1815" t="e">
        <f>NA()</f>
        <v>#N/A</v>
      </c>
      <c r="M1815" t="e">
        <f>NA()</f>
        <v>#N/A</v>
      </c>
      <c r="N1815" t="e">
        <f>NA()</f>
        <v>#N/A</v>
      </c>
      <c r="O1815">
        <f t="shared" si="66"/>
        <v>2.2000000000000002</v>
      </c>
    </row>
    <row r="1816" spans="1:15" x14ac:dyDescent="0.25">
      <c r="A1816" s="1">
        <v>43377</v>
      </c>
      <c r="B1816" t="e">
        <f>NA()</f>
        <v>#N/A</v>
      </c>
      <c r="C1816" t="e">
        <f>NA()</f>
        <v>#N/A</v>
      </c>
      <c r="D1816" t="e">
        <f>NA()</f>
        <v>#N/A</v>
      </c>
      <c r="E1816" t="e">
        <f>NA()</f>
        <v>#N/A</v>
      </c>
      <c r="F1816" t="e">
        <f>NA()</f>
        <v>#N/A</v>
      </c>
      <c r="G1816" t="e">
        <f>NA()</f>
        <v>#N/A</v>
      </c>
      <c r="H1816" t="e">
        <f>NA()</f>
        <v>#N/A</v>
      </c>
      <c r="I1816" t="e">
        <f>NA()</f>
        <v>#N/A</v>
      </c>
      <c r="J1816" t="e">
        <f>NA()</f>
        <v>#N/A</v>
      </c>
      <c r="K1816" t="e">
        <f>NA()</f>
        <v>#N/A</v>
      </c>
      <c r="L1816" t="e">
        <f>NA()</f>
        <v>#N/A</v>
      </c>
      <c r="M1816" t="e">
        <f>NA()</f>
        <v>#N/A</v>
      </c>
      <c r="N1816" t="e">
        <f>NA()</f>
        <v>#N/A</v>
      </c>
      <c r="O1816">
        <f t="shared" si="66"/>
        <v>2.2000000000000002</v>
      </c>
    </row>
    <row r="1817" spans="1:15" x14ac:dyDescent="0.25">
      <c r="A1817" s="1">
        <v>43376</v>
      </c>
      <c r="B1817" t="e">
        <f>NA()</f>
        <v>#N/A</v>
      </c>
      <c r="C1817" t="e">
        <f>NA()</f>
        <v>#N/A</v>
      </c>
      <c r="D1817" t="e">
        <f>NA()</f>
        <v>#N/A</v>
      </c>
      <c r="E1817" t="e">
        <f>NA()</f>
        <v>#N/A</v>
      </c>
      <c r="F1817" t="e">
        <f>NA()</f>
        <v>#N/A</v>
      </c>
      <c r="G1817" t="e">
        <f>NA()</f>
        <v>#N/A</v>
      </c>
      <c r="H1817" t="e">
        <f>NA()</f>
        <v>#N/A</v>
      </c>
      <c r="I1817" t="e">
        <f>NA()</f>
        <v>#N/A</v>
      </c>
      <c r="J1817" t="e">
        <f>NA()</f>
        <v>#N/A</v>
      </c>
      <c r="K1817" t="e">
        <f>NA()</f>
        <v>#N/A</v>
      </c>
      <c r="L1817" t="e">
        <f>NA()</f>
        <v>#N/A</v>
      </c>
      <c r="M1817" t="e">
        <f>NA()</f>
        <v>#N/A</v>
      </c>
      <c r="N1817" t="e">
        <f>NA()</f>
        <v>#N/A</v>
      </c>
      <c r="O1817">
        <f t="shared" si="66"/>
        <v>2.2000000000000002</v>
      </c>
    </row>
    <row r="1818" spans="1:15" x14ac:dyDescent="0.25">
      <c r="A1818" s="1">
        <v>43375</v>
      </c>
      <c r="B1818" t="e">
        <f>NA()</f>
        <v>#N/A</v>
      </c>
      <c r="C1818" t="e">
        <f>NA()</f>
        <v>#N/A</v>
      </c>
      <c r="D1818" t="e">
        <f>NA()</f>
        <v>#N/A</v>
      </c>
      <c r="E1818" t="e">
        <f>NA()</f>
        <v>#N/A</v>
      </c>
      <c r="F1818" t="e">
        <f>NA()</f>
        <v>#N/A</v>
      </c>
      <c r="G1818" t="e">
        <f>NA()</f>
        <v>#N/A</v>
      </c>
      <c r="H1818" t="e">
        <f>NA()</f>
        <v>#N/A</v>
      </c>
      <c r="I1818" t="e">
        <f>NA()</f>
        <v>#N/A</v>
      </c>
      <c r="J1818" t="e">
        <f>NA()</f>
        <v>#N/A</v>
      </c>
      <c r="K1818" t="e">
        <f>NA()</f>
        <v>#N/A</v>
      </c>
      <c r="L1818" t="e">
        <f>NA()</f>
        <v>#N/A</v>
      </c>
      <c r="M1818" t="e">
        <f>NA()</f>
        <v>#N/A</v>
      </c>
      <c r="N1818" t="e">
        <f>NA()</f>
        <v>#N/A</v>
      </c>
      <c r="O1818">
        <f t="shared" si="66"/>
        <v>2.2000000000000002</v>
      </c>
    </row>
    <row r="1819" spans="1:15" x14ac:dyDescent="0.25">
      <c r="A1819" s="1">
        <v>43374</v>
      </c>
      <c r="B1819" t="e">
        <f>NA()</f>
        <v>#N/A</v>
      </c>
      <c r="C1819" t="e">
        <f>NA()</f>
        <v>#N/A</v>
      </c>
      <c r="D1819" t="e">
        <f>NA()</f>
        <v>#N/A</v>
      </c>
      <c r="E1819" t="e">
        <f>NA()</f>
        <v>#N/A</v>
      </c>
      <c r="F1819" t="e">
        <f>NA()</f>
        <v>#N/A</v>
      </c>
      <c r="G1819" t="e">
        <f>NA()</f>
        <v>#N/A</v>
      </c>
      <c r="H1819" t="e">
        <f>NA()</f>
        <v>#N/A</v>
      </c>
      <c r="I1819" t="e">
        <f>NA()</f>
        <v>#N/A</v>
      </c>
      <c r="J1819" t="e">
        <f>NA()</f>
        <v>#N/A</v>
      </c>
      <c r="K1819" t="e">
        <f>NA()</f>
        <v>#N/A</v>
      </c>
      <c r="L1819" t="e">
        <f>NA()</f>
        <v>#N/A</v>
      </c>
      <c r="M1819" t="e">
        <f>NA()</f>
        <v>#N/A</v>
      </c>
      <c r="N1819" t="e">
        <f>NA()</f>
        <v>#N/A</v>
      </c>
      <c r="O1819">
        <f t="shared" si="66"/>
        <v>2.2000000000000002</v>
      </c>
    </row>
    <row r="1820" spans="1:15" x14ac:dyDescent="0.25">
      <c r="A1820" s="1">
        <v>43373</v>
      </c>
      <c r="B1820" t="e">
        <f>NA()</f>
        <v>#N/A</v>
      </c>
      <c r="C1820" t="e">
        <f>NA()</f>
        <v>#N/A</v>
      </c>
      <c r="D1820">
        <f>0.4</f>
        <v>0.4</v>
      </c>
      <c r="E1820">
        <f>0.7</f>
        <v>0.7</v>
      </c>
      <c r="F1820">
        <f>7411</f>
        <v>7411</v>
      </c>
      <c r="G1820">
        <f>62.8</f>
        <v>62.8</v>
      </c>
      <c r="H1820">
        <f>4.5</f>
        <v>4.5</v>
      </c>
      <c r="I1820">
        <f>252.4</f>
        <v>252.4</v>
      </c>
      <c r="J1820">
        <f>2.3</f>
        <v>2.2999999999999998</v>
      </c>
      <c r="K1820">
        <f>59.3</f>
        <v>59.3</v>
      </c>
      <c r="L1820">
        <f>0</f>
        <v>0</v>
      </c>
      <c r="M1820">
        <f>2.5</f>
        <v>2.5</v>
      </c>
      <c r="N1820">
        <f>3.7</f>
        <v>3.7</v>
      </c>
      <c r="O1820" t="e">
        <f>NA()</f>
        <v>#N/A</v>
      </c>
    </row>
    <row r="1821" spans="1:15" x14ac:dyDescent="0.25">
      <c r="A1821" s="1">
        <v>43371</v>
      </c>
      <c r="B1821">
        <f>-0.8</f>
        <v>-0.8</v>
      </c>
      <c r="C1821">
        <f>0</f>
        <v>0</v>
      </c>
      <c r="D1821" t="e">
        <f>NA()</f>
        <v>#N/A</v>
      </c>
      <c r="E1821" t="e">
        <f>NA()</f>
        <v>#N/A</v>
      </c>
      <c r="F1821" t="e">
        <f>NA()</f>
        <v>#N/A</v>
      </c>
      <c r="G1821" t="e">
        <f>NA()</f>
        <v>#N/A</v>
      </c>
      <c r="H1821" t="e">
        <f>NA()</f>
        <v>#N/A</v>
      </c>
      <c r="I1821" t="e">
        <f>NA()</f>
        <v>#N/A</v>
      </c>
      <c r="J1821" t="e">
        <f>NA()</f>
        <v>#N/A</v>
      </c>
      <c r="K1821" t="e">
        <f>NA()</f>
        <v>#N/A</v>
      </c>
      <c r="L1821" t="e">
        <f>NA()</f>
        <v>#N/A</v>
      </c>
      <c r="M1821" t="e">
        <f>NA()</f>
        <v>#N/A</v>
      </c>
      <c r="N1821" t="e">
        <f>NA()</f>
        <v>#N/A</v>
      </c>
      <c r="O1821">
        <f>2.2</f>
        <v>2.2000000000000002</v>
      </c>
    </row>
    <row r="1822" spans="1:15" x14ac:dyDescent="0.25">
      <c r="A1822" s="1">
        <v>43370</v>
      </c>
      <c r="B1822" t="e">
        <f>NA()</f>
        <v>#N/A</v>
      </c>
      <c r="C1822" t="e">
        <f>NA()</f>
        <v>#N/A</v>
      </c>
      <c r="D1822" t="e">
        <f>NA()</f>
        <v>#N/A</v>
      </c>
      <c r="E1822" t="e">
        <f>NA()</f>
        <v>#N/A</v>
      </c>
      <c r="F1822" t="e">
        <f>NA()</f>
        <v>#N/A</v>
      </c>
      <c r="G1822" t="e">
        <f>NA()</f>
        <v>#N/A</v>
      </c>
      <c r="H1822" t="e">
        <f>NA()</f>
        <v>#N/A</v>
      </c>
      <c r="I1822" t="e">
        <f>NA()</f>
        <v>#N/A</v>
      </c>
      <c r="J1822" t="e">
        <f>NA()</f>
        <v>#N/A</v>
      </c>
      <c r="K1822" t="e">
        <f>NA()</f>
        <v>#N/A</v>
      </c>
      <c r="L1822" t="e">
        <f>NA()</f>
        <v>#N/A</v>
      </c>
      <c r="M1822" t="e">
        <f>NA()</f>
        <v>#N/A</v>
      </c>
      <c r="N1822" t="e">
        <f>NA()</f>
        <v>#N/A</v>
      </c>
      <c r="O1822">
        <f>2.2</f>
        <v>2.2000000000000002</v>
      </c>
    </row>
    <row r="1823" spans="1:15" x14ac:dyDescent="0.25">
      <c r="A1823" s="1">
        <v>43369</v>
      </c>
      <c r="B1823" t="e">
        <f>NA()</f>
        <v>#N/A</v>
      </c>
      <c r="C1823" t="e">
        <f>NA()</f>
        <v>#N/A</v>
      </c>
      <c r="D1823" t="e">
        <f>NA()</f>
        <v>#N/A</v>
      </c>
      <c r="E1823" t="e">
        <f>NA()</f>
        <v>#N/A</v>
      </c>
      <c r="F1823" t="e">
        <f>NA()</f>
        <v>#N/A</v>
      </c>
      <c r="G1823" t="e">
        <f>NA()</f>
        <v>#N/A</v>
      </c>
      <c r="H1823" t="e">
        <f>NA()</f>
        <v>#N/A</v>
      </c>
      <c r="I1823" t="e">
        <f>NA()</f>
        <v>#N/A</v>
      </c>
      <c r="J1823" t="e">
        <f>NA()</f>
        <v>#N/A</v>
      </c>
      <c r="K1823" t="e">
        <f>NA()</f>
        <v>#N/A</v>
      </c>
      <c r="L1823" t="e">
        <f>NA()</f>
        <v>#N/A</v>
      </c>
      <c r="M1823" t="e">
        <f>NA()</f>
        <v>#N/A</v>
      </c>
      <c r="N1823" t="e">
        <f>NA()</f>
        <v>#N/A</v>
      </c>
      <c r="O1823">
        <f t="shared" ref="O1823:O1854" si="67">1.9</f>
        <v>1.9</v>
      </c>
    </row>
    <row r="1824" spans="1:15" x14ac:dyDescent="0.25">
      <c r="A1824" s="1">
        <v>43368</v>
      </c>
      <c r="B1824" t="e">
        <f>NA()</f>
        <v>#N/A</v>
      </c>
      <c r="C1824" t="e">
        <f>NA()</f>
        <v>#N/A</v>
      </c>
      <c r="D1824" t="e">
        <f>NA()</f>
        <v>#N/A</v>
      </c>
      <c r="E1824" t="e">
        <f>NA()</f>
        <v>#N/A</v>
      </c>
      <c r="F1824" t="e">
        <f>NA()</f>
        <v>#N/A</v>
      </c>
      <c r="G1824" t="e">
        <f>NA()</f>
        <v>#N/A</v>
      </c>
      <c r="H1824" t="e">
        <f>NA()</f>
        <v>#N/A</v>
      </c>
      <c r="I1824" t="e">
        <f>NA()</f>
        <v>#N/A</v>
      </c>
      <c r="J1824" t="e">
        <f>NA()</f>
        <v>#N/A</v>
      </c>
      <c r="K1824" t="e">
        <f>NA()</f>
        <v>#N/A</v>
      </c>
      <c r="L1824" t="e">
        <f>NA()</f>
        <v>#N/A</v>
      </c>
      <c r="M1824" t="e">
        <f>NA()</f>
        <v>#N/A</v>
      </c>
      <c r="N1824" t="e">
        <f>NA()</f>
        <v>#N/A</v>
      </c>
      <c r="O1824">
        <f t="shared" si="67"/>
        <v>1.9</v>
      </c>
    </row>
    <row r="1825" spans="1:15" x14ac:dyDescent="0.25">
      <c r="A1825" s="1">
        <v>43367</v>
      </c>
      <c r="B1825" t="e">
        <f>NA()</f>
        <v>#N/A</v>
      </c>
      <c r="C1825" t="e">
        <f>NA()</f>
        <v>#N/A</v>
      </c>
      <c r="D1825" t="e">
        <f>NA()</f>
        <v>#N/A</v>
      </c>
      <c r="E1825" t="e">
        <f>NA()</f>
        <v>#N/A</v>
      </c>
      <c r="F1825" t="e">
        <f>NA()</f>
        <v>#N/A</v>
      </c>
      <c r="G1825" t="e">
        <f>NA()</f>
        <v>#N/A</v>
      </c>
      <c r="H1825" t="e">
        <f>NA()</f>
        <v>#N/A</v>
      </c>
      <c r="I1825" t="e">
        <f>NA()</f>
        <v>#N/A</v>
      </c>
      <c r="J1825" t="e">
        <f>NA()</f>
        <v>#N/A</v>
      </c>
      <c r="K1825" t="e">
        <f>NA()</f>
        <v>#N/A</v>
      </c>
      <c r="L1825" t="e">
        <f>NA()</f>
        <v>#N/A</v>
      </c>
      <c r="M1825" t="e">
        <f>NA()</f>
        <v>#N/A</v>
      </c>
      <c r="N1825" t="e">
        <f>NA()</f>
        <v>#N/A</v>
      </c>
      <c r="O1825">
        <f t="shared" si="67"/>
        <v>1.9</v>
      </c>
    </row>
    <row r="1826" spans="1:15" x14ac:dyDescent="0.25">
      <c r="A1826" s="1">
        <v>43364</v>
      </c>
      <c r="B1826">
        <f>-0.8</f>
        <v>-0.8</v>
      </c>
      <c r="C1826">
        <f>0</f>
        <v>0</v>
      </c>
      <c r="D1826" t="e">
        <f>NA()</f>
        <v>#N/A</v>
      </c>
      <c r="E1826" t="e">
        <f>NA()</f>
        <v>#N/A</v>
      </c>
      <c r="F1826" t="e">
        <f>NA()</f>
        <v>#N/A</v>
      </c>
      <c r="G1826" t="e">
        <f>NA()</f>
        <v>#N/A</v>
      </c>
      <c r="H1826" t="e">
        <f>NA()</f>
        <v>#N/A</v>
      </c>
      <c r="I1826" t="e">
        <f>NA()</f>
        <v>#N/A</v>
      </c>
      <c r="J1826" t="e">
        <f>NA()</f>
        <v>#N/A</v>
      </c>
      <c r="K1826" t="e">
        <f>NA()</f>
        <v>#N/A</v>
      </c>
      <c r="L1826" t="e">
        <f>NA()</f>
        <v>#N/A</v>
      </c>
      <c r="M1826" t="e">
        <f>NA()</f>
        <v>#N/A</v>
      </c>
      <c r="N1826" t="e">
        <f>NA()</f>
        <v>#N/A</v>
      </c>
      <c r="O1826">
        <f t="shared" si="67"/>
        <v>1.9</v>
      </c>
    </row>
    <row r="1827" spans="1:15" x14ac:dyDescent="0.25">
      <c r="A1827" s="1">
        <v>43363</v>
      </c>
      <c r="B1827" t="e">
        <f>NA()</f>
        <v>#N/A</v>
      </c>
      <c r="C1827" t="e">
        <f>NA()</f>
        <v>#N/A</v>
      </c>
      <c r="D1827" t="e">
        <f>NA()</f>
        <v>#N/A</v>
      </c>
      <c r="E1827" t="e">
        <f>NA()</f>
        <v>#N/A</v>
      </c>
      <c r="F1827" t="e">
        <f>NA()</f>
        <v>#N/A</v>
      </c>
      <c r="G1827" t="e">
        <f>NA()</f>
        <v>#N/A</v>
      </c>
      <c r="H1827" t="e">
        <f>NA()</f>
        <v>#N/A</v>
      </c>
      <c r="I1827" t="e">
        <f>NA()</f>
        <v>#N/A</v>
      </c>
      <c r="J1827" t="e">
        <f>NA()</f>
        <v>#N/A</v>
      </c>
      <c r="K1827" t="e">
        <f>NA()</f>
        <v>#N/A</v>
      </c>
      <c r="L1827" t="e">
        <f>NA()</f>
        <v>#N/A</v>
      </c>
      <c r="M1827" t="e">
        <f>NA()</f>
        <v>#N/A</v>
      </c>
      <c r="N1827" t="e">
        <f>NA()</f>
        <v>#N/A</v>
      </c>
      <c r="O1827">
        <f t="shared" si="67"/>
        <v>1.9</v>
      </c>
    </row>
    <row r="1828" spans="1:15" x14ac:dyDescent="0.25">
      <c r="A1828" s="1">
        <v>43362</v>
      </c>
      <c r="B1828" t="e">
        <f>NA()</f>
        <v>#N/A</v>
      </c>
      <c r="C1828" t="e">
        <f>NA()</f>
        <v>#N/A</v>
      </c>
      <c r="D1828" t="e">
        <f>NA()</f>
        <v>#N/A</v>
      </c>
      <c r="E1828" t="e">
        <f>NA()</f>
        <v>#N/A</v>
      </c>
      <c r="F1828" t="e">
        <f>NA()</f>
        <v>#N/A</v>
      </c>
      <c r="G1828" t="e">
        <f>NA()</f>
        <v>#N/A</v>
      </c>
      <c r="H1828" t="e">
        <f>NA()</f>
        <v>#N/A</v>
      </c>
      <c r="I1828" t="e">
        <f>NA()</f>
        <v>#N/A</v>
      </c>
      <c r="J1828" t="e">
        <f>NA()</f>
        <v>#N/A</v>
      </c>
      <c r="K1828" t="e">
        <f>NA()</f>
        <v>#N/A</v>
      </c>
      <c r="L1828" t="e">
        <f>NA()</f>
        <v>#N/A</v>
      </c>
      <c r="M1828" t="e">
        <f>NA()</f>
        <v>#N/A</v>
      </c>
      <c r="N1828" t="e">
        <f>NA()</f>
        <v>#N/A</v>
      </c>
      <c r="O1828">
        <f t="shared" si="67"/>
        <v>1.9</v>
      </c>
    </row>
    <row r="1829" spans="1:15" x14ac:dyDescent="0.25">
      <c r="A1829" s="1">
        <v>43361</v>
      </c>
      <c r="B1829" t="e">
        <f>NA()</f>
        <v>#N/A</v>
      </c>
      <c r="C1829" t="e">
        <f>NA()</f>
        <v>#N/A</v>
      </c>
      <c r="D1829" t="e">
        <f>NA()</f>
        <v>#N/A</v>
      </c>
      <c r="E1829" t="e">
        <f>NA()</f>
        <v>#N/A</v>
      </c>
      <c r="F1829" t="e">
        <f>NA()</f>
        <v>#N/A</v>
      </c>
      <c r="G1829" t="e">
        <f>NA()</f>
        <v>#N/A</v>
      </c>
      <c r="H1829" t="e">
        <f>NA()</f>
        <v>#N/A</v>
      </c>
      <c r="I1829" t="e">
        <f>NA()</f>
        <v>#N/A</v>
      </c>
      <c r="J1829" t="e">
        <f>NA()</f>
        <v>#N/A</v>
      </c>
      <c r="K1829" t="e">
        <f>NA()</f>
        <v>#N/A</v>
      </c>
      <c r="L1829" t="e">
        <f>NA()</f>
        <v>#N/A</v>
      </c>
      <c r="M1829" t="e">
        <f>NA()</f>
        <v>#N/A</v>
      </c>
      <c r="N1829" t="e">
        <f>NA()</f>
        <v>#N/A</v>
      </c>
      <c r="O1829">
        <f t="shared" si="67"/>
        <v>1.9</v>
      </c>
    </row>
    <row r="1830" spans="1:15" x14ac:dyDescent="0.25">
      <c r="A1830" s="1">
        <v>43360</v>
      </c>
      <c r="B1830" t="e">
        <f>NA()</f>
        <v>#N/A</v>
      </c>
      <c r="C1830" t="e">
        <f>NA()</f>
        <v>#N/A</v>
      </c>
      <c r="D1830" t="e">
        <f>NA()</f>
        <v>#N/A</v>
      </c>
      <c r="E1830" t="e">
        <f>NA()</f>
        <v>#N/A</v>
      </c>
      <c r="F1830" t="e">
        <f>NA()</f>
        <v>#N/A</v>
      </c>
      <c r="G1830" t="e">
        <f>NA()</f>
        <v>#N/A</v>
      </c>
      <c r="H1830" t="e">
        <f>NA()</f>
        <v>#N/A</v>
      </c>
      <c r="I1830" t="e">
        <f>NA()</f>
        <v>#N/A</v>
      </c>
      <c r="J1830" t="e">
        <f>NA()</f>
        <v>#N/A</v>
      </c>
      <c r="K1830" t="e">
        <f>NA()</f>
        <v>#N/A</v>
      </c>
      <c r="L1830" t="e">
        <f>NA()</f>
        <v>#N/A</v>
      </c>
      <c r="M1830" t="e">
        <f>NA()</f>
        <v>#N/A</v>
      </c>
      <c r="N1830" t="e">
        <f>NA()</f>
        <v>#N/A</v>
      </c>
      <c r="O1830">
        <f t="shared" si="67"/>
        <v>1.9</v>
      </c>
    </row>
    <row r="1831" spans="1:15" x14ac:dyDescent="0.25">
      <c r="A1831" s="1">
        <v>43357</v>
      </c>
      <c r="B1831">
        <f>-0.7</f>
        <v>-0.7</v>
      </c>
      <c r="C1831">
        <f>0</f>
        <v>0</v>
      </c>
      <c r="D1831" t="e">
        <f>NA()</f>
        <v>#N/A</v>
      </c>
      <c r="E1831" t="e">
        <f>NA()</f>
        <v>#N/A</v>
      </c>
      <c r="F1831" t="e">
        <f>NA()</f>
        <v>#N/A</v>
      </c>
      <c r="G1831" t="e">
        <f>NA()</f>
        <v>#N/A</v>
      </c>
      <c r="H1831" t="e">
        <f>NA()</f>
        <v>#N/A</v>
      </c>
      <c r="I1831" t="e">
        <f>NA()</f>
        <v>#N/A</v>
      </c>
      <c r="J1831" t="e">
        <f>NA()</f>
        <v>#N/A</v>
      </c>
      <c r="K1831" t="e">
        <f>NA()</f>
        <v>#N/A</v>
      </c>
      <c r="L1831" t="e">
        <f>NA()</f>
        <v>#N/A</v>
      </c>
      <c r="M1831" t="e">
        <f>NA()</f>
        <v>#N/A</v>
      </c>
      <c r="N1831" t="e">
        <f>NA()</f>
        <v>#N/A</v>
      </c>
      <c r="O1831">
        <f t="shared" si="67"/>
        <v>1.9</v>
      </c>
    </row>
    <row r="1832" spans="1:15" x14ac:dyDescent="0.25">
      <c r="A1832" s="1">
        <v>43356</v>
      </c>
      <c r="B1832" t="e">
        <f>NA()</f>
        <v>#N/A</v>
      </c>
      <c r="C1832" t="e">
        <f>NA()</f>
        <v>#N/A</v>
      </c>
      <c r="D1832" t="e">
        <f>NA()</f>
        <v>#N/A</v>
      </c>
      <c r="E1832" t="e">
        <f>NA()</f>
        <v>#N/A</v>
      </c>
      <c r="F1832" t="e">
        <f>NA()</f>
        <v>#N/A</v>
      </c>
      <c r="G1832" t="e">
        <f>NA()</f>
        <v>#N/A</v>
      </c>
      <c r="H1832" t="e">
        <f>NA()</f>
        <v>#N/A</v>
      </c>
      <c r="I1832" t="e">
        <f>NA()</f>
        <v>#N/A</v>
      </c>
      <c r="J1832" t="e">
        <f>NA()</f>
        <v>#N/A</v>
      </c>
      <c r="K1832" t="e">
        <f>NA()</f>
        <v>#N/A</v>
      </c>
      <c r="L1832" t="e">
        <f>NA()</f>
        <v>#N/A</v>
      </c>
      <c r="M1832" t="e">
        <f>NA()</f>
        <v>#N/A</v>
      </c>
      <c r="N1832" t="e">
        <f>NA()</f>
        <v>#N/A</v>
      </c>
      <c r="O1832">
        <f t="shared" si="67"/>
        <v>1.9</v>
      </c>
    </row>
    <row r="1833" spans="1:15" x14ac:dyDescent="0.25">
      <c r="A1833" s="1">
        <v>43355</v>
      </c>
      <c r="B1833" t="e">
        <f>NA()</f>
        <v>#N/A</v>
      </c>
      <c r="C1833" t="e">
        <f>NA()</f>
        <v>#N/A</v>
      </c>
      <c r="D1833" t="e">
        <f>NA()</f>
        <v>#N/A</v>
      </c>
      <c r="E1833" t="e">
        <f>NA()</f>
        <v>#N/A</v>
      </c>
      <c r="F1833" t="e">
        <f>NA()</f>
        <v>#N/A</v>
      </c>
      <c r="G1833" t="e">
        <f>NA()</f>
        <v>#N/A</v>
      </c>
      <c r="H1833" t="e">
        <f>NA()</f>
        <v>#N/A</v>
      </c>
      <c r="I1833" t="e">
        <f>NA()</f>
        <v>#N/A</v>
      </c>
      <c r="J1833" t="e">
        <f>NA()</f>
        <v>#N/A</v>
      </c>
      <c r="K1833" t="e">
        <f>NA()</f>
        <v>#N/A</v>
      </c>
      <c r="L1833" t="e">
        <f>NA()</f>
        <v>#N/A</v>
      </c>
      <c r="M1833" t="e">
        <f>NA()</f>
        <v>#N/A</v>
      </c>
      <c r="N1833" t="e">
        <f>NA()</f>
        <v>#N/A</v>
      </c>
      <c r="O1833">
        <f t="shared" si="67"/>
        <v>1.9</v>
      </c>
    </row>
    <row r="1834" spans="1:15" x14ac:dyDescent="0.25">
      <c r="A1834" s="1">
        <v>43354</v>
      </c>
      <c r="B1834" t="e">
        <f>NA()</f>
        <v>#N/A</v>
      </c>
      <c r="C1834" t="e">
        <f>NA()</f>
        <v>#N/A</v>
      </c>
      <c r="D1834" t="e">
        <f>NA()</f>
        <v>#N/A</v>
      </c>
      <c r="E1834" t="e">
        <f>NA()</f>
        <v>#N/A</v>
      </c>
      <c r="F1834" t="e">
        <f>NA()</f>
        <v>#N/A</v>
      </c>
      <c r="G1834" t="e">
        <f>NA()</f>
        <v>#N/A</v>
      </c>
      <c r="H1834" t="e">
        <f>NA()</f>
        <v>#N/A</v>
      </c>
      <c r="I1834" t="e">
        <f>NA()</f>
        <v>#N/A</v>
      </c>
      <c r="J1834" t="e">
        <f>NA()</f>
        <v>#N/A</v>
      </c>
      <c r="K1834" t="e">
        <f>NA()</f>
        <v>#N/A</v>
      </c>
      <c r="L1834" t="e">
        <f>NA()</f>
        <v>#N/A</v>
      </c>
      <c r="M1834" t="e">
        <f>NA()</f>
        <v>#N/A</v>
      </c>
      <c r="N1834" t="e">
        <f>NA()</f>
        <v>#N/A</v>
      </c>
      <c r="O1834">
        <f t="shared" si="67"/>
        <v>1.9</v>
      </c>
    </row>
    <row r="1835" spans="1:15" x14ac:dyDescent="0.25">
      <c r="A1835" s="1">
        <v>43353</v>
      </c>
      <c r="B1835" t="e">
        <f>NA()</f>
        <v>#N/A</v>
      </c>
      <c r="C1835" t="e">
        <f>NA()</f>
        <v>#N/A</v>
      </c>
      <c r="D1835" t="e">
        <f>NA()</f>
        <v>#N/A</v>
      </c>
      <c r="E1835" t="e">
        <f>NA()</f>
        <v>#N/A</v>
      </c>
      <c r="F1835" t="e">
        <f>NA()</f>
        <v>#N/A</v>
      </c>
      <c r="G1835" t="e">
        <f>NA()</f>
        <v>#N/A</v>
      </c>
      <c r="H1835" t="e">
        <f>NA()</f>
        <v>#N/A</v>
      </c>
      <c r="I1835" t="e">
        <f>NA()</f>
        <v>#N/A</v>
      </c>
      <c r="J1835" t="e">
        <f>NA()</f>
        <v>#N/A</v>
      </c>
      <c r="K1835" t="e">
        <f>NA()</f>
        <v>#N/A</v>
      </c>
      <c r="L1835" t="e">
        <f>NA()</f>
        <v>#N/A</v>
      </c>
      <c r="M1835" t="e">
        <f>NA()</f>
        <v>#N/A</v>
      </c>
      <c r="N1835" t="e">
        <f>NA()</f>
        <v>#N/A</v>
      </c>
      <c r="O1835">
        <f t="shared" si="67"/>
        <v>1.9</v>
      </c>
    </row>
    <row r="1836" spans="1:15" x14ac:dyDescent="0.25">
      <c r="A1836" s="1">
        <v>43350</v>
      </c>
      <c r="B1836">
        <f>-0.6</f>
        <v>-0.6</v>
      </c>
      <c r="C1836">
        <f>0</f>
        <v>0</v>
      </c>
      <c r="D1836" t="e">
        <f>NA()</f>
        <v>#N/A</v>
      </c>
      <c r="E1836" t="e">
        <f>NA()</f>
        <v>#N/A</v>
      </c>
      <c r="F1836" t="e">
        <f>NA()</f>
        <v>#N/A</v>
      </c>
      <c r="G1836" t="e">
        <f>NA()</f>
        <v>#N/A</v>
      </c>
      <c r="H1836" t="e">
        <f>NA()</f>
        <v>#N/A</v>
      </c>
      <c r="I1836" t="e">
        <f>NA()</f>
        <v>#N/A</v>
      </c>
      <c r="J1836" t="e">
        <f>NA()</f>
        <v>#N/A</v>
      </c>
      <c r="K1836" t="e">
        <f>NA()</f>
        <v>#N/A</v>
      </c>
      <c r="L1836" t="e">
        <f>NA()</f>
        <v>#N/A</v>
      </c>
      <c r="M1836" t="e">
        <f>NA()</f>
        <v>#N/A</v>
      </c>
      <c r="N1836" t="e">
        <f>NA()</f>
        <v>#N/A</v>
      </c>
      <c r="O1836">
        <f t="shared" si="67"/>
        <v>1.9</v>
      </c>
    </row>
    <row r="1837" spans="1:15" x14ac:dyDescent="0.25">
      <c r="A1837" s="1">
        <v>43349</v>
      </c>
      <c r="B1837" t="e">
        <f>NA()</f>
        <v>#N/A</v>
      </c>
      <c r="C1837" t="e">
        <f>NA()</f>
        <v>#N/A</v>
      </c>
      <c r="D1837" t="e">
        <f>NA()</f>
        <v>#N/A</v>
      </c>
      <c r="E1837" t="e">
        <f>NA()</f>
        <v>#N/A</v>
      </c>
      <c r="F1837" t="e">
        <f>NA()</f>
        <v>#N/A</v>
      </c>
      <c r="G1837" t="e">
        <f>NA()</f>
        <v>#N/A</v>
      </c>
      <c r="H1837" t="e">
        <f>NA()</f>
        <v>#N/A</v>
      </c>
      <c r="I1837" t="e">
        <f>NA()</f>
        <v>#N/A</v>
      </c>
      <c r="J1837" t="e">
        <f>NA()</f>
        <v>#N/A</v>
      </c>
      <c r="K1837" t="e">
        <f>NA()</f>
        <v>#N/A</v>
      </c>
      <c r="L1837" t="e">
        <f>NA()</f>
        <v>#N/A</v>
      </c>
      <c r="M1837" t="e">
        <f>NA()</f>
        <v>#N/A</v>
      </c>
      <c r="N1837" t="e">
        <f>NA()</f>
        <v>#N/A</v>
      </c>
      <c r="O1837">
        <f t="shared" si="67"/>
        <v>1.9</v>
      </c>
    </row>
    <row r="1838" spans="1:15" x14ac:dyDescent="0.25">
      <c r="A1838" s="1">
        <v>43348</v>
      </c>
      <c r="B1838" t="e">
        <f>NA()</f>
        <v>#N/A</v>
      </c>
      <c r="C1838" t="e">
        <f>NA()</f>
        <v>#N/A</v>
      </c>
      <c r="D1838" t="e">
        <f>NA()</f>
        <v>#N/A</v>
      </c>
      <c r="E1838" t="e">
        <f>NA()</f>
        <v>#N/A</v>
      </c>
      <c r="F1838" t="e">
        <f>NA()</f>
        <v>#N/A</v>
      </c>
      <c r="G1838" t="e">
        <f>NA()</f>
        <v>#N/A</v>
      </c>
      <c r="H1838" t="e">
        <f>NA()</f>
        <v>#N/A</v>
      </c>
      <c r="I1838" t="e">
        <f>NA()</f>
        <v>#N/A</v>
      </c>
      <c r="J1838" t="e">
        <f>NA()</f>
        <v>#N/A</v>
      </c>
      <c r="K1838" t="e">
        <f>NA()</f>
        <v>#N/A</v>
      </c>
      <c r="L1838" t="e">
        <f>NA()</f>
        <v>#N/A</v>
      </c>
      <c r="M1838" t="e">
        <f>NA()</f>
        <v>#N/A</v>
      </c>
      <c r="N1838" t="e">
        <f>NA()</f>
        <v>#N/A</v>
      </c>
      <c r="O1838">
        <f t="shared" si="67"/>
        <v>1.9</v>
      </c>
    </row>
    <row r="1839" spans="1:15" x14ac:dyDescent="0.25">
      <c r="A1839" s="1">
        <v>43347</v>
      </c>
      <c r="B1839" t="e">
        <f>NA()</f>
        <v>#N/A</v>
      </c>
      <c r="C1839" t="e">
        <f>NA()</f>
        <v>#N/A</v>
      </c>
      <c r="D1839" t="e">
        <f>NA()</f>
        <v>#N/A</v>
      </c>
      <c r="E1839" t="e">
        <f>NA()</f>
        <v>#N/A</v>
      </c>
      <c r="F1839" t="e">
        <f>NA()</f>
        <v>#N/A</v>
      </c>
      <c r="G1839" t="e">
        <f>NA()</f>
        <v>#N/A</v>
      </c>
      <c r="H1839" t="e">
        <f>NA()</f>
        <v>#N/A</v>
      </c>
      <c r="I1839" t="e">
        <f>NA()</f>
        <v>#N/A</v>
      </c>
      <c r="J1839" t="e">
        <f>NA()</f>
        <v>#N/A</v>
      </c>
      <c r="K1839" t="e">
        <f>NA()</f>
        <v>#N/A</v>
      </c>
      <c r="L1839" t="e">
        <f>NA()</f>
        <v>#N/A</v>
      </c>
      <c r="M1839" t="e">
        <f>NA()</f>
        <v>#N/A</v>
      </c>
      <c r="N1839" t="e">
        <f>NA()</f>
        <v>#N/A</v>
      </c>
      <c r="O1839">
        <f t="shared" si="67"/>
        <v>1.9</v>
      </c>
    </row>
    <row r="1840" spans="1:15" x14ac:dyDescent="0.25">
      <c r="A1840" s="1">
        <v>43343</v>
      </c>
      <c r="B1840">
        <f>-0.7</f>
        <v>-0.7</v>
      </c>
      <c r="C1840">
        <f>0</f>
        <v>0</v>
      </c>
      <c r="D1840">
        <f>0.4</f>
        <v>0.4</v>
      </c>
      <c r="E1840">
        <f>0.5</f>
        <v>0.5</v>
      </c>
      <c r="F1840">
        <f>7208</f>
        <v>7208</v>
      </c>
      <c r="G1840">
        <f>62.6</f>
        <v>62.6</v>
      </c>
      <c r="H1840">
        <f>5.4</f>
        <v>5.4</v>
      </c>
      <c r="I1840">
        <f>252.1</f>
        <v>252.1</v>
      </c>
      <c r="J1840">
        <f>2.7</f>
        <v>2.7</v>
      </c>
      <c r="K1840">
        <f>60.5</f>
        <v>60.5</v>
      </c>
      <c r="L1840">
        <f>0.7</f>
        <v>0.7</v>
      </c>
      <c r="M1840" t="e">
        <f>NA()</f>
        <v>#N/A</v>
      </c>
      <c r="N1840">
        <f>3.8</f>
        <v>3.8</v>
      </c>
      <c r="O1840">
        <f t="shared" si="67"/>
        <v>1.9</v>
      </c>
    </row>
    <row r="1841" spans="1:15" x14ac:dyDescent="0.25">
      <c r="A1841" s="1">
        <v>43342</v>
      </c>
      <c r="B1841" t="e">
        <f>NA()</f>
        <v>#N/A</v>
      </c>
      <c r="C1841" t="e">
        <f>NA()</f>
        <v>#N/A</v>
      </c>
      <c r="D1841" t="e">
        <f>NA()</f>
        <v>#N/A</v>
      </c>
      <c r="E1841" t="e">
        <f>NA()</f>
        <v>#N/A</v>
      </c>
      <c r="F1841" t="e">
        <f>NA()</f>
        <v>#N/A</v>
      </c>
      <c r="G1841" t="e">
        <f>NA()</f>
        <v>#N/A</v>
      </c>
      <c r="H1841" t="e">
        <f>NA()</f>
        <v>#N/A</v>
      </c>
      <c r="I1841" t="e">
        <f>NA()</f>
        <v>#N/A</v>
      </c>
      <c r="J1841" t="e">
        <f>NA()</f>
        <v>#N/A</v>
      </c>
      <c r="K1841" t="e">
        <f>NA()</f>
        <v>#N/A</v>
      </c>
      <c r="L1841" t="e">
        <f>NA()</f>
        <v>#N/A</v>
      </c>
      <c r="M1841" t="e">
        <f>NA()</f>
        <v>#N/A</v>
      </c>
      <c r="N1841" t="e">
        <f>NA()</f>
        <v>#N/A</v>
      </c>
      <c r="O1841">
        <f t="shared" si="67"/>
        <v>1.9</v>
      </c>
    </row>
    <row r="1842" spans="1:15" x14ac:dyDescent="0.25">
      <c r="A1842" s="1">
        <v>43341</v>
      </c>
      <c r="B1842" t="e">
        <f>NA()</f>
        <v>#N/A</v>
      </c>
      <c r="C1842" t="e">
        <f>NA()</f>
        <v>#N/A</v>
      </c>
      <c r="D1842" t="e">
        <f>NA()</f>
        <v>#N/A</v>
      </c>
      <c r="E1842" t="e">
        <f>NA()</f>
        <v>#N/A</v>
      </c>
      <c r="F1842" t="e">
        <f>NA()</f>
        <v>#N/A</v>
      </c>
      <c r="G1842" t="e">
        <f>NA()</f>
        <v>#N/A</v>
      </c>
      <c r="H1842" t="e">
        <f>NA()</f>
        <v>#N/A</v>
      </c>
      <c r="I1842" t="e">
        <f>NA()</f>
        <v>#N/A</v>
      </c>
      <c r="J1842" t="e">
        <f>NA()</f>
        <v>#N/A</v>
      </c>
      <c r="K1842" t="e">
        <f>NA()</f>
        <v>#N/A</v>
      </c>
      <c r="L1842" t="e">
        <f>NA()</f>
        <v>#N/A</v>
      </c>
      <c r="M1842" t="e">
        <f>NA()</f>
        <v>#N/A</v>
      </c>
      <c r="N1842" t="e">
        <f>NA()</f>
        <v>#N/A</v>
      </c>
      <c r="O1842">
        <f t="shared" si="67"/>
        <v>1.9</v>
      </c>
    </row>
    <row r="1843" spans="1:15" x14ac:dyDescent="0.25">
      <c r="A1843" s="1">
        <v>43340</v>
      </c>
      <c r="B1843" t="e">
        <f>NA()</f>
        <v>#N/A</v>
      </c>
      <c r="C1843" t="e">
        <f>NA()</f>
        <v>#N/A</v>
      </c>
      <c r="D1843" t="e">
        <f>NA()</f>
        <v>#N/A</v>
      </c>
      <c r="E1843" t="e">
        <f>NA()</f>
        <v>#N/A</v>
      </c>
      <c r="F1843" t="e">
        <f>NA()</f>
        <v>#N/A</v>
      </c>
      <c r="G1843" t="e">
        <f>NA()</f>
        <v>#N/A</v>
      </c>
      <c r="H1843" t="e">
        <f>NA()</f>
        <v>#N/A</v>
      </c>
      <c r="I1843" t="e">
        <f>NA()</f>
        <v>#N/A</v>
      </c>
      <c r="J1843" t="e">
        <f>NA()</f>
        <v>#N/A</v>
      </c>
      <c r="K1843" t="e">
        <f>NA()</f>
        <v>#N/A</v>
      </c>
      <c r="L1843" t="e">
        <f>NA()</f>
        <v>#N/A</v>
      </c>
      <c r="M1843" t="e">
        <f>NA()</f>
        <v>#N/A</v>
      </c>
      <c r="N1843" t="e">
        <f>NA()</f>
        <v>#N/A</v>
      </c>
      <c r="O1843">
        <f t="shared" si="67"/>
        <v>1.9</v>
      </c>
    </row>
    <row r="1844" spans="1:15" x14ac:dyDescent="0.25">
      <c r="A1844" s="1">
        <v>43339</v>
      </c>
      <c r="B1844" t="e">
        <f>NA()</f>
        <v>#N/A</v>
      </c>
      <c r="C1844" t="e">
        <f>NA()</f>
        <v>#N/A</v>
      </c>
      <c r="D1844" t="e">
        <f>NA()</f>
        <v>#N/A</v>
      </c>
      <c r="E1844" t="e">
        <f>NA()</f>
        <v>#N/A</v>
      </c>
      <c r="F1844" t="e">
        <f>NA()</f>
        <v>#N/A</v>
      </c>
      <c r="G1844" t="e">
        <f>NA()</f>
        <v>#N/A</v>
      </c>
      <c r="H1844" t="e">
        <f>NA()</f>
        <v>#N/A</v>
      </c>
      <c r="I1844" t="e">
        <f>NA()</f>
        <v>#N/A</v>
      </c>
      <c r="J1844" t="e">
        <f>NA()</f>
        <v>#N/A</v>
      </c>
      <c r="K1844" t="e">
        <f>NA()</f>
        <v>#N/A</v>
      </c>
      <c r="L1844" t="e">
        <f>NA()</f>
        <v>#N/A</v>
      </c>
      <c r="M1844" t="e">
        <f>NA()</f>
        <v>#N/A</v>
      </c>
      <c r="N1844" t="e">
        <f>NA()</f>
        <v>#N/A</v>
      </c>
      <c r="O1844">
        <f t="shared" si="67"/>
        <v>1.9</v>
      </c>
    </row>
    <row r="1845" spans="1:15" x14ac:dyDescent="0.25">
      <c r="A1845" s="1">
        <v>43336</v>
      </c>
      <c r="B1845">
        <f>-0.6</f>
        <v>-0.6</v>
      </c>
      <c r="C1845">
        <f>0</f>
        <v>0</v>
      </c>
      <c r="D1845" t="e">
        <f>NA()</f>
        <v>#N/A</v>
      </c>
      <c r="E1845" t="e">
        <f>NA()</f>
        <v>#N/A</v>
      </c>
      <c r="F1845" t="e">
        <f>NA()</f>
        <v>#N/A</v>
      </c>
      <c r="G1845" t="e">
        <f>NA()</f>
        <v>#N/A</v>
      </c>
      <c r="H1845" t="e">
        <f>NA()</f>
        <v>#N/A</v>
      </c>
      <c r="I1845" t="e">
        <f>NA()</f>
        <v>#N/A</v>
      </c>
      <c r="J1845" t="e">
        <f>NA()</f>
        <v>#N/A</v>
      </c>
      <c r="K1845" t="e">
        <f>NA()</f>
        <v>#N/A</v>
      </c>
      <c r="L1845" t="e">
        <f>NA()</f>
        <v>#N/A</v>
      </c>
      <c r="M1845" t="e">
        <f>NA()</f>
        <v>#N/A</v>
      </c>
      <c r="N1845" t="e">
        <f>NA()</f>
        <v>#N/A</v>
      </c>
      <c r="O1845">
        <f t="shared" si="67"/>
        <v>1.9</v>
      </c>
    </row>
    <row r="1846" spans="1:15" x14ac:dyDescent="0.25">
      <c r="A1846" s="1">
        <v>43335</v>
      </c>
      <c r="B1846" t="e">
        <f>NA()</f>
        <v>#N/A</v>
      </c>
      <c r="C1846" t="e">
        <f>NA()</f>
        <v>#N/A</v>
      </c>
      <c r="D1846" t="e">
        <f>NA()</f>
        <v>#N/A</v>
      </c>
      <c r="E1846" t="e">
        <f>NA()</f>
        <v>#N/A</v>
      </c>
      <c r="F1846" t="e">
        <f>NA()</f>
        <v>#N/A</v>
      </c>
      <c r="G1846" t="e">
        <f>NA()</f>
        <v>#N/A</v>
      </c>
      <c r="H1846" t="e">
        <f>NA()</f>
        <v>#N/A</v>
      </c>
      <c r="I1846" t="e">
        <f>NA()</f>
        <v>#N/A</v>
      </c>
      <c r="J1846" t="e">
        <f>NA()</f>
        <v>#N/A</v>
      </c>
      <c r="K1846" t="e">
        <f>NA()</f>
        <v>#N/A</v>
      </c>
      <c r="L1846" t="e">
        <f>NA()</f>
        <v>#N/A</v>
      </c>
      <c r="M1846" t="e">
        <f>NA()</f>
        <v>#N/A</v>
      </c>
      <c r="N1846" t="e">
        <f>NA()</f>
        <v>#N/A</v>
      </c>
      <c r="O1846">
        <f t="shared" si="67"/>
        <v>1.9</v>
      </c>
    </row>
    <row r="1847" spans="1:15" x14ac:dyDescent="0.25">
      <c r="A1847" s="1">
        <v>43334</v>
      </c>
      <c r="B1847" t="e">
        <f>NA()</f>
        <v>#N/A</v>
      </c>
      <c r="C1847" t="e">
        <f>NA()</f>
        <v>#N/A</v>
      </c>
      <c r="D1847" t="e">
        <f>NA()</f>
        <v>#N/A</v>
      </c>
      <c r="E1847" t="e">
        <f>NA()</f>
        <v>#N/A</v>
      </c>
      <c r="F1847" t="e">
        <f>NA()</f>
        <v>#N/A</v>
      </c>
      <c r="G1847" t="e">
        <f>NA()</f>
        <v>#N/A</v>
      </c>
      <c r="H1847" t="e">
        <f>NA()</f>
        <v>#N/A</v>
      </c>
      <c r="I1847" t="e">
        <f>NA()</f>
        <v>#N/A</v>
      </c>
      <c r="J1847" t="e">
        <f>NA()</f>
        <v>#N/A</v>
      </c>
      <c r="K1847" t="e">
        <f>NA()</f>
        <v>#N/A</v>
      </c>
      <c r="L1847" t="e">
        <f>NA()</f>
        <v>#N/A</v>
      </c>
      <c r="M1847" t="e">
        <f>NA()</f>
        <v>#N/A</v>
      </c>
      <c r="N1847" t="e">
        <f>NA()</f>
        <v>#N/A</v>
      </c>
      <c r="O1847">
        <f t="shared" si="67"/>
        <v>1.9</v>
      </c>
    </row>
    <row r="1848" spans="1:15" x14ac:dyDescent="0.25">
      <c r="A1848" s="1">
        <v>43333</v>
      </c>
      <c r="B1848" t="e">
        <f>NA()</f>
        <v>#N/A</v>
      </c>
      <c r="C1848" t="e">
        <f>NA()</f>
        <v>#N/A</v>
      </c>
      <c r="D1848" t="e">
        <f>NA()</f>
        <v>#N/A</v>
      </c>
      <c r="E1848" t="e">
        <f>NA()</f>
        <v>#N/A</v>
      </c>
      <c r="F1848" t="e">
        <f>NA()</f>
        <v>#N/A</v>
      </c>
      <c r="G1848" t="e">
        <f>NA()</f>
        <v>#N/A</v>
      </c>
      <c r="H1848" t="e">
        <f>NA()</f>
        <v>#N/A</v>
      </c>
      <c r="I1848" t="e">
        <f>NA()</f>
        <v>#N/A</v>
      </c>
      <c r="J1848" t="e">
        <f>NA()</f>
        <v>#N/A</v>
      </c>
      <c r="K1848" t="e">
        <f>NA()</f>
        <v>#N/A</v>
      </c>
      <c r="L1848" t="e">
        <f>NA()</f>
        <v>#N/A</v>
      </c>
      <c r="M1848" t="e">
        <f>NA()</f>
        <v>#N/A</v>
      </c>
      <c r="N1848" t="e">
        <f>NA()</f>
        <v>#N/A</v>
      </c>
      <c r="O1848">
        <f t="shared" si="67"/>
        <v>1.9</v>
      </c>
    </row>
    <row r="1849" spans="1:15" x14ac:dyDescent="0.25">
      <c r="A1849" s="1">
        <v>43332</v>
      </c>
      <c r="B1849" t="e">
        <f>NA()</f>
        <v>#N/A</v>
      </c>
      <c r="C1849" t="e">
        <f>NA()</f>
        <v>#N/A</v>
      </c>
      <c r="D1849" t="e">
        <f>NA()</f>
        <v>#N/A</v>
      </c>
      <c r="E1849" t="e">
        <f>NA()</f>
        <v>#N/A</v>
      </c>
      <c r="F1849" t="e">
        <f>NA()</f>
        <v>#N/A</v>
      </c>
      <c r="G1849" t="e">
        <f>NA()</f>
        <v>#N/A</v>
      </c>
      <c r="H1849" t="e">
        <f>NA()</f>
        <v>#N/A</v>
      </c>
      <c r="I1849" t="e">
        <f>NA()</f>
        <v>#N/A</v>
      </c>
      <c r="J1849" t="e">
        <f>NA()</f>
        <v>#N/A</v>
      </c>
      <c r="K1849" t="e">
        <f>NA()</f>
        <v>#N/A</v>
      </c>
      <c r="L1849" t="e">
        <f>NA()</f>
        <v>#N/A</v>
      </c>
      <c r="M1849" t="e">
        <f>NA()</f>
        <v>#N/A</v>
      </c>
      <c r="N1849" t="e">
        <f>NA()</f>
        <v>#N/A</v>
      </c>
      <c r="O1849">
        <f t="shared" si="67"/>
        <v>1.9</v>
      </c>
    </row>
    <row r="1850" spans="1:15" x14ac:dyDescent="0.25">
      <c r="A1850" s="1">
        <v>43329</v>
      </c>
      <c r="B1850">
        <f>-0.5</f>
        <v>-0.5</v>
      </c>
      <c r="C1850">
        <f>0</f>
        <v>0</v>
      </c>
      <c r="D1850" t="e">
        <f>NA()</f>
        <v>#N/A</v>
      </c>
      <c r="E1850" t="e">
        <f>NA()</f>
        <v>#N/A</v>
      </c>
      <c r="F1850" t="e">
        <f>NA()</f>
        <v>#N/A</v>
      </c>
      <c r="G1850" t="e">
        <f>NA()</f>
        <v>#N/A</v>
      </c>
      <c r="H1850" t="e">
        <f>NA()</f>
        <v>#N/A</v>
      </c>
      <c r="I1850" t="e">
        <f>NA()</f>
        <v>#N/A</v>
      </c>
      <c r="J1850" t="e">
        <f>NA()</f>
        <v>#N/A</v>
      </c>
      <c r="K1850" t="e">
        <f>NA()</f>
        <v>#N/A</v>
      </c>
      <c r="L1850" t="e">
        <f>NA()</f>
        <v>#N/A</v>
      </c>
      <c r="M1850" t="e">
        <f>NA()</f>
        <v>#N/A</v>
      </c>
      <c r="N1850" t="e">
        <f>NA()</f>
        <v>#N/A</v>
      </c>
      <c r="O1850">
        <f t="shared" si="67"/>
        <v>1.9</v>
      </c>
    </row>
    <row r="1851" spans="1:15" x14ac:dyDescent="0.25">
      <c r="A1851" s="1">
        <v>43328</v>
      </c>
      <c r="B1851" t="e">
        <f>NA()</f>
        <v>#N/A</v>
      </c>
      <c r="C1851" t="e">
        <f>NA()</f>
        <v>#N/A</v>
      </c>
      <c r="D1851" t="e">
        <f>NA()</f>
        <v>#N/A</v>
      </c>
      <c r="E1851" t="e">
        <f>NA()</f>
        <v>#N/A</v>
      </c>
      <c r="F1851" t="e">
        <f>NA()</f>
        <v>#N/A</v>
      </c>
      <c r="G1851" t="e">
        <f>NA()</f>
        <v>#N/A</v>
      </c>
      <c r="H1851" t="e">
        <f>NA()</f>
        <v>#N/A</v>
      </c>
      <c r="I1851" t="e">
        <f>NA()</f>
        <v>#N/A</v>
      </c>
      <c r="J1851" t="e">
        <f>NA()</f>
        <v>#N/A</v>
      </c>
      <c r="K1851" t="e">
        <f>NA()</f>
        <v>#N/A</v>
      </c>
      <c r="L1851" t="e">
        <f>NA()</f>
        <v>#N/A</v>
      </c>
      <c r="M1851" t="e">
        <f>NA()</f>
        <v>#N/A</v>
      </c>
      <c r="N1851" t="e">
        <f>NA()</f>
        <v>#N/A</v>
      </c>
      <c r="O1851">
        <f t="shared" si="67"/>
        <v>1.9</v>
      </c>
    </row>
    <row r="1852" spans="1:15" x14ac:dyDescent="0.25">
      <c r="A1852" s="1">
        <v>43327</v>
      </c>
      <c r="B1852" t="e">
        <f>NA()</f>
        <v>#N/A</v>
      </c>
      <c r="C1852" t="e">
        <f>NA()</f>
        <v>#N/A</v>
      </c>
      <c r="D1852" t="e">
        <f>NA()</f>
        <v>#N/A</v>
      </c>
      <c r="E1852" t="e">
        <f>NA()</f>
        <v>#N/A</v>
      </c>
      <c r="F1852" t="e">
        <f>NA()</f>
        <v>#N/A</v>
      </c>
      <c r="G1852" t="e">
        <f>NA()</f>
        <v>#N/A</v>
      </c>
      <c r="H1852" t="e">
        <f>NA()</f>
        <v>#N/A</v>
      </c>
      <c r="I1852" t="e">
        <f>NA()</f>
        <v>#N/A</v>
      </c>
      <c r="J1852" t="e">
        <f>NA()</f>
        <v>#N/A</v>
      </c>
      <c r="K1852" t="e">
        <f>NA()</f>
        <v>#N/A</v>
      </c>
      <c r="L1852" t="e">
        <f>NA()</f>
        <v>#N/A</v>
      </c>
      <c r="M1852" t="e">
        <f>NA()</f>
        <v>#N/A</v>
      </c>
      <c r="N1852" t="e">
        <f>NA()</f>
        <v>#N/A</v>
      </c>
      <c r="O1852">
        <f t="shared" si="67"/>
        <v>1.9</v>
      </c>
    </row>
    <row r="1853" spans="1:15" x14ac:dyDescent="0.25">
      <c r="A1853" s="1">
        <v>43326</v>
      </c>
      <c r="B1853" t="e">
        <f>NA()</f>
        <v>#N/A</v>
      </c>
      <c r="C1853" t="e">
        <f>NA()</f>
        <v>#N/A</v>
      </c>
      <c r="D1853" t="e">
        <f>NA()</f>
        <v>#N/A</v>
      </c>
      <c r="E1853" t="e">
        <f>NA()</f>
        <v>#N/A</v>
      </c>
      <c r="F1853" t="e">
        <f>NA()</f>
        <v>#N/A</v>
      </c>
      <c r="G1853" t="e">
        <f>NA()</f>
        <v>#N/A</v>
      </c>
      <c r="H1853" t="e">
        <f>NA()</f>
        <v>#N/A</v>
      </c>
      <c r="I1853" t="e">
        <f>NA()</f>
        <v>#N/A</v>
      </c>
      <c r="J1853" t="e">
        <f>NA()</f>
        <v>#N/A</v>
      </c>
      <c r="K1853" t="e">
        <f>NA()</f>
        <v>#N/A</v>
      </c>
      <c r="L1853" t="e">
        <f>NA()</f>
        <v>#N/A</v>
      </c>
      <c r="M1853" t="e">
        <f>NA()</f>
        <v>#N/A</v>
      </c>
      <c r="N1853" t="e">
        <f>NA()</f>
        <v>#N/A</v>
      </c>
      <c r="O1853">
        <f t="shared" si="67"/>
        <v>1.9</v>
      </c>
    </row>
    <row r="1854" spans="1:15" x14ac:dyDescent="0.25">
      <c r="A1854" s="1">
        <v>43325</v>
      </c>
      <c r="B1854" t="e">
        <f>NA()</f>
        <v>#N/A</v>
      </c>
      <c r="C1854" t="e">
        <f>NA()</f>
        <v>#N/A</v>
      </c>
      <c r="D1854" t="e">
        <f>NA()</f>
        <v>#N/A</v>
      </c>
      <c r="E1854" t="e">
        <f>NA()</f>
        <v>#N/A</v>
      </c>
      <c r="F1854" t="e">
        <f>NA()</f>
        <v>#N/A</v>
      </c>
      <c r="G1854" t="e">
        <f>NA()</f>
        <v>#N/A</v>
      </c>
      <c r="H1854" t="e">
        <f>NA()</f>
        <v>#N/A</v>
      </c>
      <c r="I1854" t="e">
        <f>NA()</f>
        <v>#N/A</v>
      </c>
      <c r="J1854" t="e">
        <f>NA()</f>
        <v>#N/A</v>
      </c>
      <c r="K1854" t="e">
        <f>NA()</f>
        <v>#N/A</v>
      </c>
      <c r="L1854" t="e">
        <f>NA()</f>
        <v>#N/A</v>
      </c>
      <c r="M1854" t="e">
        <f>NA()</f>
        <v>#N/A</v>
      </c>
      <c r="N1854" t="e">
        <f>NA()</f>
        <v>#N/A</v>
      </c>
      <c r="O1854">
        <f t="shared" si="67"/>
        <v>1.9</v>
      </c>
    </row>
    <row r="1855" spans="1:15" x14ac:dyDescent="0.25">
      <c r="A1855" s="1">
        <v>43322</v>
      </c>
      <c r="B1855">
        <f>-0.6</f>
        <v>-0.6</v>
      </c>
      <c r="C1855">
        <f>0</f>
        <v>0</v>
      </c>
      <c r="D1855" t="e">
        <f>NA()</f>
        <v>#N/A</v>
      </c>
      <c r="E1855" t="e">
        <f>NA()</f>
        <v>#N/A</v>
      </c>
      <c r="F1855" t="e">
        <f>NA()</f>
        <v>#N/A</v>
      </c>
      <c r="G1855" t="e">
        <f>NA()</f>
        <v>#N/A</v>
      </c>
      <c r="H1855" t="e">
        <f>NA()</f>
        <v>#N/A</v>
      </c>
      <c r="I1855" t="e">
        <f>NA()</f>
        <v>#N/A</v>
      </c>
      <c r="J1855" t="e">
        <f>NA()</f>
        <v>#N/A</v>
      </c>
      <c r="K1855" t="e">
        <f>NA()</f>
        <v>#N/A</v>
      </c>
      <c r="L1855" t="e">
        <f>NA()</f>
        <v>#N/A</v>
      </c>
      <c r="M1855" t="e">
        <f>NA()</f>
        <v>#N/A</v>
      </c>
      <c r="N1855" t="e">
        <f>NA()</f>
        <v>#N/A</v>
      </c>
      <c r="O1855">
        <f t="shared" ref="O1855:O1883" si="68">1.9</f>
        <v>1.9</v>
      </c>
    </row>
    <row r="1856" spans="1:15" x14ac:dyDescent="0.25">
      <c r="A1856" s="1">
        <v>43321</v>
      </c>
      <c r="B1856" t="e">
        <f>NA()</f>
        <v>#N/A</v>
      </c>
      <c r="C1856" t="e">
        <f>NA()</f>
        <v>#N/A</v>
      </c>
      <c r="D1856" t="e">
        <f>NA()</f>
        <v>#N/A</v>
      </c>
      <c r="E1856" t="e">
        <f>NA()</f>
        <v>#N/A</v>
      </c>
      <c r="F1856" t="e">
        <f>NA()</f>
        <v>#N/A</v>
      </c>
      <c r="G1856" t="e">
        <f>NA()</f>
        <v>#N/A</v>
      </c>
      <c r="H1856" t="e">
        <f>NA()</f>
        <v>#N/A</v>
      </c>
      <c r="I1856" t="e">
        <f>NA()</f>
        <v>#N/A</v>
      </c>
      <c r="J1856" t="e">
        <f>NA()</f>
        <v>#N/A</v>
      </c>
      <c r="K1856" t="e">
        <f>NA()</f>
        <v>#N/A</v>
      </c>
      <c r="L1856" t="e">
        <f>NA()</f>
        <v>#N/A</v>
      </c>
      <c r="M1856" t="e">
        <f>NA()</f>
        <v>#N/A</v>
      </c>
      <c r="N1856" t="e">
        <f>NA()</f>
        <v>#N/A</v>
      </c>
      <c r="O1856">
        <f t="shared" si="68"/>
        <v>1.9</v>
      </c>
    </row>
    <row r="1857" spans="1:15" x14ac:dyDescent="0.25">
      <c r="A1857" s="1">
        <v>43320</v>
      </c>
      <c r="B1857" t="e">
        <f>NA()</f>
        <v>#N/A</v>
      </c>
      <c r="C1857" t="e">
        <f>NA()</f>
        <v>#N/A</v>
      </c>
      <c r="D1857" t="e">
        <f>NA()</f>
        <v>#N/A</v>
      </c>
      <c r="E1857" t="e">
        <f>NA()</f>
        <v>#N/A</v>
      </c>
      <c r="F1857" t="e">
        <f>NA()</f>
        <v>#N/A</v>
      </c>
      <c r="G1857" t="e">
        <f>NA()</f>
        <v>#N/A</v>
      </c>
      <c r="H1857" t="e">
        <f>NA()</f>
        <v>#N/A</v>
      </c>
      <c r="I1857" t="e">
        <f>NA()</f>
        <v>#N/A</v>
      </c>
      <c r="J1857" t="e">
        <f>NA()</f>
        <v>#N/A</v>
      </c>
      <c r="K1857" t="e">
        <f>NA()</f>
        <v>#N/A</v>
      </c>
      <c r="L1857" t="e">
        <f>NA()</f>
        <v>#N/A</v>
      </c>
      <c r="M1857" t="e">
        <f>NA()</f>
        <v>#N/A</v>
      </c>
      <c r="N1857" t="e">
        <f>NA()</f>
        <v>#N/A</v>
      </c>
      <c r="O1857">
        <f t="shared" si="68"/>
        <v>1.9</v>
      </c>
    </row>
    <row r="1858" spans="1:15" x14ac:dyDescent="0.25">
      <c r="A1858" s="1">
        <v>43319</v>
      </c>
      <c r="B1858" t="e">
        <f>NA()</f>
        <v>#N/A</v>
      </c>
      <c r="C1858" t="e">
        <f>NA()</f>
        <v>#N/A</v>
      </c>
      <c r="D1858" t="e">
        <f>NA()</f>
        <v>#N/A</v>
      </c>
      <c r="E1858" t="e">
        <f>NA()</f>
        <v>#N/A</v>
      </c>
      <c r="F1858" t="e">
        <f>NA()</f>
        <v>#N/A</v>
      </c>
      <c r="G1858" t="e">
        <f>NA()</f>
        <v>#N/A</v>
      </c>
      <c r="H1858" t="e">
        <f>NA()</f>
        <v>#N/A</v>
      </c>
      <c r="I1858" t="e">
        <f>NA()</f>
        <v>#N/A</v>
      </c>
      <c r="J1858" t="e">
        <f>NA()</f>
        <v>#N/A</v>
      </c>
      <c r="K1858" t="e">
        <f>NA()</f>
        <v>#N/A</v>
      </c>
      <c r="L1858" t="e">
        <f>NA()</f>
        <v>#N/A</v>
      </c>
      <c r="M1858" t="e">
        <f>NA()</f>
        <v>#N/A</v>
      </c>
      <c r="N1858" t="e">
        <f>NA()</f>
        <v>#N/A</v>
      </c>
      <c r="O1858">
        <f t="shared" si="68"/>
        <v>1.9</v>
      </c>
    </row>
    <row r="1859" spans="1:15" x14ac:dyDescent="0.25">
      <c r="A1859" s="1">
        <v>43318</v>
      </c>
      <c r="B1859" t="e">
        <f>NA()</f>
        <v>#N/A</v>
      </c>
      <c r="C1859" t="e">
        <f>NA()</f>
        <v>#N/A</v>
      </c>
      <c r="D1859" t="e">
        <f>NA()</f>
        <v>#N/A</v>
      </c>
      <c r="E1859" t="e">
        <f>NA()</f>
        <v>#N/A</v>
      </c>
      <c r="F1859" t="e">
        <f>NA()</f>
        <v>#N/A</v>
      </c>
      <c r="G1859" t="e">
        <f>NA()</f>
        <v>#N/A</v>
      </c>
      <c r="H1859" t="e">
        <f>NA()</f>
        <v>#N/A</v>
      </c>
      <c r="I1859" t="e">
        <f>NA()</f>
        <v>#N/A</v>
      </c>
      <c r="J1859" t="e">
        <f>NA()</f>
        <v>#N/A</v>
      </c>
      <c r="K1859" t="e">
        <f>NA()</f>
        <v>#N/A</v>
      </c>
      <c r="L1859" t="e">
        <f>NA()</f>
        <v>#N/A</v>
      </c>
      <c r="M1859" t="e">
        <f>NA()</f>
        <v>#N/A</v>
      </c>
      <c r="N1859" t="e">
        <f>NA()</f>
        <v>#N/A</v>
      </c>
      <c r="O1859">
        <f t="shared" si="68"/>
        <v>1.9</v>
      </c>
    </row>
    <row r="1860" spans="1:15" x14ac:dyDescent="0.25">
      <c r="A1860" s="1">
        <v>43315</v>
      </c>
      <c r="B1860">
        <f>-0.5</f>
        <v>-0.5</v>
      </c>
      <c r="C1860">
        <f>0</f>
        <v>0</v>
      </c>
      <c r="D1860" t="e">
        <f>NA()</f>
        <v>#N/A</v>
      </c>
      <c r="E1860" t="e">
        <f>NA()</f>
        <v>#N/A</v>
      </c>
      <c r="F1860" t="e">
        <f>NA()</f>
        <v>#N/A</v>
      </c>
      <c r="G1860" t="e">
        <f>NA()</f>
        <v>#N/A</v>
      </c>
      <c r="H1860" t="e">
        <f>NA()</f>
        <v>#N/A</v>
      </c>
      <c r="I1860" t="e">
        <f>NA()</f>
        <v>#N/A</v>
      </c>
      <c r="J1860" t="e">
        <f>NA()</f>
        <v>#N/A</v>
      </c>
      <c r="K1860" t="e">
        <f>NA()</f>
        <v>#N/A</v>
      </c>
      <c r="L1860" t="e">
        <f>NA()</f>
        <v>#N/A</v>
      </c>
      <c r="M1860" t="e">
        <f>NA()</f>
        <v>#N/A</v>
      </c>
      <c r="N1860" t="e">
        <f>NA()</f>
        <v>#N/A</v>
      </c>
      <c r="O1860">
        <f t="shared" si="68"/>
        <v>1.9</v>
      </c>
    </row>
    <row r="1861" spans="1:15" x14ac:dyDescent="0.25">
      <c r="A1861" s="1">
        <v>43314</v>
      </c>
      <c r="B1861" t="e">
        <f>NA()</f>
        <v>#N/A</v>
      </c>
      <c r="C1861" t="e">
        <f>NA()</f>
        <v>#N/A</v>
      </c>
      <c r="D1861" t="e">
        <f>NA()</f>
        <v>#N/A</v>
      </c>
      <c r="E1861" t="e">
        <f>NA()</f>
        <v>#N/A</v>
      </c>
      <c r="F1861" t="e">
        <f>NA()</f>
        <v>#N/A</v>
      </c>
      <c r="G1861" t="e">
        <f>NA()</f>
        <v>#N/A</v>
      </c>
      <c r="H1861" t="e">
        <f>NA()</f>
        <v>#N/A</v>
      </c>
      <c r="I1861" t="e">
        <f>NA()</f>
        <v>#N/A</v>
      </c>
      <c r="J1861" t="e">
        <f>NA()</f>
        <v>#N/A</v>
      </c>
      <c r="K1861" t="e">
        <f>NA()</f>
        <v>#N/A</v>
      </c>
      <c r="L1861" t="e">
        <f>NA()</f>
        <v>#N/A</v>
      </c>
      <c r="M1861" t="e">
        <f>NA()</f>
        <v>#N/A</v>
      </c>
      <c r="N1861" t="e">
        <f>NA()</f>
        <v>#N/A</v>
      </c>
      <c r="O1861">
        <f t="shared" si="68"/>
        <v>1.9</v>
      </c>
    </row>
    <row r="1862" spans="1:15" x14ac:dyDescent="0.25">
      <c r="A1862" s="1">
        <v>43313</v>
      </c>
      <c r="B1862" t="e">
        <f>NA()</f>
        <v>#N/A</v>
      </c>
      <c r="C1862" t="e">
        <f>NA()</f>
        <v>#N/A</v>
      </c>
      <c r="D1862" t="e">
        <f>NA()</f>
        <v>#N/A</v>
      </c>
      <c r="E1862" t="e">
        <f>NA()</f>
        <v>#N/A</v>
      </c>
      <c r="F1862" t="e">
        <f>NA()</f>
        <v>#N/A</v>
      </c>
      <c r="G1862" t="e">
        <f>NA()</f>
        <v>#N/A</v>
      </c>
      <c r="H1862" t="e">
        <f>NA()</f>
        <v>#N/A</v>
      </c>
      <c r="I1862" t="e">
        <f>NA()</f>
        <v>#N/A</v>
      </c>
      <c r="J1862" t="e">
        <f>NA()</f>
        <v>#N/A</v>
      </c>
      <c r="K1862" t="e">
        <f>NA()</f>
        <v>#N/A</v>
      </c>
      <c r="L1862" t="e">
        <f>NA()</f>
        <v>#N/A</v>
      </c>
      <c r="M1862" t="e">
        <f>NA()</f>
        <v>#N/A</v>
      </c>
      <c r="N1862" t="e">
        <f>NA()</f>
        <v>#N/A</v>
      </c>
      <c r="O1862">
        <f t="shared" si="68"/>
        <v>1.9</v>
      </c>
    </row>
    <row r="1863" spans="1:15" x14ac:dyDescent="0.25">
      <c r="A1863" s="1">
        <v>43312</v>
      </c>
      <c r="B1863" t="e">
        <f>NA()</f>
        <v>#N/A</v>
      </c>
      <c r="C1863" t="e">
        <f>NA()</f>
        <v>#N/A</v>
      </c>
      <c r="D1863">
        <f>0.3</f>
        <v>0.3</v>
      </c>
      <c r="E1863">
        <f>0</f>
        <v>0</v>
      </c>
      <c r="F1863">
        <f>7190</f>
        <v>7190</v>
      </c>
      <c r="G1863">
        <f>63</f>
        <v>63</v>
      </c>
      <c r="H1863">
        <f>5.4</f>
        <v>5.4</v>
      </c>
      <c r="I1863">
        <f>252</f>
        <v>252</v>
      </c>
      <c r="J1863">
        <f>2.9</f>
        <v>2.9</v>
      </c>
      <c r="K1863">
        <f>58.1</f>
        <v>58.1</v>
      </c>
      <c r="L1863">
        <f>0.1</f>
        <v>0.1</v>
      </c>
      <c r="M1863" t="e">
        <f>NA()</f>
        <v>#N/A</v>
      </c>
      <c r="N1863">
        <f>3.8</f>
        <v>3.8</v>
      </c>
      <c r="O1863">
        <f t="shared" si="68"/>
        <v>1.9</v>
      </c>
    </row>
    <row r="1864" spans="1:15" x14ac:dyDescent="0.25">
      <c r="A1864" s="1">
        <v>43311</v>
      </c>
      <c r="B1864" t="e">
        <f>NA()</f>
        <v>#N/A</v>
      </c>
      <c r="C1864" t="e">
        <f>NA()</f>
        <v>#N/A</v>
      </c>
      <c r="D1864" t="e">
        <f>NA()</f>
        <v>#N/A</v>
      </c>
      <c r="E1864" t="e">
        <f>NA()</f>
        <v>#N/A</v>
      </c>
      <c r="F1864" t="e">
        <f>NA()</f>
        <v>#N/A</v>
      </c>
      <c r="G1864" t="e">
        <f>NA()</f>
        <v>#N/A</v>
      </c>
      <c r="H1864" t="e">
        <f>NA()</f>
        <v>#N/A</v>
      </c>
      <c r="I1864" t="e">
        <f>NA()</f>
        <v>#N/A</v>
      </c>
      <c r="J1864" t="e">
        <f>NA()</f>
        <v>#N/A</v>
      </c>
      <c r="K1864" t="e">
        <f>NA()</f>
        <v>#N/A</v>
      </c>
      <c r="L1864" t="e">
        <f>NA()</f>
        <v>#N/A</v>
      </c>
      <c r="M1864" t="e">
        <f>NA()</f>
        <v>#N/A</v>
      </c>
      <c r="N1864" t="e">
        <f>NA()</f>
        <v>#N/A</v>
      </c>
      <c r="O1864">
        <f t="shared" si="68"/>
        <v>1.9</v>
      </c>
    </row>
    <row r="1865" spans="1:15" x14ac:dyDescent="0.25">
      <c r="A1865" s="1">
        <v>43308</v>
      </c>
      <c r="B1865">
        <f>-0.5</f>
        <v>-0.5</v>
      </c>
      <c r="C1865">
        <f>0</f>
        <v>0</v>
      </c>
      <c r="D1865" t="e">
        <f>NA()</f>
        <v>#N/A</v>
      </c>
      <c r="E1865" t="e">
        <f>NA()</f>
        <v>#N/A</v>
      </c>
      <c r="F1865" t="e">
        <f>NA()</f>
        <v>#N/A</v>
      </c>
      <c r="G1865" t="e">
        <f>NA()</f>
        <v>#N/A</v>
      </c>
      <c r="H1865" t="e">
        <f>NA()</f>
        <v>#N/A</v>
      </c>
      <c r="I1865" t="e">
        <f>NA()</f>
        <v>#N/A</v>
      </c>
      <c r="J1865" t="e">
        <f>NA()</f>
        <v>#N/A</v>
      </c>
      <c r="K1865" t="e">
        <f>NA()</f>
        <v>#N/A</v>
      </c>
      <c r="L1865" t="e">
        <f>NA()</f>
        <v>#N/A</v>
      </c>
      <c r="M1865" t="e">
        <f>NA()</f>
        <v>#N/A</v>
      </c>
      <c r="N1865" t="e">
        <f>NA()</f>
        <v>#N/A</v>
      </c>
      <c r="O1865">
        <f t="shared" si="68"/>
        <v>1.9</v>
      </c>
    </row>
    <row r="1866" spans="1:15" x14ac:dyDescent="0.25">
      <c r="A1866" s="1">
        <v>43307</v>
      </c>
      <c r="B1866" t="e">
        <f>NA()</f>
        <v>#N/A</v>
      </c>
      <c r="C1866" t="e">
        <f>NA()</f>
        <v>#N/A</v>
      </c>
      <c r="D1866" t="e">
        <f>NA()</f>
        <v>#N/A</v>
      </c>
      <c r="E1866" t="e">
        <f>NA()</f>
        <v>#N/A</v>
      </c>
      <c r="F1866" t="e">
        <f>NA()</f>
        <v>#N/A</v>
      </c>
      <c r="G1866" t="e">
        <f>NA()</f>
        <v>#N/A</v>
      </c>
      <c r="H1866" t="e">
        <f>NA()</f>
        <v>#N/A</v>
      </c>
      <c r="I1866" t="e">
        <f>NA()</f>
        <v>#N/A</v>
      </c>
      <c r="J1866" t="e">
        <f>NA()</f>
        <v>#N/A</v>
      </c>
      <c r="K1866" t="e">
        <f>NA()</f>
        <v>#N/A</v>
      </c>
      <c r="L1866" t="e">
        <f>NA()</f>
        <v>#N/A</v>
      </c>
      <c r="M1866" t="e">
        <f>NA()</f>
        <v>#N/A</v>
      </c>
      <c r="N1866" t="e">
        <f>NA()</f>
        <v>#N/A</v>
      </c>
      <c r="O1866">
        <f t="shared" si="68"/>
        <v>1.9</v>
      </c>
    </row>
    <row r="1867" spans="1:15" x14ac:dyDescent="0.25">
      <c r="A1867" s="1">
        <v>43306</v>
      </c>
      <c r="B1867" t="e">
        <f>NA()</f>
        <v>#N/A</v>
      </c>
      <c r="C1867" t="e">
        <f>NA()</f>
        <v>#N/A</v>
      </c>
      <c r="D1867" t="e">
        <f>NA()</f>
        <v>#N/A</v>
      </c>
      <c r="E1867" t="e">
        <f>NA()</f>
        <v>#N/A</v>
      </c>
      <c r="F1867" t="e">
        <f>NA()</f>
        <v>#N/A</v>
      </c>
      <c r="G1867" t="e">
        <f>NA()</f>
        <v>#N/A</v>
      </c>
      <c r="H1867" t="e">
        <f>NA()</f>
        <v>#N/A</v>
      </c>
      <c r="I1867" t="e">
        <f>NA()</f>
        <v>#N/A</v>
      </c>
      <c r="J1867" t="e">
        <f>NA()</f>
        <v>#N/A</v>
      </c>
      <c r="K1867" t="e">
        <f>NA()</f>
        <v>#N/A</v>
      </c>
      <c r="L1867" t="e">
        <f>NA()</f>
        <v>#N/A</v>
      </c>
      <c r="M1867" t="e">
        <f>NA()</f>
        <v>#N/A</v>
      </c>
      <c r="N1867" t="e">
        <f>NA()</f>
        <v>#N/A</v>
      </c>
      <c r="O1867">
        <f t="shared" si="68"/>
        <v>1.9</v>
      </c>
    </row>
    <row r="1868" spans="1:15" x14ac:dyDescent="0.25">
      <c r="A1868" s="1">
        <v>43305</v>
      </c>
      <c r="B1868" t="e">
        <f>NA()</f>
        <v>#N/A</v>
      </c>
      <c r="C1868" t="e">
        <f>NA()</f>
        <v>#N/A</v>
      </c>
      <c r="D1868" t="e">
        <f>NA()</f>
        <v>#N/A</v>
      </c>
      <c r="E1868" t="e">
        <f>NA()</f>
        <v>#N/A</v>
      </c>
      <c r="F1868" t="e">
        <f>NA()</f>
        <v>#N/A</v>
      </c>
      <c r="G1868" t="e">
        <f>NA()</f>
        <v>#N/A</v>
      </c>
      <c r="H1868" t="e">
        <f>NA()</f>
        <v>#N/A</v>
      </c>
      <c r="I1868" t="e">
        <f>NA()</f>
        <v>#N/A</v>
      </c>
      <c r="J1868" t="e">
        <f>NA()</f>
        <v>#N/A</v>
      </c>
      <c r="K1868" t="e">
        <f>NA()</f>
        <v>#N/A</v>
      </c>
      <c r="L1868" t="e">
        <f>NA()</f>
        <v>#N/A</v>
      </c>
      <c r="M1868" t="e">
        <f>NA()</f>
        <v>#N/A</v>
      </c>
      <c r="N1868" t="e">
        <f>NA()</f>
        <v>#N/A</v>
      </c>
      <c r="O1868">
        <f t="shared" si="68"/>
        <v>1.9</v>
      </c>
    </row>
    <row r="1869" spans="1:15" x14ac:dyDescent="0.25">
      <c r="A1869" s="1">
        <v>43304</v>
      </c>
      <c r="B1869" t="e">
        <f>NA()</f>
        <v>#N/A</v>
      </c>
      <c r="C1869" t="e">
        <f>NA()</f>
        <v>#N/A</v>
      </c>
      <c r="D1869" t="e">
        <f>NA()</f>
        <v>#N/A</v>
      </c>
      <c r="E1869" t="e">
        <f>NA()</f>
        <v>#N/A</v>
      </c>
      <c r="F1869" t="e">
        <f>NA()</f>
        <v>#N/A</v>
      </c>
      <c r="G1869" t="e">
        <f>NA()</f>
        <v>#N/A</v>
      </c>
      <c r="H1869" t="e">
        <f>NA()</f>
        <v>#N/A</v>
      </c>
      <c r="I1869" t="e">
        <f>NA()</f>
        <v>#N/A</v>
      </c>
      <c r="J1869" t="e">
        <f>NA()</f>
        <v>#N/A</v>
      </c>
      <c r="K1869" t="e">
        <f>NA()</f>
        <v>#N/A</v>
      </c>
      <c r="L1869" t="e">
        <f>NA()</f>
        <v>#N/A</v>
      </c>
      <c r="M1869" t="e">
        <f>NA()</f>
        <v>#N/A</v>
      </c>
      <c r="N1869" t="e">
        <f>NA()</f>
        <v>#N/A</v>
      </c>
      <c r="O1869">
        <f t="shared" si="68"/>
        <v>1.9</v>
      </c>
    </row>
    <row r="1870" spans="1:15" x14ac:dyDescent="0.25">
      <c r="A1870" s="1">
        <v>43301</v>
      </c>
      <c r="B1870">
        <f>-0.5</f>
        <v>-0.5</v>
      </c>
      <c r="C1870">
        <f>0</f>
        <v>0</v>
      </c>
      <c r="D1870" t="e">
        <f>NA()</f>
        <v>#N/A</v>
      </c>
      <c r="E1870" t="e">
        <f>NA()</f>
        <v>#N/A</v>
      </c>
      <c r="F1870" t="e">
        <f>NA()</f>
        <v>#N/A</v>
      </c>
      <c r="G1870" t="e">
        <f>NA()</f>
        <v>#N/A</v>
      </c>
      <c r="H1870" t="e">
        <f>NA()</f>
        <v>#N/A</v>
      </c>
      <c r="I1870" t="e">
        <f>NA()</f>
        <v>#N/A</v>
      </c>
      <c r="J1870" t="e">
        <f>NA()</f>
        <v>#N/A</v>
      </c>
      <c r="K1870" t="e">
        <f>NA()</f>
        <v>#N/A</v>
      </c>
      <c r="L1870" t="e">
        <f>NA()</f>
        <v>#N/A</v>
      </c>
      <c r="M1870" t="e">
        <f>NA()</f>
        <v>#N/A</v>
      </c>
      <c r="N1870" t="e">
        <f>NA()</f>
        <v>#N/A</v>
      </c>
      <c r="O1870">
        <f t="shared" si="68"/>
        <v>1.9</v>
      </c>
    </row>
    <row r="1871" spans="1:15" x14ac:dyDescent="0.25">
      <c r="A1871" s="1">
        <v>43300</v>
      </c>
      <c r="B1871" t="e">
        <f>NA()</f>
        <v>#N/A</v>
      </c>
      <c r="C1871" t="e">
        <f>NA()</f>
        <v>#N/A</v>
      </c>
      <c r="D1871" t="e">
        <f>NA()</f>
        <v>#N/A</v>
      </c>
      <c r="E1871" t="e">
        <f>NA()</f>
        <v>#N/A</v>
      </c>
      <c r="F1871" t="e">
        <f>NA()</f>
        <v>#N/A</v>
      </c>
      <c r="G1871" t="e">
        <f>NA()</f>
        <v>#N/A</v>
      </c>
      <c r="H1871" t="e">
        <f>NA()</f>
        <v>#N/A</v>
      </c>
      <c r="I1871" t="e">
        <f>NA()</f>
        <v>#N/A</v>
      </c>
      <c r="J1871" t="e">
        <f>NA()</f>
        <v>#N/A</v>
      </c>
      <c r="K1871" t="e">
        <f>NA()</f>
        <v>#N/A</v>
      </c>
      <c r="L1871" t="e">
        <f>NA()</f>
        <v>#N/A</v>
      </c>
      <c r="M1871" t="e">
        <f>NA()</f>
        <v>#N/A</v>
      </c>
      <c r="N1871" t="e">
        <f>NA()</f>
        <v>#N/A</v>
      </c>
      <c r="O1871">
        <f t="shared" si="68"/>
        <v>1.9</v>
      </c>
    </row>
    <row r="1872" spans="1:15" x14ac:dyDescent="0.25">
      <c r="A1872" s="1">
        <v>43299</v>
      </c>
      <c r="B1872" t="e">
        <f>NA()</f>
        <v>#N/A</v>
      </c>
      <c r="C1872" t="e">
        <f>NA()</f>
        <v>#N/A</v>
      </c>
      <c r="D1872" t="e">
        <f>NA()</f>
        <v>#N/A</v>
      </c>
      <c r="E1872" t="e">
        <f>NA()</f>
        <v>#N/A</v>
      </c>
      <c r="F1872" t="e">
        <f>NA()</f>
        <v>#N/A</v>
      </c>
      <c r="G1872" t="e">
        <f>NA()</f>
        <v>#N/A</v>
      </c>
      <c r="H1872" t="e">
        <f>NA()</f>
        <v>#N/A</v>
      </c>
      <c r="I1872" t="e">
        <f>NA()</f>
        <v>#N/A</v>
      </c>
      <c r="J1872" t="e">
        <f>NA()</f>
        <v>#N/A</v>
      </c>
      <c r="K1872" t="e">
        <f>NA()</f>
        <v>#N/A</v>
      </c>
      <c r="L1872" t="e">
        <f>NA()</f>
        <v>#N/A</v>
      </c>
      <c r="M1872" t="e">
        <f>NA()</f>
        <v>#N/A</v>
      </c>
      <c r="N1872" t="e">
        <f>NA()</f>
        <v>#N/A</v>
      </c>
      <c r="O1872">
        <f t="shared" si="68"/>
        <v>1.9</v>
      </c>
    </row>
    <row r="1873" spans="1:15" x14ac:dyDescent="0.25">
      <c r="A1873" s="1">
        <v>43298</v>
      </c>
      <c r="B1873" t="e">
        <f>NA()</f>
        <v>#N/A</v>
      </c>
      <c r="C1873" t="e">
        <f>NA()</f>
        <v>#N/A</v>
      </c>
      <c r="D1873" t="e">
        <f>NA()</f>
        <v>#N/A</v>
      </c>
      <c r="E1873" t="e">
        <f>NA()</f>
        <v>#N/A</v>
      </c>
      <c r="F1873" t="e">
        <f>NA()</f>
        <v>#N/A</v>
      </c>
      <c r="G1873" t="e">
        <f>NA()</f>
        <v>#N/A</v>
      </c>
      <c r="H1873" t="e">
        <f>NA()</f>
        <v>#N/A</v>
      </c>
      <c r="I1873" t="e">
        <f>NA()</f>
        <v>#N/A</v>
      </c>
      <c r="J1873" t="e">
        <f>NA()</f>
        <v>#N/A</v>
      </c>
      <c r="K1873" t="e">
        <f>NA()</f>
        <v>#N/A</v>
      </c>
      <c r="L1873" t="e">
        <f>NA()</f>
        <v>#N/A</v>
      </c>
      <c r="M1873" t="e">
        <f>NA()</f>
        <v>#N/A</v>
      </c>
      <c r="N1873" t="e">
        <f>NA()</f>
        <v>#N/A</v>
      </c>
      <c r="O1873">
        <f t="shared" si="68"/>
        <v>1.9</v>
      </c>
    </row>
    <row r="1874" spans="1:15" x14ac:dyDescent="0.25">
      <c r="A1874" s="1">
        <v>43297</v>
      </c>
      <c r="B1874" t="e">
        <f>NA()</f>
        <v>#N/A</v>
      </c>
      <c r="C1874" t="e">
        <f>NA()</f>
        <v>#N/A</v>
      </c>
      <c r="D1874" t="e">
        <f>NA()</f>
        <v>#N/A</v>
      </c>
      <c r="E1874" t="e">
        <f>NA()</f>
        <v>#N/A</v>
      </c>
      <c r="F1874" t="e">
        <f>NA()</f>
        <v>#N/A</v>
      </c>
      <c r="G1874" t="e">
        <f>NA()</f>
        <v>#N/A</v>
      </c>
      <c r="H1874" t="e">
        <f>NA()</f>
        <v>#N/A</v>
      </c>
      <c r="I1874" t="e">
        <f>NA()</f>
        <v>#N/A</v>
      </c>
      <c r="J1874" t="e">
        <f>NA()</f>
        <v>#N/A</v>
      </c>
      <c r="K1874" t="e">
        <f>NA()</f>
        <v>#N/A</v>
      </c>
      <c r="L1874" t="e">
        <f>NA()</f>
        <v>#N/A</v>
      </c>
      <c r="M1874" t="e">
        <f>NA()</f>
        <v>#N/A</v>
      </c>
      <c r="N1874" t="e">
        <f>NA()</f>
        <v>#N/A</v>
      </c>
      <c r="O1874">
        <f t="shared" si="68"/>
        <v>1.9</v>
      </c>
    </row>
    <row r="1875" spans="1:15" x14ac:dyDescent="0.25">
      <c r="A1875" s="1">
        <v>43294</v>
      </c>
      <c r="B1875">
        <f>-0.4</f>
        <v>-0.4</v>
      </c>
      <c r="C1875">
        <f>0</f>
        <v>0</v>
      </c>
      <c r="D1875" t="e">
        <f>NA()</f>
        <v>#N/A</v>
      </c>
      <c r="E1875" t="e">
        <f>NA()</f>
        <v>#N/A</v>
      </c>
      <c r="F1875" t="e">
        <f>NA()</f>
        <v>#N/A</v>
      </c>
      <c r="G1875" t="e">
        <f>NA()</f>
        <v>#N/A</v>
      </c>
      <c r="H1875" t="e">
        <f>NA()</f>
        <v>#N/A</v>
      </c>
      <c r="I1875" t="e">
        <f>NA()</f>
        <v>#N/A</v>
      </c>
      <c r="J1875" t="e">
        <f>NA()</f>
        <v>#N/A</v>
      </c>
      <c r="K1875" t="e">
        <f>NA()</f>
        <v>#N/A</v>
      </c>
      <c r="L1875" t="e">
        <f>NA()</f>
        <v>#N/A</v>
      </c>
      <c r="M1875" t="e">
        <f>NA()</f>
        <v>#N/A</v>
      </c>
      <c r="N1875" t="e">
        <f>NA()</f>
        <v>#N/A</v>
      </c>
      <c r="O1875">
        <f t="shared" si="68"/>
        <v>1.9</v>
      </c>
    </row>
    <row r="1876" spans="1:15" x14ac:dyDescent="0.25">
      <c r="A1876" s="1">
        <v>43293</v>
      </c>
      <c r="B1876" t="e">
        <f>NA()</f>
        <v>#N/A</v>
      </c>
      <c r="C1876" t="e">
        <f>NA()</f>
        <v>#N/A</v>
      </c>
      <c r="D1876" t="e">
        <f>NA()</f>
        <v>#N/A</v>
      </c>
      <c r="E1876" t="e">
        <f>NA()</f>
        <v>#N/A</v>
      </c>
      <c r="F1876" t="e">
        <f>NA()</f>
        <v>#N/A</v>
      </c>
      <c r="G1876" t="e">
        <f>NA()</f>
        <v>#N/A</v>
      </c>
      <c r="H1876" t="e">
        <f>NA()</f>
        <v>#N/A</v>
      </c>
      <c r="I1876" t="e">
        <f>NA()</f>
        <v>#N/A</v>
      </c>
      <c r="J1876" t="e">
        <f>NA()</f>
        <v>#N/A</v>
      </c>
      <c r="K1876" t="e">
        <f>NA()</f>
        <v>#N/A</v>
      </c>
      <c r="L1876" t="e">
        <f>NA()</f>
        <v>#N/A</v>
      </c>
      <c r="M1876" t="e">
        <f>NA()</f>
        <v>#N/A</v>
      </c>
      <c r="N1876" t="e">
        <f>NA()</f>
        <v>#N/A</v>
      </c>
      <c r="O1876">
        <f t="shared" si="68"/>
        <v>1.9</v>
      </c>
    </row>
    <row r="1877" spans="1:15" x14ac:dyDescent="0.25">
      <c r="A1877" s="1">
        <v>43292</v>
      </c>
      <c r="B1877" t="e">
        <f>NA()</f>
        <v>#N/A</v>
      </c>
      <c r="C1877" t="e">
        <f>NA()</f>
        <v>#N/A</v>
      </c>
      <c r="D1877" t="e">
        <f>NA()</f>
        <v>#N/A</v>
      </c>
      <c r="E1877" t="e">
        <f>NA()</f>
        <v>#N/A</v>
      </c>
      <c r="F1877" t="e">
        <f>NA()</f>
        <v>#N/A</v>
      </c>
      <c r="G1877" t="e">
        <f>NA()</f>
        <v>#N/A</v>
      </c>
      <c r="H1877" t="e">
        <f>NA()</f>
        <v>#N/A</v>
      </c>
      <c r="I1877" t="e">
        <f>NA()</f>
        <v>#N/A</v>
      </c>
      <c r="J1877" t="e">
        <f>NA()</f>
        <v>#N/A</v>
      </c>
      <c r="K1877" t="e">
        <f>NA()</f>
        <v>#N/A</v>
      </c>
      <c r="L1877" t="e">
        <f>NA()</f>
        <v>#N/A</v>
      </c>
      <c r="M1877" t="e">
        <f>NA()</f>
        <v>#N/A</v>
      </c>
      <c r="N1877" t="e">
        <f>NA()</f>
        <v>#N/A</v>
      </c>
      <c r="O1877">
        <f t="shared" si="68"/>
        <v>1.9</v>
      </c>
    </row>
    <row r="1878" spans="1:15" x14ac:dyDescent="0.25">
      <c r="A1878" s="1">
        <v>43291</v>
      </c>
      <c r="B1878" t="e">
        <f>NA()</f>
        <v>#N/A</v>
      </c>
      <c r="C1878" t="e">
        <f>NA()</f>
        <v>#N/A</v>
      </c>
      <c r="D1878" t="e">
        <f>NA()</f>
        <v>#N/A</v>
      </c>
      <c r="E1878" t="e">
        <f>NA()</f>
        <v>#N/A</v>
      </c>
      <c r="F1878" t="e">
        <f>NA()</f>
        <v>#N/A</v>
      </c>
      <c r="G1878" t="e">
        <f>NA()</f>
        <v>#N/A</v>
      </c>
      <c r="H1878" t="e">
        <f>NA()</f>
        <v>#N/A</v>
      </c>
      <c r="I1878" t="e">
        <f>NA()</f>
        <v>#N/A</v>
      </c>
      <c r="J1878" t="e">
        <f>NA()</f>
        <v>#N/A</v>
      </c>
      <c r="K1878" t="e">
        <f>NA()</f>
        <v>#N/A</v>
      </c>
      <c r="L1878" t="e">
        <f>NA()</f>
        <v>#N/A</v>
      </c>
      <c r="M1878" t="e">
        <f>NA()</f>
        <v>#N/A</v>
      </c>
      <c r="N1878" t="e">
        <f>NA()</f>
        <v>#N/A</v>
      </c>
      <c r="O1878">
        <f t="shared" si="68"/>
        <v>1.9</v>
      </c>
    </row>
    <row r="1879" spans="1:15" x14ac:dyDescent="0.25">
      <c r="A1879" s="1">
        <v>43290</v>
      </c>
      <c r="B1879" t="e">
        <f>NA()</f>
        <v>#N/A</v>
      </c>
      <c r="C1879" t="e">
        <f>NA()</f>
        <v>#N/A</v>
      </c>
      <c r="D1879" t="e">
        <f>NA()</f>
        <v>#N/A</v>
      </c>
      <c r="E1879" t="e">
        <f>NA()</f>
        <v>#N/A</v>
      </c>
      <c r="F1879" t="e">
        <f>NA()</f>
        <v>#N/A</v>
      </c>
      <c r="G1879" t="e">
        <f>NA()</f>
        <v>#N/A</v>
      </c>
      <c r="H1879" t="e">
        <f>NA()</f>
        <v>#N/A</v>
      </c>
      <c r="I1879" t="e">
        <f>NA()</f>
        <v>#N/A</v>
      </c>
      <c r="J1879" t="e">
        <f>NA()</f>
        <v>#N/A</v>
      </c>
      <c r="K1879" t="e">
        <f>NA()</f>
        <v>#N/A</v>
      </c>
      <c r="L1879" t="e">
        <f>NA()</f>
        <v>#N/A</v>
      </c>
      <c r="M1879" t="e">
        <f>NA()</f>
        <v>#N/A</v>
      </c>
      <c r="N1879" t="e">
        <f>NA()</f>
        <v>#N/A</v>
      </c>
      <c r="O1879">
        <f t="shared" si="68"/>
        <v>1.9</v>
      </c>
    </row>
    <row r="1880" spans="1:15" x14ac:dyDescent="0.25">
      <c r="A1880" s="1">
        <v>43287</v>
      </c>
      <c r="B1880">
        <f>-0.2</f>
        <v>-0.2</v>
      </c>
      <c r="C1880">
        <f>0</f>
        <v>0</v>
      </c>
      <c r="D1880" t="e">
        <f>NA()</f>
        <v>#N/A</v>
      </c>
      <c r="E1880" t="e">
        <f>NA()</f>
        <v>#N/A</v>
      </c>
      <c r="F1880" t="e">
        <f>NA()</f>
        <v>#N/A</v>
      </c>
      <c r="G1880" t="e">
        <f>NA()</f>
        <v>#N/A</v>
      </c>
      <c r="H1880" t="e">
        <f>NA()</f>
        <v>#N/A</v>
      </c>
      <c r="I1880" t="e">
        <f>NA()</f>
        <v>#N/A</v>
      </c>
      <c r="J1880" t="e">
        <f>NA()</f>
        <v>#N/A</v>
      </c>
      <c r="K1880" t="e">
        <f>NA()</f>
        <v>#N/A</v>
      </c>
      <c r="L1880" t="e">
        <f>NA()</f>
        <v>#N/A</v>
      </c>
      <c r="M1880" t="e">
        <f>NA()</f>
        <v>#N/A</v>
      </c>
      <c r="N1880" t="e">
        <f>NA()</f>
        <v>#N/A</v>
      </c>
      <c r="O1880">
        <f t="shared" si="68"/>
        <v>1.9</v>
      </c>
    </row>
    <row r="1881" spans="1:15" x14ac:dyDescent="0.25">
      <c r="A1881" s="1">
        <v>43286</v>
      </c>
      <c r="B1881" t="e">
        <f>NA()</f>
        <v>#N/A</v>
      </c>
      <c r="C1881" t="e">
        <f>NA()</f>
        <v>#N/A</v>
      </c>
      <c r="D1881" t="e">
        <f>NA()</f>
        <v>#N/A</v>
      </c>
      <c r="E1881" t="e">
        <f>NA()</f>
        <v>#N/A</v>
      </c>
      <c r="F1881" t="e">
        <f>NA()</f>
        <v>#N/A</v>
      </c>
      <c r="G1881" t="e">
        <f>NA()</f>
        <v>#N/A</v>
      </c>
      <c r="H1881" t="e">
        <f>NA()</f>
        <v>#N/A</v>
      </c>
      <c r="I1881" t="e">
        <f>NA()</f>
        <v>#N/A</v>
      </c>
      <c r="J1881" t="e">
        <f>NA()</f>
        <v>#N/A</v>
      </c>
      <c r="K1881" t="e">
        <f>NA()</f>
        <v>#N/A</v>
      </c>
      <c r="L1881" t="e">
        <f>NA()</f>
        <v>#N/A</v>
      </c>
      <c r="M1881" t="e">
        <f>NA()</f>
        <v>#N/A</v>
      </c>
      <c r="N1881" t="e">
        <f>NA()</f>
        <v>#N/A</v>
      </c>
      <c r="O1881">
        <f t="shared" si="68"/>
        <v>1.9</v>
      </c>
    </row>
    <row r="1882" spans="1:15" x14ac:dyDescent="0.25">
      <c r="A1882" s="1">
        <v>43284</v>
      </c>
      <c r="B1882" t="e">
        <f>NA()</f>
        <v>#N/A</v>
      </c>
      <c r="C1882" t="e">
        <f>NA()</f>
        <v>#N/A</v>
      </c>
      <c r="D1882" t="e">
        <f>NA()</f>
        <v>#N/A</v>
      </c>
      <c r="E1882" t="e">
        <f>NA()</f>
        <v>#N/A</v>
      </c>
      <c r="F1882" t="e">
        <f>NA()</f>
        <v>#N/A</v>
      </c>
      <c r="G1882" t="e">
        <f>NA()</f>
        <v>#N/A</v>
      </c>
      <c r="H1882" t="e">
        <f>NA()</f>
        <v>#N/A</v>
      </c>
      <c r="I1882" t="e">
        <f>NA()</f>
        <v>#N/A</v>
      </c>
      <c r="J1882" t="e">
        <f>NA()</f>
        <v>#N/A</v>
      </c>
      <c r="K1882" t="e">
        <f>NA()</f>
        <v>#N/A</v>
      </c>
      <c r="L1882" t="e">
        <f>NA()</f>
        <v>#N/A</v>
      </c>
      <c r="M1882" t="e">
        <f>NA()</f>
        <v>#N/A</v>
      </c>
      <c r="N1882" t="e">
        <f>NA()</f>
        <v>#N/A</v>
      </c>
      <c r="O1882">
        <f t="shared" si="68"/>
        <v>1.9</v>
      </c>
    </row>
    <row r="1883" spans="1:15" x14ac:dyDescent="0.25">
      <c r="A1883" s="1">
        <v>43283</v>
      </c>
      <c r="B1883" t="e">
        <f>NA()</f>
        <v>#N/A</v>
      </c>
      <c r="C1883" t="e">
        <f>NA()</f>
        <v>#N/A</v>
      </c>
      <c r="D1883" t="e">
        <f>NA()</f>
        <v>#N/A</v>
      </c>
      <c r="E1883" t="e">
        <f>NA()</f>
        <v>#N/A</v>
      </c>
      <c r="F1883" t="e">
        <f>NA()</f>
        <v>#N/A</v>
      </c>
      <c r="G1883" t="e">
        <f>NA()</f>
        <v>#N/A</v>
      </c>
      <c r="H1883" t="e">
        <f>NA()</f>
        <v>#N/A</v>
      </c>
      <c r="I1883" t="e">
        <f>NA()</f>
        <v>#N/A</v>
      </c>
      <c r="J1883" t="e">
        <f>NA()</f>
        <v>#N/A</v>
      </c>
      <c r="K1883" t="e">
        <f>NA()</f>
        <v>#N/A</v>
      </c>
      <c r="L1883" t="e">
        <f>NA()</f>
        <v>#N/A</v>
      </c>
      <c r="M1883" t="e">
        <f>NA()</f>
        <v>#N/A</v>
      </c>
      <c r="N1883" t="e">
        <f>NA()</f>
        <v>#N/A</v>
      </c>
      <c r="O1883">
        <f t="shared" si="68"/>
        <v>1.9</v>
      </c>
    </row>
    <row r="1884" spans="1:15" x14ac:dyDescent="0.25">
      <c r="A1884" s="1">
        <v>43281</v>
      </c>
      <c r="B1884" t="e">
        <f>NA()</f>
        <v>#N/A</v>
      </c>
      <c r="C1884" t="e">
        <f>NA()</f>
        <v>#N/A</v>
      </c>
      <c r="D1884">
        <f>0.2</f>
        <v>0.2</v>
      </c>
      <c r="E1884">
        <f>0.1</f>
        <v>0.1</v>
      </c>
      <c r="F1884">
        <f>7230</f>
        <v>7230</v>
      </c>
      <c r="G1884">
        <f>63</f>
        <v>63</v>
      </c>
      <c r="H1884">
        <f>5.3</f>
        <v>5.3</v>
      </c>
      <c r="I1884">
        <f>252</f>
        <v>252</v>
      </c>
      <c r="J1884">
        <f>2.9</f>
        <v>2.9</v>
      </c>
      <c r="K1884">
        <f>59.9</f>
        <v>59.9</v>
      </c>
      <c r="L1884">
        <f>0.8</f>
        <v>0.8</v>
      </c>
      <c r="M1884">
        <f>2.1</f>
        <v>2.1</v>
      </c>
      <c r="N1884">
        <f>4</f>
        <v>4</v>
      </c>
      <c r="O1884" t="e">
        <f>NA()</f>
        <v>#N/A</v>
      </c>
    </row>
    <row r="1885" spans="1:15" x14ac:dyDescent="0.25">
      <c r="A1885" s="1">
        <v>43280</v>
      </c>
      <c r="B1885">
        <f>-0.1</f>
        <v>-0.1</v>
      </c>
      <c r="C1885">
        <f>0</f>
        <v>0</v>
      </c>
      <c r="D1885" t="e">
        <f>NA()</f>
        <v>#N/A</v>
      </c>
      <c r="E1885" t="e">
        <f>NA()</f>
        <v>#N/A</v>
      </c>
      <c r="F1885" t="e">
        <f>NA()</f>
        <v>#N/A</v>
      </c>
      <c r="G1885" t="e">
        <f>NA()</f>
        <v>#N/A</v>
      </c>
      <c r="H1885" t="e">
        <f>NA()</f>
        <v>#N/A</v>
      </c>
      <c r="I1885" t="e">
        <f>NA()</f>
        <v>#N/A</v>
      </c>
      <c r="J1885" t="e">
        <f>NA()</f>
        <v>#N/A</v>
      </c>
      <c r="K1885" t="e">
        <f>NA()</f>
        <v>#N/A</v>
      </c>
      <c r="L1885" t="e">
        <f>NA()</f>
        <v>#N/A</v>
      </c>
      <c r="M1885" t="e">
        <f>NA()</f>
        <v>#N/A</v>
      </c>
      <c r="N1885" t="e">
        <f>NA()</f>
        <v>#N/A</v>
      </c>
      <c r="O1885">
        <f t="shared" ref="O1885:O1896" si="69">1.9</f>
        <v>1.9</v>
      </c>
    </row>
    <row r="1886" spans="1:15" x14ac:dyDescent="0.25">
      <c r="A1886" s="1">
        <v>43279</v>
      </c>
      <c r="B1886" t="e">
        <f>NA()</f>
        <v>#N/A</v>
      </c>
      <c r="C1886" t="e">
        <f>NA()</f>
        <v>#N/A</v>
      </c>
      <c r="D1886" t="e">
        <f>NA()</f>
        <v>#N/A</v>
      </c>
      <c r="E1886" t="e">
        <f>NA()</f>
        <v>#N/A</v>
      </c>
      <c r="F1886" t="e">
        <f>NA()</f>
        <v>#N/A</v>
      </c>
      <c r="G1886" t="e">
        <f>NA()</f>
        <v>#N/A</v>
      </c>
      <c r="H1886" t="e">
        <f>NA()</f>
        <v>#N/A</v>
      </c>
      <c r="I1886" t="e">
        <f>NA()</f>
        <v>#N/A</v>
      </c>
      <c r="J1886" t="e">
        <f>NA()</f>
        <v>#N/A</v>
      </c>
      <c r="K1886" t="e">
        <f>NA()</f>
        <v>#N/A</v>
      </c>
      <c r="L1886" t="e">
        <f>NA()</f>
        <v>#N/A</v>
      </c>
      <c r="M1886" t="e">
        <f>NA()</f>
        <v>#N/A</v>
      </c>
      <c r="N1886" t="e">
        <f>NA()</f>
        <v>#N/A</v>
      </c>
      <c r="O1886">
        <f t="shared" si="69"/>
        <v>1.9</v>
      </c>
    </row>
    <row r="1887" spans="1:15" x14ac:dyDescent="0.25">
      <c r="A1887" s="1">
        <v>43278</v>
      </c>
      <c r="B1887" t="e">
        <f>NA()</f>
        <v>#N/A</v>
      </c>
      <c r="C1887" t="e">
        <f>NA()</f>
        <v>#N/A</v>
      </c>
      <c r="D1887" t="e">
        <f>NA()</f>
        <v>#N/A</v>
      </c>
      <c r="E1887" t="e">
        <f>NA()</f>
        <v>#N/A</v>
      </c>
      <c r="F1887" t="e">
        <f>NA()</f>
        <v>#N/A</v>
      </c>
      <c r="G1887" t="e">
        <f>NA()</f>
        <v>#N/A</v>
      </c>
      <c r="H1887" t="e">
        <f>NA()</f>
        <v>#N/A</v>
      </c>
      <c r="I1887" t="e">
        <f>NA()</f>
        <v>#N/A</v>
      </c>
      <c r="J1887" t="e">
        <f>NA()</f>
        <v>#N/A</v>
      </c>
      <c r="K1887" t="e">
        <f>NA()</f>
        <v>#N/A</v>
      </c>
      <c r="L1887" t="e">
        <f>NA()</f>
        <v>#N/A</v>
      </c>
      <c r="M1887" t="e">
        <f>NA()</f>
        <v>#N/A</v>
      </c>
      <c r="N1887" t="e">
        <f>NA()</f>
        <v>#N/A</v>
      </c>
      <c r="O1887">
        <f t="shared" si="69"/>
        <v>1.9</v>
      </c>
    </row>
    <row r="1888" spans="1:15" x14ac:dyDescent="0.25">
      <c r="A1888" s="1">
        <v>43277</v>
      </c>
      <c r="B1888" t="e">
        <f>NA()</f>
        <v>#N/A</v>
      </c>
      <c r="C1888" t="e">
        <f>NA()</f>
        <v>#N/A</v>
      </c>
      <c r="D1888" t="e">
        <f>NA()</f>
        <v>#N/A</v>
      </c>
      <c r="E1888" t="e">
        <f>NA()</f>
        <v>#N/A</v>
      </c>
      <c r="F1888" t="e">
        <f>NA()</f>
        <v>#N/A</v>
      </c>
      <c r="G1888" t="e">
        <f>NA()</f>
        <v>#N/A</v>
      </c>
      <c r="H1888" t="e">
        <f>NA()</f>
        <v>#N/A</v>
      </c>
      <c r="I1888" t="e">
        <f>NA()</f>
        <v>#N/A</v>
      </c>
      <c r="J1888" t="e">
        <f>NA()</f>
        <v>#N/A</v>
      </c>
      <c r="K1888" t="e">
        <f>NA()</f>
        <v>#N/A</v>
      </c>
      <c r="L1888" t="e">
        <f>NA()</f>
        <v>#N/A</v>
      </c>
      <c r="M1888" t="e">
        <f>NA()</f>
        <v>#N/A</v>
      </c>
      <c r="N1888" t="e">
        <f>NA()</f>
        <v>#N/A</v>
      </c>
      <c r="O1888">
        <f t="shared" si="69"/>
        <v>1.9</v>
      </c>
    </row>
    <row r="1889" spans="1:15" x14ac:dyDescent="0.25">
      <c r="A1889" s="1">
        <v>43276</v>
      </c>
      <c r="B1889" t="e">
        <f>NA()</f>
        <v>#N/A</v>
      </c>
      <c r="C1889" t="e">
        <f>NA()</f>
        <v>#N/A</v>
      </c>
      <c r="D1889" t="e">
        <f>NA()</f>
        <v>#N/A</v>
      </c>
      <c r="E1889" t="e">
        <f>NA()</f>
        <v>#N/A</v>
      </c>
      <c r="F1889" t="e">
        <f>NA()</f>
        <v>#N/A</v>
      </c>
      <c r="G1889" t="e">
        <f>NA()</f>
        <v>#N/A</v>
      </c>
      <c r="H1889" t="e">
        <f>NA()</f>
        <v>#N/A</v>
      </c>
      <c r="I1889" t="e">
        <f>NA()</f>
        <v>#N/A</v>
      </c>
      <c r="J1889" t="e">
        <f>NA()</f>
        <v>#N/A</v>
      </c>
      <c r="K1889" t="e">
        <f>NA()</f>
        <v>#N/A</v>
      </c>
      <c r="L1889" t="e">
        <f>NA()</f>
        <v>#N/A</v>
      </c>
      <c r="M1889" t="e">
        <f>NA()</f>
        <v>#N/A</v>
      </c>
      <c r="N1889" t="e">
        <f>NA()</f>
        <v>#N/A</v>
      </c>
      <c r="O1889">
        <f t="shared" si="69"/>
        <v>1.9</v>
      </c>
    </row>
    <row r="1890" spans="1:15" x14ac:dyDescent="0.25">
      <c r="A1890" s="1">
        <v>43273</v>
      </c>
      <c r="B1890">
        <f>-0.3</f>
        <v>-0.3</v>
      </c>
      <c r="C1890">
        <f>0</f>
        <v>0</v>
      </c>
      <c r="D1890" t="e">
        <f>NA()</f>
        <v>#N/A</v>
      </c>
      <c r="E1890" t="e">
        <f>NA()</f>
        <v>#N/A</v>
      </c>
      <c r="F1890" t="e">
        <f>NA()</f>
        <v>#N/A</v>
      </c>
      <c r="G1890" t="e">
        <f>NA()</f>
        <v>#N/A</v>
      </c>
      <c r="H1890" t="e">
        <f>NA()</f>
        <v>#N/A</v>
      </c>
      <c r="I1890" t="e">
        <f>NA()</f>
        <v>#N/A</v>
      </c>
      <c r="J1890" t="e">
        <f>NA()</f>
        <v>#N/A</v>
      </c>
      <c r="K1890" t="e">
        <f>NA()</f>
        <v>#N/A</v>
      </c>
      <c r="L1890" t="e">
        <f>NA()</f>
        <v>#N/A</v>
      </c>
      <c r="M1890" t="e">
        <f>NA()</f>
        <v>#N/A</v>
      </c>
      <c r="N1890" t="e">
        <f>NA()</f>
        <v>#N/A</v>
      </c>
      <c r="O1890">
        <f t="shared" si="69"/>
        <v>1.9</v>
      </c>
    </row>
    <row r="1891" spans="1:15" x14ac:dyDescent="0.25">
      <c r="A1891" s="1">
        <v>43272</v>
      </c>
      <c r="B1891" t="e">
        <f>NA()</f>
        <v>#N/A</v>
      </c>
      <c r="C1891" t="e">
        <f>NA()</f>
        <v>#N/A</v>
      </c>
      <c r="D1891" t="e">
        <f>NA()</f>
        <v>#N/A</v>
      </c>
      <c r="E1891" t="e">
        <f>NA()</f>
        <v>#N/A</v>
      </c>
      <c r="F1891" t="e">
        <f>NA()</f>
        <v>#N/A</v>
      </c>
      <c r="G1891" t="e">
        <f>NA()</f>
        <v>#N/A</v>
      </c>
      <c r="H1891" t="e">
        <f>NA()</f>
        <v>#N/A</v>
      </c>
      <c r="I1891" t="e">
        <f>NA()</f>
        <v>#N/A</v>
      </c>
      <c r="J1891" t="e">
        <f>NA()</f>
        <v>#N/A</v>
      </c>
      <c r="K1891" t="e">
        <f>NA()</f>
        <v>#N/A</v>
      </c>
      <c r="L1891" t="e">
        <f>NA()</f>
        <v>#N/A</v>
      </c>
      <c r="M1891" t="e">
        <f>NA()</f>
        <v>#N/A</v>
      </c>
      <c r="N1891" t="e">
        <f>NA()</f>
        <v>#N/A</v>
      </c>
      <c r="O1891">
        <f t="shared" si="69"/>
        <v>1.9</v>
      </c>
    </row>
    <row r="1892" spans="1:15" x14ac:dyDescent="0.25">
      <c r="A1892" s="1">
        <v>43271</v>
      </c>
      <c r="B1892" t="e">
        <f>NA()</f>
        <v>#N/A</v>
      </c>
      <c r="C1892" t="e">
        <f>NA()</f>
        <v>#N/A</v>
      </c>
      <c r="D1892" t="e">
        <f>NA()</f>
        <v>#N/A</v>
      </c>
      <c r="E1892" t="e">
        <f>NA()</f>
        <v>#N/A</v>
      </c>
      <c r="F1892" t="e">
        <f>NA()</f>
        <v>#N/A</v>
      </c>
      <c r="G1892" t="e">
        <f>NA()</f>
        <v>#N/A</v>
      </c>
      <c r="H1892" t="e">
        <f>NA()</f>
        <v>#N/A</v>
      </c>
      <c r="I1892" t="e">
        <f>NA()</f>
        <v>#N/A</v>
      </c>
      <c r="J1892" t="e">
        <f>NA()</f>
        <v>#N/A</v>
      </c>
      <c r="K1892" t="e">
        <f>NA()</f>
        <v>#N/A</v>
      </c>
      <c r="L1892" t="e">
        <f>NA()</f>
        <v>#N/A</v>
      </c>
      <c r="M1892" t="e">
        <f>NA()</f>
        <v>#N/A</v>
      </c>
      <c r="N1892" t="e">
        <f>NA()</f>
        <v>#N/A</v>
      </c>
      <c r="O1892">
        <f t="shared" si="69"/>
        <v>1.9</v>
      </c>
    </row>
    <row r="1893" spans="1:15" x14ac:dyDescent="0.25">
      <c r="A1893" s="1">
        <v>43270</v>
      </c>
      <c r="B1893" t="e">
        <f>NA()</f>
        <v>#N/A</v>
      </c>
      <c r="C1893" t="e">
        <f>NA()</f>
        <v>#N/A</v>
      </c>
      <c r="D1893" t="e">
        <f>NA()</f>
        <v>#N/A</v>
      </c>
      <c r="E1893" t="e">
        <f>NA()</f>
        <v>#N/A</v>
      </c>
      <c r="F1893" t="e">
        <f>NA()</f>
        <v>#N/A</v>
      </c>
      <c r="G1893" t="e">
        <f>NA()</f>
        <v>#N/A</v>
      </c>
      <c r="H1893" t="e">
        <f>NA()</f>
        <v>#N/A</v>
      </c>
      <c r="I1893" t="e">
        <f>NA()</f>
        <v>#N/A</v>
      </c>
      <c r="J1893" t="e">
        <f>NA()</f>
        <v>#N/A</v>
      </c>
      <c r="K1893" t="e">
        <f>NA()</f>
        <v>#N/A</v>
      </c>
      <c r="L1893" t="e">
        <f>NA()</f>
        <v>#N/A</v>
      </c>
      <c r="M1893" t="e">
        <f>NA()</f>
        <v>#N/A</v>
      </c>
      <c r="N1893" t="e">
        <f>NA()</f>
        <v>#N/A</v>
      </c>
      <c r="O1893">
        <f t="shared" si="69"/>
        <v>1.9</v>
      </c>
    </row>
    <row r="1894" spans="1:15" x14ac:dyDescent="0.25">
      <c r="A1894" s="1">
        <v>43269</v>
      </c>
      <c r="B1894" t="e">
        <f>NA()</f>
        <v>#N/A</v>
      </c>
      <c r="C1894" t="e">
        <f>NA()</f>
        <v>#N/A</v>
      </c>
      <c r="D1894" t="e">
        <f>NA()</f>
        <v>#N/A</v>
      </c>
      <c r="E1894" t="e">
        <f>NA()</f>
        <v>#N/A</v>
      </c>
      <c r="F1894" t="e">
        <f>NA()</f>
        <v>#N/A</v>
      </c>
      <c r="G1894" t="e">
        <f>NA()</f>
        <v>#N/A</v>
      </c>
      <c r="H1894" t="e">
        <f>NA()</f>
        <v>#N/A</v>
      </c>
      <c r="I1894" t="e">
        <f>NA()</f>
        <v>#N/A</v>
      </c>
      <c r="J1894" t="e">
        <f>NA()</f>
        <v>#N/A</v>
      </c>
      <c r="K1894" t="e">
        <f>NA()</f>
        <v>#N/A</v>
      </c>
      <c r="L1894" t="e">
        <f>NA()</f>
        <v>#N/A</v>
      </c>
      <c r="M1894" t="e">
        <f>NA()</f>
        <v>#N/A</v>
      </c>
      <c r="N1894" t="e">
        <f>NA()</f>
        <v>#N/A</v>
      </c>
      <c r="O1894">
        <f t="shared" si="69"/>
        <v>1.9</v>
      </c>
    </row>
    <row r="1895" spans="1:15" x14ac:dyDescent="0.25">
      <c r="A1895" s="1">
        <v>43266</v>
      </c>
      <c r="B1895">
        <f>-0.3</f>
        <v>-0.3</v>
      </c>
      <c r="C1895">
        <f>0</f>
        <v>0</v>
      </c>
      <c r="D1895" t="e">
        <f>NA()</f>
        <v>#N/A</v>
      </c>
      <c r="E1895" t="e">
        <f>NA()</f>
        <v>#N/A</v>
      </c>
      <c r="F1895" t="e">
        <f>NA()</f>
        <v>#N/A</v>
      </c>
      <c r="G1895" t="e">
        <f>NA()</f>
        <v>#N/A</v>
      </c>
      <c r="H1895" t="e">
        <f>NA()</f>
        <v>#N/A</v>
      </c>
      <c r="I1895" t="e">
        <f>NA()</f>
        <v>#N/A</v>
      </c>
      <c r="J1895" t="e">
        <f>NA()</f>
        <v>#N/A</v>
      </c>
      <c r="K1895" t="e">
        <f>NA()</f>
        <v>#N/A</v>
      </c>
      <c r="L1895" t="e">
        <f>NA()</f>
        <v>#N/A</v>
      </c>
      <c r="M1895" t="e">
        <f>NA()</f>
        <v>#N/A</v>
      </c>
      <c r="N1895" t="e">
        <f>NA()</f>
        <v>#N/A</v>
      </c>
      <c r="O1895">
        <f t="shared" si="69"/>
        <v>1.9</v>
      </c>
    </row>
    <row r="1896" spans="1:15" x14ac:dyDescent="0.25">
      <c r="A1896" s="1">
        <v>43265</v>
      </c>
      <c r="B1896" t="e">
        <f>NA()</f>
        <v>#N/A</v>
      </c>
      <c r="C1896" t="e">
        <f>NA()</f>
        <v>#N/A</v>
      </c>
      <c r="D1896" t="e">
        <f>NA()</f>
        <v>#N/A</v>
      </c>
      <c r="E1896" t="e">
        <f>NA()</f>
        <v>#N/A</v>
      </c>
      <c r="F1896" t="e">
        <f>NA()</f>
        <v>#N/A</v>
      </c>
      <c r="G1896" t="e">
        <f>NA()</f>
        <v>#N/A</v>
      </c>
      <c r="H1896" t="e">
        <f>NA()</f>
        <v>#N/A</v>
      </c>
      <c r="I1896" t="e">
        <f>NA()</f>
        <v>#N/A</v>
      </c>
      <c r="J1896" t="e">
        <f>NA()</f>
        <v>#N/A</v>
      </c>
      <c r="K1896" t="e">
        <f>NA()</f>
        <v>#N/A</v>
      </c>
      <c r="L1896" t="e">
        <f>NA()</f>
        <v>#N/A</v>
      </c>
      <c r="M1896" t="e">
        <f>NA()</f>
        <v>#N/A</v>
      </c>
      <c r="N1896" t="e">
        <f>NA()</f>
        <v>#N/A</v>
      </c>
      <c r="O1896">
        <f t="shared" si="69"/>
        <v>1.9</v>
      </c>
    </row>
    <row r="1897" spans="1:15" x14ac:dyDescent="0.25">
      <c r="A1897" s="1">
        <v>43264</v>
      </c>
      <c r="B1897" t="e">
        <f>NA()</f>
        <v>#N/A</v>
      </c>
      <c r="C1897" t="e">
        <f>NA()</f>
        <v>#N/A</v>
      </c>
      <c r="D1897" t="e">
        <f>NA()</f>
        <v>#N/A</v>
      </c>
      <c r="E1897" t="e">
        <f>NA()</f>
        <v>#N/A</v>
      </c>
      <c r="F1897" t="e">
        <f>NA()</f>
        <v>#N/A</v>
      </c>
      <c r="G1897" t="e">
        <f>NA()</f>
        <v>#N/A</v>
      </c>
      <c r="H1897" t="e">
        <f>NA()</f>
        <v>#N/A</v>
      </c>
      <c r="I1897" t="e">
        <f>NA()</f>
        <v>#N/A</v>
      </c>
      <c r="J1897" t="e">
        <f>NA()</f>
        <v>#N/A</v>
      </c>
      <c r="K1897" t="e">
        <f>NA()</f>
        <v>#N/A</v>
      </c>
      <c r="L1897" t="e">
        <f>NA()</f>
        <v>#N/A</v>
      </c>
      <c r="M1897" t="e">
        <f>NA()</f>
        <v>#N/A</v>
      </c>
      <c r="N1897" t="e">
        <f>NA()</f>
        <v>#N/A</v>
      </c>
      <c r="O1897">
        <f t="shared" ref="O1897:O1928" si="70">1.7</f>
        <v>1.7</v>
      </c>
    </row>
    <row r="1898" spans="1:15" x14ac:dyDescent="0.25">
      <c r="A1898" s="1">
        <v>43263</v>
      </c>
      <c r="B1898" t="e">
        <f>NA()</f>
        <v>#N/A</v>
      </c>
      <c r="C1898" t="e">
        <f>NA()</f>
        <v>#N/A</v>
      </c>
      <c r="D1898" t="e">
        <f>NA()</f>
        <v>#N/A</v>
      </c>
      <c r="E1898" t="e">
        <f>NA()</f>
        <v>#N/A</v>
      </c>
      <c r="F1898" t="e">
        <f>NA()</f>
        <v>#N/A</v>
      </c>
      <c r="G1898" t="e">
        <f>NA()</f>
        <v>#N/A</v>
      </c>
      <c r="H1898" t="e">
        <f>NA()</f>
        <v>#N/A</v>
      </c>
      <c r="I1898" t="e">
        <f>NA()</f>
        <v>#N/A</v>
      </c>
      <c r="J1898" t="e">
        <f>NA()</f>
        <v>#N/A</v>
      </c>
      <c r="K1898" t="e">
        <f>NA()</f>
        <v>#N/A</v>
      </c>
      <c r="L1898" t="e">
        <f>NA()</f>
        <v>#N/A</v>
      </c>
      <c r="M1898" t="e">
        <f>NA()</f>
        <v>#N/A</v>
      </c>
      <c r="N1898" t="e">
        <f>NA()</f>
        <v>#N/A</v>
      </c>
      <c r="O1898">
        <f t="shared" si="70"/>
        <v>1.7</v>
      </c>
    </row>
    <row r="1899" spans="1:15" x14ac:dyDescent="0.25">
      <c r="A1899" s="1">
        <v>43262</v>
      </c>
      <c r="B1899" t="e">
        <f>NA()</f>
        <v>#N/A</v>
      </c>
      <c r="C1899" t="e">
        <f>NA()</f>
        <v>#N/A</v>
      </c>
      <c r="D1899" t="e">
        <f>NA()</f>
        <v>#N/A</v>
      </c>
      <c r="E1899" t="e">
        <f>NA()</f>
        <v>#N/A</v>
      </c>
      <c r="F1899" t="e">
        <f>NA()</f>
        <v>#N/A</v>
      </c>
      <c r="G1899" t="e">
        <f>NA()</f>
        <v>#N/A</v>
      </c>
      <c r="H1899" t="e">
        <f>NA()</f>
        <v>#N/A</v>
      </c>
      <c r="I1899" t="e">
        <f>NA()</f>
        <v>#N/A</v>
      </c>
      <c r="J1899" t="e">
        <f>NA()</f>
        <v>#N/A</v>
      </c>
      <c r="K1899" t="e">
        <f>NA()</f>
        <v>#N/A</v>
      </c>
      <c r="L1899" t="e">
        <f>NA()</f>
        <v>#N/A</v>
      </c>
      <c r="M1899" t="e">
        <f>NA()</f>
        <v>#N/A</v>
      </c>
      <c r="N1899" t="e">
        <f>NA()</f>
        <v>#N/A</v>
      </c>
      <c r="O1899">
        <f t="shared" si="70"/>
        <v>1.7</v>
      </c>
    </row>
    <row r="1900" spans="1:15" x14ac:dyDescent="0.25">
      <c r="A1900" s="1">
        <v>43259</v>
      </c>
      <c r="B1900">
        <f>-0.4</f>
        <v>-0.4</v>
      </c>
      <c r="C1900">
        <f>0</f>
        <v>0</v>
      </c>
      <c r="D1900" t="e">
        <f>NA()</f>
        <v>#N/A</v>
      </c>
      <c r="E1900" t="e">
        <f>NA()</f>
        <v>#N/A</v>
      </c>
      <c r="F1900" t="e">
        <f>NA()</f>
        <v>#N/A</v>
      </c>
      <c r="G1900" t="e">
        <f>NA()</f>
        <v>#N/A</v>
      </c>
      <c r="H1900" t="e">
        <f>NA()</f>
        <v>#N/A</v>
      </c>
      <c r="I1900" t="e">
        <f>NA()</f>
        <v>#N/A</v>
      </c>
      <c r="J1900" t="e">
        <f>NA()</f>
        <v>#N/A</v>
      </c>
      <c r="K1900" t="e">
        <f>NA()</f>
        <v>#N/A</v>
      </c>
      <c r="L1900" t="e">
        <f>NA()</f>
        <v>#N/A</v>
      </c>
      <c r="M1900" t="e">
        <f>NA()</f>
        <v>#N/A</v>
      </c>
      <c r="N1900" t="e">
        <f>NA()</f>
        <v>#N/A</v>
      </c>
      <c r="O1900">
        <f t="shared" si="70"/>
        <v>1.7</v>
      </c>
    </row>
    <row r="1901" spans="1:15" x14ac:dyDescent="0.25">
      <c r="A1901" s="1">
        <v>43258</v>
      </c>
      <c r="B1901" t="e">
        <f>NA()</f>
        <v>#N/A</v>
      </c>
      <c r="C1901" t="e">
        <f>NA()</f>
        <v>#N/A</v>
      </c>
      <c r="D1901" t="e">
        <f>NA()</f>
        <v>#N/A</v>
      </c>
      <c r="E1901" t="e">
        <f>NA()</f>
        <v>#N/A</v>
      </c>
      <c r="F1901" t="e">
        <f>NA()</f>
        <v>#N/A</v>
      </c>
      <c r="G1901" t="e">
        <f>NA()</f>
        <v>#N/A</v>
      </c>
      <c r="H1901" t="e">
        <f>NA()</f>
        <v>#N/A</v>
      </c>
      <c r="I1901" t="e">
        <f>NA()</f>
        <v>#N/A</v>
      </c>
      <c r="J1901" t="e">
        <f>NA()</f>
        <v>#N/A</v>
      </c>
      <c r="K1901" t="e">
        <f>NA()</f>
        <v>#N/A</v>
      </c>
      <c r="L1901" t="e">
        <f>NA()</f>
        <v>#N/A</v>
      </c>
      <c r="M1901" t="e">
        <f>NA()</f>
        <v>#N/A</v>
      </c>
      <c r="N1901" t="e">
        <f>NA()</f>
        <v>#N/A</v>
      </c>
      <c r="O1901">
        <f t="shared" si="70"/>
        <v>1.7</v>
      </c>
    </row>
    <row r="1902" spans="1:15" x14ac:dyDescent="0.25">
      <c r="A1902" s="1">
        <v>43257</v>
      </c>
      <c r="B1902" t="e">
        <f>NA()</f>
        <v>#N/A</v>
      </c>
      <c r="C1902" t="e">
        <f>NA()</f>
        <v>#N/A</v>
      </c>
      <c r="D1902" t="e">
        <f>NA()</f>
        <v>#N/A</v>
      </c>
      <c r="E1902" t="e">
        <f>NA()</f>
        <v>#N/A</v>
      </c>
      <c r="F1902" t="e">
        <f>NA()</f>
        <v>#N/A</v>
      </c>
      <c r="G1902" t="e">
        <f>NA()</f>
        <v>#N/A</v>
      </c>
      <c r="H1902" t="e">
        <f>NA()</f>
        <v>#N/A</v>
      </c>
      <c r="I1902" t="e">
        <f>NA()</f>
        <v>#N/A</v>
      </c>
      <c r="J1902" t="e">
        <f>NA()</f>
        <v>#N/A</v>
      </c>
      <c r="K1902" t="e">
        <f>NA()</f>
        <v>#N/A</v>
      </c>
      <c r="L1902" t="e">
        <f>NA()</f>
        <v>#N/A</v>
      </c>
      <c r="M1902" t="e">
        <f>NA()</f>
        <v>#N/A</v>
      </c>
      <c r="N1902" t="e">
        <f>NA()</f>
        <v>#N/A</v>
      </c>
      <c r="O1902">
        <f t="shared" si="70"/>
        <v>1.7</v>
      </c>
    </row>
    <row r="1903" spans="1:15" x14ac:dyDescent="0.25">
      <c r="A1903" s="1">
        <v>43256</v>
      </c>
      <c r="B1903" t="e">
        <f>NA()</f>
        <v>#N/A</v>
      </c>
      <c r="C1903" t="e">
        <f>NA()</f>
        <v>#N/A</v>
      </c>
      <c r="D1903" t="e">
        <f>NA()</f>
        <v>#N/A</v>
      </c>
      <c r="E1903" t="e">
        <f>NA()</f>
        <v>#N/A</v>
      </c>
      <c r="F1903" t="e">
        <f>NA()</f>
        <v>#N/A</v>
      </c>
      <c r="G1903" t="e">
        <f>NA()</f>
        <v>#N/A</v>
      </c>
      <c r="H1903" t="e">
        <f>NA()</f>
        <v>#N/A</v>
      </c>
      <c r="I1903" t="e">
        <f>NA()</f>
        <v>#N/A</v>
      </c>
      <c r="J1903" t="e">
        <f>NA()</f>
        <v>#N/A</v>
      </c>
      <c r="K1903" t="e">
        <f>NA()</f>
        <v>#N/A</v>
      </c>
      <c r="L1903" t="e">
        <f>NA()</f>
        <v>#N/A</v>
      </c>
      <c r="M1903" t="e">
        <f>NA()</f>
        <v>#N/A</v>
      </c>
      <c r="N1903" t="e">
        <f>NA()</f>
        <v>#N/A</v>
      </c>
      <c r="O1903">
        <f t="shared" si="70"/>
        <v>1.7</v>
      </c>
    </row>
    <row r="1904" spans="1:15" x14ac:dyDescent="0.25">
      <c r="A1904" s="1">
        <v>43255</v>
      </c>
      <c r="B1904" t="e">
        <f>NA()</f>
        <v>#N/A</v>
      </c>
      <c r="C1904" t="e">
        <f>NA()</f>
        <v>#N/A</v>
      </c>
      <c r="D1904" t="e">
        <f>NA()</f>
        <v>#N/A</v>
      </c>
      <c r="E1904" t="e">
        <f>NA()</f>
        <v>#N/A</v>
      </c>
      <c r="F1904" t="e">
        <f>NA()</f>
        <v>#N/A</v>
      </c>
      <c r="G1904" t="e">
        <f>NA()</f>
        <v>#N/A</v>
      </c>
      <c r="H1904" t="e">
        <f>NA()</f>
        <v>#N/A</v>
      </c>
      <c r="I1904" t="e">
        <f>NA()</f>
        <v>#N/A</v>
      </c>
      <c r="J1904" t="e">
        <f>NA()</f>
        <v>#N/A</v>
      </c>
      <c r="K1904" t="e">
        <f>NA()</f>
        <v>#N/A</v>
      </c>
      <c r="L1904" t="e">
        <f>NA()</f>
        <v>#N/A</v>
      </c>
      <c r="M1904" t="e">
        <f>NA()</f>
        <v>#N/A</v>
      </c>
      <c r="N1904" t="e">
        <f>NA()</f>
        <v>#N/A</v>
      </c>
      <c r="O1904">
        <f t="shared" si="70"/>
        <v>1.7</v>
      </c>
    </row>
    <row r="1905" spans="1:15" x14ac:dyDescent="0.25">
      <c r="A1905" s="1">
        <v>43252</v>
      </c>
      <c r="B1905">
        <f>0.1</f>
        <v>0.1</v>
      </c>
      <c r="C1905">
        <f>0</f>
        <v>0</v>
      </c>
      <c r="D1905" t="e">
        <f>NA()</f>
        <v>#N/A</v>
      </c>
      <c r="E1905" t="e">
        <f>NA()</f>
        <v>#N/A</v>
      </c>
      <c r="F1905" t="e">
        <f>NA()</f>
        <v>#N/A</v>
      </c>
      <c r="G1905" t="e">
        <f>NA()</f>
        <v>#N/A</v>
      </c>
      <c r="H1905" t="e">
        <f>NA()</f>
        <v>#N/A</v>
      </c>
      <c r="I1905" t="e">
        <f>NA()</f>
        <v>#N/A</v>
      </c>
      <c r="J1905" t="e">
        <f>NA()</f>
        <v>#N/A</v>
      </c>
      <c r="K1905" t="e">
        <f>NA()</f>
        <v>#N/A</v>
      </c>
      <c r="L1905" t="e">
        <f>NA()</f>
        <v>#N/A</v>
      </c>
      <c r="M1905" t="e">
        <f>NA()</f>
        <v>#N/A</v>
      </c>
      <c r="N1905" t="e">
        <f>NA()</f>
        <v>#N/A</v>
      </c>
      <c r="O1905">
        <f t="shared" si="70"/>
        <v>1.7</v>
      </c>
    </row>
    <row r="1906" spans="1:15" x14ac:dyDescent="0.25">
      <c r="A1906" s="1">
        <v>43251</v>
      </c>
      <c r="B1906" t="e">
        <f>NA()</f>
        <v>#N/A</v>
      </c>
      <c r="C1906" t="e">
        <f>NA()</f>
        <v>#N/A</v>
      </c>
      <c r="D1906">
        <f>0.3</f>
        <v>0.3</v>
      </c>
      <c r="E1906">
        <f>0.2</f>
        <v>0.2</v>
      </c>
      <c r="F1906">
        <f>7016</f>
        <v>7016</v>
      </c>
      <c r="G1906">
        <f>62.9</f>
        <v>62.9</v>
      </c>
      <c r="H1906">
        <f>5.6</f>
        <v>5.6</v>
      </c>
      <c r="I1906">
        <f>251.6</f>
        <v>251.6</v>
      </c>
      <c r="J1906">
        <f>2.8</f>
        <v>2.8</v>
      </c>
      <c r="K1906">
        <f>59</f>
        <v>59</v>
      </c>
      <c r="L1906">
        <f>-0.9</f>
        <v>-0.9</v>
      </c>
      <c r="M1906" t="e">
        <f>NA()</f>
        <v>#N/A</v>
      </c>
      <c r="N1906">
        <f>3.8</f>
        <v>3.8</v>
      </c>
      <c r="O1906">
        <f t="shared" si="70"/>
        <v>1.7</v>
      </c>
    </row>
    <row r="1907" spans="1:15" x14ac:dyDescent="0.25">
      <c r="A1907" s="1">
        <v>43250</v>
      </c>
      <c r="B1907" t="e">
        <f>NA()</f>
        <v>#N/A</v>
      </c>
      <c r="C1907" t="e">
        <f>NA()</f>
        <v>#N/A</v>
      </c>
      <c r="D1907" t="e">
        <f>NA()</f>
        <v>#N/A</v>
      </c>
      <c r="E1907" t="e">
        <f>NA()</f>
        <v>#N/A</v>
      </c>
      <c r="F1907" t="e">
        <f>NA()</f>
        <v>#N/A</v>
      </c>
      <c r="G1907" t="e">
        <f>NA()</f>
        <v>#N/A</v>
      </c>
      <c r="H1907" t="e">
        <f>NA()</f>
        <v>#N/A</v>
      </c>
      <c r="I1907" t="e">
        <f>NA()</f>
        <v>#N/A</v>
      </c>
      <c r="J1907" t="e">
        <f>NA()</f>
        <v>#N/A</v>
      </c>
      <c r="K1907" t="e">
        <f>NA()</f>
        <v>#N/A</v>
      </c>
      <c r="L1907" t="e">
        <f>NA()</f>
        <v>#N/A</v>
      </c>
      <c r="M1907" t="e">
        <f>NA()</f>
        <v>#N/A</v>
      </c>
      <c r="N1907" t="e">
        <f>NA()</f>
        <v>#N/A</v>
      </c>
      <c r="O1907">
        <f t="shared" si="70"/>
        <v>1.7</v>
      </c>
    </row>
    <row r="1908" spans="1:15" x14ac:dyDescent="0.25">
      <c r="A1908" s="1">
        <v>43249</v>
      </c>
      <c r="B1908" t="e">
        <f>NA()</f>
        <v>#N/A</v>
      </c>
      <c r="C1908" t="e">
        <f>NA()</f>
        <v>#N/A</v>
      </c>
      <c r="D1908" t="e">
        <f>NA()</f>
        <v>#N/A</v>
      </c>
      <c r="E1908" t="e">
        <f>NA()</f>
        <v>#N/A</v>
      </c>
      <c r="F1908" t="e">
        <f>NA()</f>
        <v>#N/A</v>
      </c>
      <c r="G1908" t="e">
        <f>NA()</f>
        <v>#N/A</v>
      </c>
      <c r="H1908" t="e">
        <f>NA()</f>
        <v>#N/A</v>
      </c>
      <c r="I1908" t="e">
        <f>NA()</f>
        <v>#N/A</v>
      </c>
      <c r="J1908" t="e">
        <f>NA()</f>
        <v>#N/A</v>
      </c>
      <c r="K1908" t="e">
        <f>NA()</f>
        <v>#N/A</v>
      </c>
      <c r="L1908" t="e">
        <f>NA()</f>
        <v>#N/A</v>
      </c>
      <c r="M1908" t="e">
        <f>NA()</f>
        <v>#N/A</v>
      </c>
      <c r="N1908" t="e">
        <f>NA()</f>
        <v>#N/A</v>
      </c>
      <c r="O1908">
        <f t="shared" si="70"/>
        <v>1.7</v>
      </c>
    </row>
    <row r="1909" spans="1:15" x14ac:dyDescent="0.25">
      <c r="A1909" s="1">
        <v>43245</v>
      </c>
      <c r="B1909">
        <f>-0.2</f>
        <v>-0.2</v>
      </c>
      <c r="C1909">
        <f>0</f>
        <v>0</v>
      </c>
      <c r="D1909" t="e">
        <f>NA()</f>
        <v>#N/A</v>
      </c>
      <c r="E1909" t="e">
        <f>NA()</f>
        <v>#N/A</v>
      </c>
      <c r="F1909" t="e">
        <f>NA()</f>
        <v>#N/A</v>
      </c>
      <c r="G1909" t="e">
        <f>NA()</f>
        <v>#N/A</v>
      </c>
      <c r="H1909" t="e">
        <f>NA()</f>
        <v>#N/A</v>
      </c>
      <c r="I1909" t="e">
        <f>NA()</f>
        <v>#N/A</v>
      </c>
      <c r="J1909" t="e">
        <f>NA()</f>
        <v>#N/A</v>
      </c>
      <c r="K1909" t="e">
        <f>NA()</f>
        <v>#N/A</v>
      </c>
      <c r="L1909" t="e">
        <f>NA()</f>
        <v>#N/A</v>
      </c>
      <c r="M1909" t="e">
        <f>NA()</f>
        <v>#N/A</v>
      </c>
      <c r="N1909" t="e">
        <f>NA()</f>
        <v>#N/A</v>
      </c>
      <c r="O1909">
        <f t="shared" si="70"/>
        <v>1.7</v>
      </c>
    </row>
    <row r="1910" spans="1:15" x14ac:dyDescent="0.25">
      <c r="A1910" s="1">
        <v>43244</v>
      </c>
      <c r="B1910" t="e">
        <f>NA()</f>
        <v>#N/A</v>
      </c>
      <c r="C1910" t="e">
        <f>NA()</f>
        <v>#N/A</v>
      </c>
      <c r="D1910" t="e">
        <f>NA()</f>
        <v>#N/A</v>
      </c>
      <c r="E1910" t="e">
        <f>NA()</f>
        <v>#N/A</v>
      </c>
      <c r="F1910" t="e">
        <f>NA()</f>
        <v>#N/A</v>
      </c>
      <c r="G1910" t="e">
        <f>NA()</f>
        <v>#N/A</v>
      </c>
      <c r="H1910" t="e">
        <f>NA()</f>
        <v>#N/A</v>
      </c>
      <c r="I1910" t="e">
        <f>NA()</f>
        <v>#N/A</v>
      </c>
      <c r="J1910" t="e">
        <f>NA()</f>
        <v>#N/A</v>
      </c>
      <c r="K1910" t="e">
        <f>NA()</f>
        <v>#N/A</v>
      </c>
      <c r="L1910" t="e">
        <f>NA()</f>
        <v>#N/A</v>
      </c>
      <c r="M1910" t="e">
        <f>NA()</f>
        <v>#N/A</v>
      </c>
      <c r="N1910" t="e">
        <f>NA()</f>
        <v>#N/A</v>
      </c>
      <c r="O1910">
        <f t="shared" si="70"/>
        <v>1.7</v>
      </c>
    </row>
    <row r="1911" spans="1:15" x14ac:dyDescent="0.25">
      <c r="A1911" s="1">
        <v>43243</v>
      </c>
      <c r="B1911" t="e">
        <f>NA()</f>
        <v>#N/A</v>
      </c>
      <c r="C1911" t="e">
        <f>NA()</f>
        <v>#N/A</v>
      </c>
      <c r="D1911" t="e">
        <f>NA()</f>
        <v>#N/A</v>
      </c>
      <c r="E1911" t="e">
        <f>NA()</f>
        <v>#N/A</v>
      </c>
      <c r="F1911" t="e">
        <f>NA()</f>
        <v>#N/A</v>
      </c>
      <c r="G1911" t="e">
        <f>NA()</f>
        <v>#N/A</v>
      </c>
      <c r="H1911" t="e">
        <f>NA()</f>
        <v>#N/A</v>
      </c>
      <c r="I1911" t="e">
        <f>NA()</f>
        <v>#N/A</v>
      </c>
      <c r="J1911" t="e">
        <f>NA()</f>
        <v>#N/A</v>
      </c>
      <c r="K1911" t="e">
        <f>NA()</f>
        <v>#N/A</v>
      </c>
      <c r="L1911" t="e">
        <f>NA()</f>
        <v>#N/A</v>
      </c>
      <c r="M1911" t="e">
        <f>NA()</f>
        <v>#N/A</v>
      </c>
      <c r="N1911" t="e">
        <f>NA()</f>
        <v>#N/A</v>
      </c>
      <c r="O1911">
        <f t="shared" si="70"/>
        <v>1.7</v>
      </c>
    </row>
    <row r="1912" spans="1:15" x14ac:dyDescent="0.25">
      <c r="A1912" s="1">
        <v>43242</v>
      </c>
      <c r="B1912" t="e">
        <f>NA()</f>
        <v>#N/A</v>
      </c>
      <c r="C1912" t="e">
        <f>NA()</f>
        <v>#N/A</v>
      </c>
      <c r="D1912" t="e">
        <f>NA()</f>
        <v>#N/A</v>
      </c>
      <c r="E1912" t="e">
        <f>NA()</f>
        <v>#N/A</v>
      </c>
      <c r="F1912" t="e">
        <f>NA()</f>
        <v>#N/A</v>
      </c>
      <c r="G1912" t="e">
        <f>NA()</f>
        <v>#N/A</v>
      </c>
      <c r="H1912" t="e">
        <f>NA()</f>
        <v>#N/A</v>
      </c>
      <c r="I1912" t="e">
        <f>NA()</f>
        <v>#N/A</v>
      </c>
      <c r="J1912" t="e">
        <f>NA()</f>
        <v>#N/A</v>
      </c>
      <c r="K1912" t="e">
        <f>NA()</f>
        <v>#N/A</v>
      </c>
      <c r="L1912" t="e">
        <f>NA()</f>
        <v>#N/A</v>
      </c>
      <c r="M1912" t="e">
        <f>NA()</f>
        <v>#N/A</v>
      </c>
      <c r="N1912" t="e">
        <f>NA()</f>
        <v>#N/A</v>
      </c>
      <c r="O1912">
        <f t="shared" si="70"/>
        <v>1.7</v>
      </c>
    </row>
    <row r="1913" spans="1:15" x14ac:dyDescent="0.25">
      <c r="A1913" s="1">
        <v>43241</v>
      </c>
      <c r="B1913" t="e">
        <f>NA()</f>
        <v>#N/A</v>
      </c>
      <c r="C1913" t="e">
        <f>NA()</f>
        <v>#N/A</v>
      </c>
      <c r="D1913" t="e">
        <f>NA()</f>
        <v>#N/A</v>
      </c>
      <c r="E1913" t="e">
        <f>NA()</f>
        <v>#N/A</v>
      </c>
      <c r="F1913" t="e">
        <f>NA()</f>
        <v>#N/A</v>
      </c>
      <c r="G1913" t="e">
        <f>NA()</f>
        <v>#N/A</v>
      </c>
      <c r="H1913" t="e">
        <f>NA()</f>
        <v>#N/A</v>
      </c>
      <c r="I1913" t="e">
        <f>NA()</f>
        <v>#N/A</v>
      </c>
      <c r="J1913" t="e">
        <f>NA()</f>
        <v>#N/A</v>
      </c>
      <c r="K1913" t="e">
        <f>NA()</f>
        <v>#N/A</v>
      </c>
      <c r="L1913" t="e">
        <f>NA()</f>
        <v>#N/A</v>
      </c>
      <c r="M1913" t="e">
        <f>NA()</f>
        <v>#N/A</v>
      </c>
      <c r="N1913" t="e">
        <f>NA()</f>
        <v>#N/A</v>
      </c>
      <c r="O1913">
        <f t="shared" si="70"/>
        <v>1.7</v>
      </c>
    </row>
    <row r="1914" spans="1:15" x14ac:dyDescent="0.25">
      <c r="A1914" s="1">
        <v>43238</v>
      </c>
      <c r="B1914">
        <f>-0.3</f>
        <v>-0.3</v>
      </c>
      <c r="C1914">
        <f>0</f>
        <v>0</v>
      </c>
      <c r="D1914" t="e">
        <f>NA()</f>
        <v>#N/A</v>
      </c>
      <c r="E1914" t="e">
        <f>NA()</f>
        <v>#N/A</v>
      </c>
      <c r="F1914" t="e">
        <f>NA()</f>
        <v>#N/A</v>
      </c>
      <c r="G1914" t="e">
        <f>NA()</f>
        <v>#N/A</v>
      </c>
      <c r="H1914" t="e">
        <f>NA()</f>
        <v>#N/A</v>
      </c>
      <c r="I1914" t="e">
        <f>NA()</f>
        <v>#N/A</v>
      </c>
      <c r="J1914" t="e">
        <f>NA()</f>
        <v>#N/A</v>
      </c>
      <c r="K1914" t="e">
        <f>NA()</f>
        <v>#N/A</v>
      </c>
      <c r="L1914" t="e">
        <f>NA()</f>
        <v>#N/A</v>
      </c>
      <c r="M1914" t="e">
        <f>NA()</f>
        <v>#N/A</v>
      </c>
      <c r="N1914" t="e">
        <f>NA()</f>
        <v>#N/A</v>
      </c>
      <c r="O1914">
        <f t="shared" si="70"/>
        <v>1.7</v>
      </c>
    </row>
    <row r="1915" spans="1:15" x14ac:dyDescent="0.25">
      <c r="A1915" s="1">
        <v>43237</v>
      </c>
      <c r="B1915" t="e">
        <f>NA()</f>
        <v>#N/A</v>
      </c>
      <c r="C1915" t="e">
        <f>NA()</f>
        <v>#N/A</v>
      </c>
      <c r="D1915" t="e">
        <f>NA()</f>
        <v>#N/A</v>
      </c>
      <c r="E1915" t="e">
        <f>NA()</f>
        <v>#N/A</v>
      </c>
      <c r="F1915" t="e">
        <f>NA()</f>
        <v>#N/A</v>
      </c>
      <c r="G1915" t="e">
        <f>NA()</f>
        <v>#N/A</v>
      </c>
      <c r="H1915" t="e">
        <f>NA()</f>
        <v>#N/A</v>
      </c>
      <c r="I1915" t="e">
        <f>NA()</f>
        <v>#N/A</v>
      </c>
      <c r="J1915" t="e">
        <f>NA()</f>
        <v>#N/A</v>
      </c>
      <c r="K1915" t="e">
        <f>NA()</f>
        <v>#N/A</v>
      </c>
      <c r="L1915" t="e">
        <f>NA()</f>
        <v>#N/A</v>
      </c>
      <c r="M1915" t="e">
        <f>NA()</f>
        <v>#N/A</v>
      </c>
      <c r="N1915" t="e">
        <f>NA()</f>
        <v>#N/A</v>
      </c>
      <c r="O1915">
        <f t="shared" si="70"/>
        <v>1.7</v>
      </c>
    </row>
    <row r="1916" spans="1:15" x14ac:dyDescent="0.25">
      <c r="A1916" s="1">
        <v>43236</v>
      </c>
      <c r="B1916" t="e">
        <f>NA()</f>
        <v>#N/A</v>
      </c>
      <c r="C1916" t="e">
        <f>NA()</f>
        <v>#N/A</v>
      </c>
      <c r="D1916" t="e">
        <f>NA()</f>
        <v>#N/A</v>
      </c>
      <c r="E1916" t="e">
        <f>NA()</f>
        <v>#N/A</v>
      </c>
      <c r="F1916" t="e">
        <f>NA()</f>
        <v>#N/A</v>
      </c>
      <c r="G1916" t="e">
        <f>NA()</f>
        <v>#N/A</v>
      </c>
      <c r="H1916" t="e">
        <f>NA()</f>
        <v>#N/A</v>
      </c>
      <c r="I1916" t="e">
        <f>NA()</f>
        <v>#N/A</v>
      </c>
      <c r="J1916" t="e">
        <f>NA()</f>
        <v>#N/A</v>
      </c>
      <c r="K1916" t="e">
        <f>NA()</f>
        <v>#N/A</v>
      </c>
      <c r="L1916" t="e">
        <f>NA()</f>
        <v>#N/A</v>
      </c>
      <c r="M1916" t="e">
        <f>NA()</f>
        <v>#N/A</v>
      </c>
      <c r="N1916" t="e">
        <f>NA()</f>
        <v>#N/A</v>
      </c>
      <c r="O1916">
        <f t="shared" si="70"/>
        <v>1.7</v>
      </c>
    </row>
    <row r="1917" spans="1:15" x14ac:dyDescent="0.25">
      <c r="A1917" s="1">
        <v>43235</v>
      </c>
      <c r="B1917" t="e">
        <f>NA()</f>
        <v>#N/A</v>
      </c>
      <c r="C1917" t="e">
        <f>NA()</f>
        <v>#N/A</v>
      </c>
      <c r="D1917" t="e">
        <f>NA()</f>
        <v>#N/A</v>
      </c>
      <c r="E1917" t="e">
        <f>NA()</f>
        <v>#N/A</v>
      </c>
      <c r="F1917" t="e">
        <f>NA()</f>
        <v>#N/A</v>
      </c>
      <c r="G1917" t="e">
        <f>NA()</f>
        <v>#N/A</v>
      </c>
      <c r="H1917" t="e">
        <f>NA()</f>
        <v>#N/A</v>
      </c>
      <c r="I1917" t="e">
        <f>NA()</f>
        <v>#N/A</v>
      </c>
      <c r="J1917" t="e">
        <f>NA()</f>
        <v>#N/A</v>
      </c>
      <c r="K1917" t="e">
        <f>NA()</f>
        <v>#N/A</v>
      </c>
      <c r="L1917" t="e">
        <f>NA()</f>
        <v>#N/A</v>
      </c>
      <c r="M1917" t="e">
        <f>NA()</f>
        <v>#N/A</v>
      </c>
      <c r="N1917" t="e">
        <f>NA()</f>
        <v>#N/A</v>
      </c>
      <c r="O1917">
        <f t="shared" si="70"/>
        <v>1.7</v>
      </c>
    </row>
    <row r="1918" spans="1:15" x14ac:dyDescent="0.25">
      <c r="A1918" s="1">
        <v>43234</v>
      </c>
      <c r="B1918" t="e">
        <f>NA()</f>
        <v>#N/A</v>
      </c>
      <c r="C1918" t="e">
        <f>NA()</f>
        <v>#N/A</v>
      </c>
      <c r="D1918" t="e">
        <f>NA()</f>
        <v>#N/A</v>
      </c>
      <c r="E1918" t="e">
        <f>NA()</f>
        <v>#N/A</v>
      </c>
      <c r="F1918" t="e">
        <f>NA()</f>
        <v>#N/A</v>
      </c>
      <c r="G1918" t="e">
        <f>NA()</f>
        <v>#N/A</v>
      </c>
      <c r="H1918" t="e">
        <f>NA()</f>
        <v>#N/A</v>
      </c>
      <c r="I1918" t="e">
        <f>NA()</f>
        <v>#N/A</v>
      </c>
      <c r="J1918" t="e">
        <f>NA()</f>
        <v>#N/A</v>
      </c>
      <c r="K1918" t="e">
        <f>NA()</f>
        <v>#N/A</v>
      </c>
      <c r="L1918" t="e">
        <f>NA()</f>
        <v>#N/A</v>
      </c>
      <c r="M1918" t="e">
        <f>NA()</f>
        <v>#N/A</v>
      </c>
      <c r="N1918" t="e">
        <f>NA()</f>
        <v>#N/A</v>
      </c>
      <c r="O1918">
        <f t="shared" si="70"/>
        <v>1.7</v>
      </c>
    </row>
    <row r="1919" spans="1:15" x14ac:dyDescent="0.25">
      <c r="A1919" s="1">
        <v>43231</v>
      </c>
      <c r="B1919">
        <f>-0.2</f>
        <v>-0.2</v>
      </c>
      <c r="C1919">
        <f>0</f>
        <v>0</v>
      </c>
      <c r="D1919" t="e">
        <f>NA()</f>
        <v>#N/A</v>
      </c>
      <c r="E1919" t="e">
        <f>NA()</f>
        <v>#N/A</v>
      </c>
      <c r="F1919" t="e">
        <f>NA()</f>
        <v>#N/A</v>
      </c>
      <c r="G1919" t="e">
        <f>NA()</f>
        <v>#N/A</v>
      </c>
      <c r="H1919" t="e">
        <f>NA()</f>
        <v>#N/A</v>
      </c>
      <c r="I1919" t="e">
        <f>NA()</f>
        <v>#N/A</v>
      </c>
      <c r="J1919" t="e">
        <f>NA()</f>
        <v>#N/A</v>
      </c>
      <c r="K1919" t="e">
        <f>NA()</f>
        <v>#N/A</v>
      </c>
      <c r="L1919" t="e">
        <f>NA()</f>
        <v>#N/A</v>
      </c>
      <c r="M1919" t="e">
        <f>NA()</f>
        <v>#N/A</v>
      </c>
      <c r="N1919" t="e">
        <f>NA()</f>
        <v>#N/A</v>
      </c>
      <c r="O1919">
        <f t="shared" si="70"/>
        <v>1.7</v>
      </c>
    </row>
    <row r="1920" spans="1:15" x14ac:dyDescent="0.25">
      <c r="A1920" s="1">
        <v>43230</v>
      </c>
      <c r="B1920" t="e">
        <f>NA()</f>
        <v>#N/A</v>
      </c>
      <c r="C1920" t="e">
        <f>NA()</f>
        <v>#N/A</v>
      </c>
      <c r="D1920" t="e">
        <f>NA()</f>
        <v>#N/A</v>
      </c>
      <c r="E1920" t="e">
        <f>NA()</f>
        <v>#N/A</v>
      </c>
      <c r="F1920" t="e">
        <f>NA()</f>
        <v>#N/A</v>
      </c>
      <c r="G1920" t="e">
        <f>NA()</f>
        <v>#N/A</v>
      </c>
      <c r="H1920" t="e">
        <f>NA()</f>
        <v>#N/A</v>
      </c>
      <c r="I1920" t="e">
        <f>NA()</f>
        <v>#N/A</v>
      </c>
      <c r="J1920" t="e">
        <f>NA()</f>
        <v>#N/A</v>
      </c>
      <c r="K1920" t="e">
        <f>NA()</f>
        <v>#N/A</v>
      </c>
      <c r="L1920" t="e">
        <f>NA()</f>
        <v>#N/A</v>
      </c>
      <c r="M1920" t="e">
        <f>NA()</f>
        <v>#N/A</v>
      </c>
      <c r="N1920" t="e">
        <f>NA()</f>
        <v>#N/A</v>
      </c>
      <c r="O1920">
        <f t="shared" si="70"/>
        <v>1.7</v>
      </c>
    </row>
    <row r="1921" spans="1:15" x14ac:dyDescent="0.25">
      <c r="A1921" s="1">
        <v>43229</v>
      </c>
      <c r="B1921" t="e">
        <f>NA()</f>
        <v>#N/A</v>
      </c>
      <c r="C1921" t="e">
        <f>NA()</f>
        <v>#N/A</v>
      </c>
      <c r="D1921" t="e">
        <f>NA()</f>
        <v>#N/A</v>
      </c>
      <c r="E1921" t="e">
        <f>NA()</f>
        <v>#N/A</v>
      </c>
      <c r="F1921" t="e">
        <f>NA()</f>
        <v>#N/A</v>
      </c>
      <c r="G1921" t="e">
        <f>NA()</f>
        <v>#N/A</v>
      </c>
      <c r="H1921" t="e">
        <f>NA()</f>
        <v>#N/A</v>
      </c>
      <c r="I1921" t="e">
        <f>NA()</f>
        <v>#N/A</v>
      </c>
      <c r="J1921" t="e">
        <f>NA()</f>
        <v>#N/A</v>
      </c>
      <c r="K1921" t="e">
        <f>NA()</f>
        <v>#N/A</v>
      </c>
      <c r="L1921" t="e">
        <f>NA()</f>
        <v>#N/A</v>
      </c>
      <c r="M1921" t="e">
        <f>NA()</f>
        <v>#N/A</v>
      </c>
      <c r="N1921" t="e">
        <f>NA()</f>
        <v>#N/A</v>
      </c>
      <c r="O1921">
        <f t="shared" si="70"/>
        <v>1.7</v>
      </c>
    </row>
    <row r="1922" spans="1:15" x14ac:dyDescent="0.25">
      <c r="A1922" s="1">
        <v>43228</v>
      </c>
      <c r="B1922" t="e">
        <f>NA()</f>
        <v>#N/A</v>
      </c>
      <c r="C1922" t="e">
        <f>NA()</f>
        <v>#N/A</v>
      </c>
      <c r="D1922" t="e">
        <f>NA()</f>
        <v>#N/A</v>
      </c>
      <c r="E1922" t="e">
        <f>NA()</f>
        <v>#N/A</v>
      </c>
      <c r="F1922" t="e">
        <f>NA()</f>
        <v>#N/A</v>
      </c>
      <c r="G1922" t="e">
        <f>NA()</f>
        <v>#N/A</v>
      </c>
      <c r="H1922" t="e">
        <f>NA()</f>
        <v>#N/A</v>
      </c>
      <c r="I1922" t="e">
        <f>NA()</f>
        <v>#N/A</v>
      </c>
      <c r="J1922" t="e">
        <f>NA()</f>
        <v>#N/A</v>
      </c>
      <c r="K1922" t="e">
        <f>NA()</f>
        <v>#N/A</v>
      </c>
      <c r="L1922" t="e">
        <f>NA()</f>
        <v>#N/A</v>
      </c>
      <c r="M1922" t="e">
        <f>NA()</f>
        <v>#N/A</v>
      </c>
      <c r="N1922" t="e">
        <f>NA()</f>
        <v>#N/A</v>
      </c>
      <c r="O1922">
        <f t="shared" si="70"/>
        <v>1.7</v>
      </c>
    </row>
    <row r="1923" spans="1:15" x14ac:dyDescent="0.25">
      <c r="A1923" s="1">
        <v>43227</v>
      </c>
      <c r="B1923" t="e">
        <f>NA()</f>
        <v>#N/A</v>
      </c>
      <c r="C1923" t="e">
        <f>NA()</f>
        <v>#N/A</v>
      </c>
      <c r="D1923" t="e">
        <f>NA()</f>
        <v>#N/A</v>
      </c>
      <c r="E1923" t="e">
        <f>NA()</f>
        <v>#N/A</v>
      </c>
      <c r="F1923" t="e">
        <f>NA()</f>
        <v>#N/A</v>
      </c>
      <c r="G1923" t="e">
        <f>NA()</f>
        <v>#N/A</v>
      </c>
      <c r="H1923" t="e">
        <f>NA()</f>
        <v>#N/A</v>
      </c>
      <c r="I1923" t="e">
        <f>NA()</f>
        <v>#N/A</v>
      </c>
      <c r="J1923" t="e">
        <f>NA()</f>
        <v>#N/A</v>
      </c>
      <c r="K1923" t="e">
        <f>NA()</f>
        <v>#N/A</v>
      </c>
      <c r="L1923" t="e">
        <f>NA()</f>
        <v>#N/A</v>
      </c>
      <c r="M1923" t="e">
        <f>NA()</f>
        <v>#N/A</v>
      </c>
      <c r="N1923" t="e">
        <f>NA()</f>
        <v>#N/A</v>
      </c>
      <c r="O1923">
        <f t="shared" si="70"/>
        <v>1.7</v>
      </c>
    </row>
    <row r="1924" spans="1:15" x14ac:dyDescent="0.25">
      <c r="A1924" s="1">
        <v>43224</v>
      </c>
      <c r="B1924">
        <f>0</f>
        <v>0</v>
      </c>
      <c r="C1924">
        <f>0</f>
        <v>0</v>
      </c>
      <c r="D1924" t="e">
        <f>NA()</f>
        <v>#N/A</v>
      </c>
      <c r="E1924" t="e">
        <f>NA()</f>
        <v>#N/A</v>
      </c>
      <c r="F1924" t="e">
        <f>NA()</f>
        <v>#N/A</v>
      </c>
      <c r="G1924" t="e">
        <f>NA()</f>
        <v>#N/A</v>
      </c>
      <c r="H1924" t="e">
        <f>NA()</f>
        <v>#N/A</v>
      </c>
      <c r="I1924" t="e">
        <f>NA()</f>
        <v>#N/A</v>
      </c>
      <c r="J1924" t="e">
        <f>NA()</f>
        <v>#N/A</v>
      </c>
      <c r="K1924" t="e">
        <f>NA()</f>
        <v>#N/A</v>
      </c>
      <c r="L1924" t="e">
        <f>NA()</f>
        <v>#N/A</v>
      </c>
      <c r="M1924" t="e">
        <f>NA()</f>
        <v>#N/A</v>
      </c>
      <c r="N1924" t="e">
        <f>NA()</f>
        <v>#N/A</v>
      </c>
      <c r="O1924">
        <f t="shared" si="70"/>
        <v>1.7</v>
      </c>
    </row>
    <row r="1925" spans="1:15" x14ac:dyDescent="0.25">
      <c r="A1925" s="1">
        <v>43223</v>
      </c>
      <c r="B1925" t="e">
        <f>NA()</f>
        <v>#N/A</v>
      </c>
      <c r="C1925" t="e">
        <f>NA()</f>
        <v>#N/A</v>
      </c>
      <c r="D1925" t="e">
        <f>NA()</f>
        <v>#N/A</v>
      </c>
      <c r="E1925" t="e">
        <f>NA()</f>
        <v>#N/A</v>
      </c>
      <c r="F1925" t="e">
        <f>NA()</f>
        <v>#N/A</v>
      </c>
      <c r="G1925" t="e">
        <f>NA()</f>
        <v>#N/A</v>
      </c>
      <c r="H1925" t="e">
        <f>NA()</f>
        <v>#N/A</v>
      </c>
      <c r="I1925" t="e">
        <f>NA()</f>
        <v>#N/A</v>
      </c>
      <c r="J1925" t="e">
        <f>NA()</f>
        <v>#N/A</v>
      </c>
      <c r="K1925" t="e">
        <f>NA()</f>
        <v>#N/A</v>
      </c>
      <c r="L1925" t="e">
        <f>NA()</f>
        <v>#N/A</v>
      </c>
      <c r="M1925" t="e">
        <f>NA()</f>
        <v>#N/A</v>
      </c>
      <c r="N1925" t="e">
        <f>NA()</f>
        <v>#N/A</v>
      </c>
      <c r="O1925">
        <f t="shared" si="70"/>
        <v>1.7</v>
      </c>
    </row>
    <row r="1926" spans="1:15" x14ac:dyDescent="0.25">
      <c r="A1926" s="1">
        <v>43222</v>
      </c>
      <c r="B1926" t="e">
        <f>NA()</f>
        <v>#N/A</v>
      </c>
      <c r="C1926" t="e">
        <f>NA()</f>
        <v>#N/A</v>
      </c>
      <c r="D1926" t="e">
        <f>NA()</f>
        <v>#N/A</v>
      </c>
      <c r="E1926" t="e">
        <f>NA()</f>
        <v>#N/A</v>
      </c>
      <c r="F1926" t="e">
        <f>NA()</f>
        <v>#N/A</v>
      </c>
      <c r="G1926" t="e">
        <f>NA()</f>
        <v>#N/A</v>
      </c>
      <c r="H1926" t="e">
        <f>NA()</f>
        <v>#N/A</v>
      </c>
      <c r="I1926" t="e">
        <f>NA()</f>
        <v>#N/A</v>
      </c>
      <c r="J1926" t="e">
        <f>NA()</f>
        <v>#N/A</v>
      </c>
      <c r="K1926" t="e">
        <f>NA()</f>
        <v>#N/A</v>
      </c>
      <c r="L1926" t="e">
        <f>NA()</f>
        <v>#N/A</v>
      </c>
      <c r="M1926" t="e">
        <f>NA()</f>
        <v>#N/A</v>
      </c>
      <c r="N1926" t="e">
        <f>NA()</f>
        <v>#N/A</v>
      </c>
      <c r="O1926">
        <f t="shared" si="70"/>
        <v>1.7</v>
      </c>
    </row>
    <row r="1927" spans="1:15" x14ac:dyDescent="0.25">
      <c r="A1927" s="1">
        <v>43221</v>
      </c>
      <c r="B1927" t="e">
        <f>NA()</f>
        <v>#N/A</v>
      </c>
      <c r="C1927" t="e">
        <f>NA()</f>
        <v>#N/A</v>
      </c>
      <c r="D1927" t="e">
        <f>NA()</f>
        <v>#N/A</v>
      </c>
      <c r="E1927" t="e">
        <f>NA()</f>
        <v>#N/A</v>
      </c>
      <c r="F1927" t="e">
        <f>NA()</f>
        <v>#N/A</v>
      </c>
      <c r="G1927" t="e">
        <f>NA()</f>
        <v>#N/A</v>
      </c>
      <c r="H1927" t="e">
        <f>NA()</f>
        <v>#N/A</v>
      </c>
      <c r="I1927" t="e">
        <f>NA()</f>
        <v>#N/A</v>
      </c>
      <c r="J1927" t="e">
        <f>NA()</f>
        <v>#N/A</v>
      </c>
      <c r="K1927" t="e">
        <f>NA()</f>
        <v>#N/A</v>
      </c>
      <c r="L1927" t="e">
        <f>NA()</f>
        <v>#N/A</v>
      </c>
      <c r="M1927" t="e">
        <f>NA()</f>
        <v>#N/A</v>
      </c>
      <c r="N1927" t="e">
        <f>NA()</f>
        <v>#N/A</v>
      </c>
      <c r="O1927">
        <f t="shared" si="70"/>
        <v>1.7</v>
      </c>
    </row>
    <row r="1928" spans="1:15" x14ac:dyDescent="0.25">
      <c r="A1928" s="1">
        <v>43220</v>
      </c>
      <c r="B1928" t="e">
        <f>NA()</f>
        <v>#N/A</v>
      </c>
      <c r="C1928" t="e">
        <f>NA()</f>
        <v>#N/A</v>
      </c>
      <c r="D1928">
        <f>0.2</f>
        <v>0.2</v>
      </c>
      <c r="E1928">
        <f>0.3</f>
        <v>0.3</v>
      </c>
      <c r="F1928">
        <f>6877</f>
        <v>6877</v>
      </c>
      <c r="G1928">
        <f>62.9</f>
        <v>62.9</v>
      </c>
      <c r="H1928">
        <f>5.1</f>
        <v>5.0999999999999996</v>
      </c>
      <c r="I1928">
        <f>250.5</f>
        <v>250.5</v>
      </c>
      <c r="J1928">
        <f>2.5</f>
        <v>2.5</v>
      </c>
      <c r="K1928">
        <f>58.6</f>
        <v>58.6</v>
      </c>
      <c r="L1928">
        <f>1.1</f>
        <v>1.1000000000000001</v>
      </c>
      <c r="M1928" t="e">
        <f>NA()</f>
        <v>#N/A</v>
      </c>
      <c r="N1928">
        <f>4</f>
        <v>4</v>
      </c>
      <c r="O1928">
        <f t="shared" si="70"/>
        <v>1.7</v>
      </c>
    </row>
    <row r="1929" spans="1:15" x14ac:dyDescent="0.25">
      <c r="A1929" s="1">
        <v>43217</v>
      </c>
      <c r="B1929">
        <f>0</f>
        <v>0</v>
      </c>
      <c r="C1929">
        <f>0</f>
        <v>0</v>
      </c>
      <c r="D1929" t="e">
        <f>NA()</f>
        <v>#N/A</v>
      </c>
      <c r="E1929" t="e">
        <f>NA()</f>
        <v>#N/A</v>
      </c>
      <c r="F1929" t="e">
        <f>NA()</f>
        <v>#N/A</v>
      </c>
      <c r="G1929" t="e">
        <f>NA()</f>
        <v>#N/A</v>
      </c>
      <c r="H1929" t="e">
        <f>NA()</f>
        <v>#N/A</v>
      </c>
      <c r="I1929" t="e">
        <f>NA()</f>
        <v>#N/A</v>
      </c>
      <c r="J1929" t="e">
        <f>NA()</f>
        <v>#N/A</v>
      </c>
      <c r="K1929" t="e">
        <f>NA()</f>
        <v>#N/A</v>
      </c>
      <c r="L1929" t="e">
        <f>NA()</f>
        <v>#N/A</v>
      </c>
      <c r="M1929" t="e">
        <f>NA()</f>
        <v>#N/A</v>
      </c>
      <c r="N1929" t="e">
        <f>NA()</f>
        <v>#N/A</v>
      </c>
      <c r="O1929">
        <f t="shared" ref="O1929:O1948" si="71">1.7</f>
        <v>1.7</v>
      </c>
    </row>
    <row r="1930" spans="1:15" x14ac:dyDescent="0.25">
      <c r="A1930" s="1">
        <v>43216</v>
      </c>
      <c r="B1930" t="e">
        <f>NA()</f>
        <v>#N/A</v>
      </c>
      <c r="C1930" t="e">
        <f>NA()</f>
        <v>#N/A</v>
      </c>
      <c r="D1930" t="e">
        <f>NA()</f>
        <v>#N/A</v>
      </c>
      <c r="E1930" t="e">
        <f>NA()</f>
        <v>#N/A</v>
      </c>
      <c r="F1930" t="e">
        <f>NA()</f>
        <v>#N/A</v>
      </c>
      <c r="G1930" t="e">
        <f>NA()</f>
        <v>#N/A</v>
      </c>
      <c r="H1930" t="e">
        <f>NA()</f>
        <v>#N/A</v>
      </c>
      <c r="I1930" t="e">
        <f>NA()</f>
        <v>#N/A</v>
      </c>
      <c r="J1930" t="e">
        <f>NA()</f>
        <v>#N/A</v>
      </c>
      <c r="K1930" t="e">
        <f>NA()</f>
        <v>#N/A</v>
      </c>
      <c r="L1930" t="e">
        <f>NA()</f>
        <v>#N/A</v>
      </c>
      <c r="M1930" t="e">
        <f>NA()</f>
        <v>#N/A</v>
      </c>
      <c r="N1930" t="e">
        <f>NA()</f>
        <v>#N/A</v>
      </c>
      <c r="O1930">
        <f t="shared" si="71"/>
        <v>1.7</v>
      </c>
    </row>
    <row r="1931" spans="1:15" x14ac:dyDescent="0.25">
      <c r="A1931" s="1">
        <v>43215</v>
      </c>
      <c r="B1931" t="e">
        <f>NA()</f>
        <v>#N/A</v>
      </c>
      <c r="C1931" t="e">
        <f>NA()</f>
        <v>#N/A</v>
      </c>
      <c r="D1931" t="e">
        <f>NA()</f>
        <v>#N/A</v>
      </c>
      <c r="E1931" t="e">
        <f>NA()</f>
        <v>#N/A</v>
      </c>
      <c r="F1931" t="e">
        <f>NA()</f>
        <v>#N/A</v>
      </c>
      <c r="G1931" t="e">
        <f>NA()</f>
        <v>#N/A</v>
      </c>
      <c r="H1931" t="e">
        <f>NA()</f>
        <v>#N/A</v>
      </c>
      <c r="I1931" t="e">
        <f>NA()</f>
        <v>#N/A</v>
      </c>
      <c r="J1931" t="e">
        <f>NA()</f>
        <v>#N/A</v>
      </c>
      <c r="K1931" t="e">
        <f>NA()</f>
        <v>#N/A</v>
      </c>
      <c r="L1931" t="e">
        <f>NA()</f>
        <v>#N/A</v>
      </c>
      <c r="M1931" t="e">
        <f>NA()</f>
        <v>#N/A</v>
      </c>
      <c r="N1931" t="e">
        <f>NA()</f>
        <v>#N/A</v>
      </c>
      <c r="O1931">
        <f t="shared" si="71"/>
        <v>1.7</v>
      </c>
    </row>
    <row r="1932" spans="1:15" x14ac:dyDescent="0.25">
      <c r="A1932" s="1">
        <v>43214</v>
      </c>
      <c r="B1932" t="e">
        <f>NA()</f>
        <v>#N/A</v>
      </c>
      <c r="C1932" t="e">
        <f>NA()</f>
        <v>#N/A</v>
      </c>
      <c r="D1932" t="e">
        <f>NA()</f>
        <v>#N/A</v>
      </c>
      <c r="E1932" t="e">
        <f>NA()</f>
        <v>#N/A</v>
      </c>
      <c r="F1932" t="e">
        <f>NA()</f>
        <v>#N/A</v>
      </c>
      <c r="G1932" t="e">
        <f>NA()</f>
        <v>#N/A</v>
      </c>
      <c r="H1932" t="e">
        <f>NA()</f>
        <v>#N/A</v>
      </c>
      <c r="I1932" t="e">
        <f>NA()</f>
        <v>#N/A</v>
      </c>
      <c r="J1932" t="e">
        <f>NA()</f>
        <v>#N/A</v>
      </c>
      <c r="K1932" t="e">
        <f>NA()</f>
        <v>#N/A</v>
      </c>
      <c r="L1932" t="e">
        <f>NA()</f>
        <v>#N/A</v>
      </c>
      <c r="M1932" t="e">
        <f>NA()</f>
        <v>#N/A</v>
      </c>
      <c r="N1932" t="e">
        <f>NA()</f>
        <v>#N/A</v>
      </c>
      <c r="O1932">
        <f t="shared" si="71"/>
        <v>1.7</v>
      </c>
    </row>
    <row r="1933" spans="1:15" x14ac:dyDescent="0.25">
      <c r="A1933" s="1">
        <v>43213</v>
      </c>
      <c r="B1933" t="e">
        <f>NA()</f>
        <v>#N/A</v>
      </c>
      <c r="C1933" t="e">
        <f>NA()</f>
        <v>#N/A</v>
      </c>
      <c r="D1933" t="e">
        <f>NA()</f>
        <v>#N/A</v>
      </c>
      <c r="E1933" t="e">
        <f>NA()</f>
        <v>#N/A</v>
      </c>
      <c r="F1933" t="e">
        <f>NA()</f>
        <v>#N/A</v>
      </c>
      <c r="G1933" t="e">
        <f>NA()</f>
        <v>#N/A</v>
      </c>
      <c r="H1933" t="e">
        <f>NA()</f>
        <v>#N/A</v>
      </c>
      <c r="I1933" t="e">
        <f>NA()</f>
        <v>#N/A</v>
      </c>
      <c r="J1933" t="e">
        <f>NA()</f>
        <v>#N/A</v>
      </c>
      <c r="K1933" t="e">
        <f>NA()</f>
        <v>#N/A</v>
      </c>
      <c r="L1933" t="e">
        <f>NA()</f>
        <v>#N/A</v>
      </c>
      <c r="M1933" t="e">
        <f>NA()</f>
        <v>#N/A</v>
      </c>
      <c r="N1933" t="e">
        <f>NA()</f>
        <v>#N/A</v>
      </c>
      <c r="O1933">
        <f t="shared" si="71"/>
        <v>1.7</v>
      </c>
    </row>
    <row r="1934" spans="1:15" x14ac:dyDescent="0.25">
      <c r="A1934" s="1">
        <v>43210</v>
      </c>
      <c r="B1934">
        <f>-0.1</f>
        <v>-0.1</v>
      </c>
      <c r="C1934">
        <f>0</f>
        <v>0</v>
      </c>
      <c r="D1934" t="e">
        <f>NA()</f>
        <v>#N/A</v>
      </c>
      <c r="E1934" t="e">
        <f>NA()</f>
        <v>#N/A</v>
      </c>
      <c r="F1934" t="e">
        <f>NA()</f>
        <v>#N/A</v>
      </c>
      <c r="G1934" t="e">
        <f>NA()</f>
        <v>#N/A</v>
      </c>
      <c r="H1934" t="e">
        <f>NA()</f>
        <v>#N/A</v>
      </c>
      <c r="I1934" t="e">
        <f>NA()</f>
        <v>#N/A</v>
      </c>
      <c r="J1934" t="e">
        <f>NA()</f>
        <v>#N/A</v>
      </c>
      <c r="K1934" t="e">
        <f>NA()</f>
        <v>#N/A</v>
      </c>
      <c r="L1934" t="e">
        <f>NA()</f>
        <v>#N/A</v>
      </c>
      <c r="M1934" t="e">
        <f>NA()</f>
        <v>#N/A</v>
      </c>
      <c r="N1934" t="e">
        <f>NA()</f>
        <v>#N/A</v>
      </c>
      <c r="O1934">
        <f t="shared" si="71"/>
        <v>1.7</v>
      </c>
    </row>
    <row r="1935" spans="1:15" x14ac:dyDescent="0.25">
      <c r="A1935" s="1">
        <v>43209</v>
      </c>
      <c r="B1935" t="e">
        <f>NA()</f>
        <v>#N/A</v>
      </c>
      <c r="C1935" t="e">
        <f>NA()</f>
        <v>#N/A</v>
      </c>
      <c r="D1935" t="e">
        <f>NA()</f>
        <v>#N/A</v>
      </c>
      <c r="E1935" t="e">
        <f>NA()</f>
        <v>#N/A</v>
      </c>
      <c r="F1935" t="e">
        <f>NA()</f>
        <v>#N/A</v>
      </c>
      <c r="G1935" t="e">
        <f>NA()</f>
        <v>#N/A</v>
      </c>
      <c r="H1935" t="e">
        <f>NA()</f>
        <v>#N/A</v>
      </c>
      <c r="I1935" t="e">
        <f>NA()</f>
        <v>#N/A</v>
      </c>
      <c r="J1935" t="e">
        <f>NA()</f>
        <v>#N/A</v>
      </c>
      <c r="K1935" t="e">
        <f>NA()</f>
        <v>#N/A</v>
      </c>
      <c r="L1935" t="e">
        <f>NA()</f>
        <v>#N/A</v>
      </c>
      <c r="M1935" t="e">
        <f>NA()</f>
        <v>#N/A</v>
      </c>
      <c r="N1935" t="e">
        <f>NA()</f>
        <v>#N/A</v>
      </c>
      <c r="O1935">
        <f t="shared" si="71"/>
        <v>1.7</v>
      </c>
    </row>
    <row r="1936" spans="1:15" x14ac:dyDescent="0.25">
      <c r="A1936" s="1">
        <v>43208</v>
      </c>
      <c r="B1936" t="e">
        <f>NA()</f>
        <v>#N/A</v>
      </c>
      <c r="C1936" t="e">
        <f>NA()</f>
        <v>#N/A</v>
      </c>
      <c r="D1936" t="e">
        <f>NA()</f>
        <v>#N/A</v>
      </c>
      <c r="E1936" t="e">
        <f>NA()</f>
        <v>#N/A</v>
      </c>
      <c r="F1936" t="e">
        <f>NA()</f>
        <v>#N/A</v>
      </c>
      <c r="G1936" t="e">
        <f>NA()</f>
        <v>#N/A</v>
      </c>
      <c r="H1936" t="e">
        <f>NA()</f>
        <v>#N/A</v>
      </c>
      <c r="I1936" t="e">
        <f>NA()</f>
        <v>#N/A</v>
      </c>
      <c r="J1936" t="e">
        <f>NA()</f>
        <v>#N/A</v>
      </c>
      <c r="K1936" t="e">
        <f>NA()</f>
        <v>#N/A</v>
      </c>
      <c r="L1936" t="e">
        <f>NA()</f>
        <v>#N/A</v>
      </c>
      <c r="M1936" t="e">
        <f>NA()</f>
        <v>#N/A</v>
      </c>
      <c r="N1936" t="e">
        <f>NA()</f>
        <v>#N/A</v>
      </c>
      <c r="O1936">
        <f t="shared" si="71"/>
        <v>1.7</v>
      </c>
    </row>
    <row r="1937" spans="1:15" x14ac:dyDescent="0.25">
      <c r="A1937" s="1">
        <v>43207</v>
      </c>
      <c r="B1937" t="e">
        <f>NA()</f>
        <v>#N/A</v>
      </c>
      <c r="C1937" t="e">
        <f>NA()</f>
        <v>#N/A</v>
      </c>
      <c r="D1937" t="e">
        <f>NA()</f>
        <v>#N/A</v>
      </c>
      <c r="E1937" t="e">
        <f>NA()</f>
        <v>#N/A</v>
      </c>
      <c r="F1937" t="e">
        <f>NA()</f>
        <v>#N/A</v>
      </c>
      <c r="G1937" t="e">
        <f>NA()</f>
        <v>#N/A</v>
      </c>
      <c r="H1937" t="e">
        <f>NA()</f>
        <v>#N/A</v>
      </c>
      <c r="I1937" t="e">
        <f>NA()</f>
        <v>#N/A</v>
      </c>
      <c r="J1937" t="e">
        <f>NA()</f>
        <v>#N/A</v>
      </c>
      <c r="K1937" t="e">
        <f>NA()</f>
        <v>#N/A</v>
      </c>
      <c r="L1937" t="e">
        <f>NA()</f>
        <v>#N/A</v>
      </c>
      <c r="M1937" t="e">
        <f>NA()</f>
        <v>#N/A</v>
      </c>
      <c r="N1937" t="e">
        <f>NA()</f>
        <v>#N/A</v>
      </c>
      <c r="O1937">
        <f t="shared" si="71"/>
        <v>1.7</v>
      </c>
    </row>
    <row r="1938" spans="1:15" x14ac:dyDescent="0.25">
      <c r="A1938" s="1">
        <v>43206</v>
      </c>
      <c r="B1938" t="e">
        <f>NA()</f>
        <v>#N/A</v>
      </c>
      <c r="C1938" t="e">
        <f>NA()</f>
        <v>#N/A</v>
      </c>
      <c r="D1938" t="e">
        <f>NA()</f>
        <v>#N/A</v>
      </c>
      <c r="E1938" t="e">
        <f>NA()</f>
        <v>#N/A</v>
      </c>
      <c r="F1938" t="e">
        <f>NA()</f>
        <v>#N/A</v>
      </c>
      <c r="G1938" t="e">
        <f>NA()</f>
        <v>#N/A</v>
      </c>
      <c r="H1938" t="e">
        <f>NA()</f>
        <v>#N/A</v>
      </c>
      <c r="I1938" t="e">
        <f>NA()</f>
        <v>#N/A</v>
      </c>
      <c r="J1938" t="e">
        <f>NA()</f>
        <v>#N/A</v>
      </c>
      <c r="K1938" t="e">
        <f>NA()</f>
        <v>#N/A</v>
      </c>
      <c r="L1938" t="e">
        <f>NA()</f>
        <v>#N/A</v>
      </c>
      <c r="M1938" t="e">
        <f>NA()</f>
        <v>#N/A</v>
      </c>
      <c r="N1938" t="e">
        <f>NA()</f>
        <v>#N/A</v>
      </c>
      <c r="O1938">
        <f t="shared" si="71"/>
        <v>1.7</v>
      </c>
    </row>
    <row r="1939" spans="1:15" x14ac:dyDescent="0.25">
      <c r="A1939" s="1">
        <v>43203</v>
      </c>
      <c r="B1939">
        <f>0.1</f>
        <v>0.1</v>
      </c>
      <c r="C1939">
        <f>0</f>
        <v>0</v>
      </c>
      <c r="D1939" t="e">
        <f>NA()</f>
        <v>#N/A</v>
      </c>
      <c r="E1939" t="e">
        <f>NA()</f>
        <v>#N/A</v>
      </c>
      <c r="F1939" t="e">
        <f>NA()</f>
        <v>#N/A</v>
      </c>
      <c r="G1939" t="e">
        <f>NA()</f>
        <v>#N/A</v>
      </c>
      <c r="H1939" t="e">
        <f>NA()</f>
        <v>#N/A</v>
      </c>
      <c r="I1939" t="e">
        <f>NA()</f>
        <v>#N/A</v>
      </c>
      <c r="J1939" t="e">
        <f>NA()</f>
        <v>#N/A</v>
      </c>
      <c r="K1939" t="e">
        <f>NA()</f>
        <v>#N/A</v>
      </c>
      <c r="L1939" t="e">
        <f>NA()</f>
        <v>#N/A</v>
      </c>
      <c r="M1939" t="e">
        <f>NA()</f>
        <v>#N/A</v>
      </c>
      <c r="N1939" t="e">
        <f>NA()</f>
        <v>#N/A</v>
      </c>
      <c r="O1939">
        <f t="shared" si="71"/>
        <v>1.7</v>
      </c>
    </row>
    <row r="1940" spans="1:15" x14ac:dyDescent="0.25">
      <c r="A1940" s="1">
        <v>43202</v>
      </c>
      <c r="B1940" t="e">
        <f>NA()</f>
        <v>#N/A</v>
      </c>
      <c r="C1940" t="e">
        <f>NA()</f>
        <v>#N/A</v>
      </c>
      <c r="D1940" t="e">
        <f>NA()</f>
        <v>#N/A</v>
      </c>
      <c r="E1940" t="e">
        <f>NA()</f>
        <v>#N/A</v>
      </c>
      <c r="F1940" t="e">
        <f>NA()</f>
        <v>#N/A</v>
      </c>
      <c r="G1940" t="e">
        <f>NA()</f>
        <v>#N/A</v>
      </c>
      <c r="H1940" t="e">
        <f>NA()</f>
        <v>#N/A</v>
      </c>
      <c r="I1940" t="e">
        <f>NA()</f>
        <v>#N/A</v>
      </c>
      <c r="J1940" t="e">
        <f>NA()</f>
        <v>#N/A</v>
      </c>
      <c r="K1940" t="e">
        <f>NA()</f>
        <v>#N/A</v>
      </c>
      <c r="L1940" t="e">
        <f>NA()</f>
        <v>#N/A</v>
      </c>
      <c r="M1940" t="e">
        <f>NA()</f>
        <v>#N/A</v>
      </c>
      <c r="N1940" t="e">
        <f>NA()</f>
        <v>#N/A</v>
      </c>
      <c r="O1940">
        <f t="shared" si="71"/>
        <v>1.7</v>
      </c>
    </row>
    <row r="1941" spans="1:15" x14ac:dyDescent="0.25">
      <c r="A1941" s="1">
        <v>43201</v>
      </c>
      <c r="B1941" t="e">
        <f>NA()</f>
        <v>#N/A</v>
      </c>
      <c r="C1941" t="e">
        <f>NA()</f>
        <v>#N/A</v>
      </c>
      <c r="D1941" t="e">
        <f>NA()</f>
        <v>#N/A</v>
      </c>
      <c r="E1941" t="e">
        <f>NA()</f>
        <v>#N/A</v>
      </c>
      <c r="F1941" t="e">
        <f>NA()</f>
        <v>#N/A</v>
      </c>
      <c r="G1941" t="e">
        <f>NA()</f>
        <v>#N/A</v>
      </c>
      <c r="H1941" t="e">
        <f>NA()</f>
        <v>#N/A</v>
      </c>
      <c r="I1941" t="e">
        <f>NA()</f>
        <v>#N/A</v>
      </c>
      <c r="J1941" t="e">
        <f>NA()</f>
        <v>#N/A</v>
      </c>
      <c r="K1941" t="e">
        <f>NA()</f>
        <v>#N/A</v>
      </c>
      <c r="L1941" t="e">
        <f>NA()</f>
        <v>#N/A</v>
      </c>
      <c r="M1941" t="e">
        <f>NA()</f>
        <v>#N/A</v>
      </c>
      <c r="N1941" t="e">
        <f>NA()</f>
        <v>#N/A</v>
      </c>
      <c r="O1941">
        <f t="shared" si="71"/>
        <v>1.7</v>
      </c>
    </row>
    <row r="1942" spans="1:15" x14ac:dyDescent="0.25">
      <c r="A1942" s="1">
        <v>43200</v>
      </c>
      <c r="B1942" t="e">
        <f>NA()</f>
        <v>#N/A</v>
      </c>
      <c r="C1942" t="e">
        <f>NA()</f>
        <v>#N/A</v>
      </c>
      <c r="D1942" t="e">
        <f>NA()</f>
        <v>#N/A</v>
      </c>
      <c r="E1942" t="e">
        <f>NA()</f>
        <v>#N/A</v>
      </c>
      <c r="F1942" t="e">
        <f>NA()</f>
        <v>#N/A</v>
      </c>
      <c r="G1942" t="e">
        <f>NA()</f>
        <v>#N/A</v>
      </c>
      <c r="H1942" t="e">
        <f>NA()</f>
        <v>#N/A</v>
      </c>
      <c r="I1942" t="e">
        <f>NA()</f>
        <v>#N/A</v>
      </c>
      <c r="J1942" t="e">
        <f>NA()</f>
        <v>#N/A</v>
      </c>
      <c r="K1942" t="e">
        <f>NA()</f>
        <v>#N/A</v>
      </c>
      <c r="L1942" t="e">
        <f>NA()</f>
        <v>#N/A</v>
      </c>
      <c r="M1942" t="e">
        <f>NA()</f>
        <v>#N/A</v>
      </c>
      <c r="N1942" t="e">
        <f>NA()</f>
        <v>#N/A</v>
      </c>
      <c r="O1942">
        <f t="shared" si="71"/>
        <v>1.7</v>
      </c>
    </row>
    <row r="1943" spans="1:15" x14ac:dyDescent="0.25">
      <c r="A1943" s="1">
        <v>43199</v>
      </c>
      <c r="B1943" t="e">
        <f>NA()</f>
        <v>#N/A</v>
      </c>
      <c r="C1943" t="e">
        <f>NA()</f>
        <v>#N/A</v>
      </c>
      <c r="D1943" t="e">
        <f>NA()</f>
        <v>#N/A</v>
      </c>
      <c r="E1943" t="e">
        <f>NA()</f>
        <v>#N/A</v>
      </c>
      <c r="F1943" t="e">
        <f>NA()</f>
        <v>#N/A</v>
      </c>
      <c r="G1943" t="e">
        <f>NA()</f>
        <v>#N/A</v>
      </c>
      <c r="H1943" t="e">
        <f>NA()</f>
        <v>#N/A</v>
      </c>
      <c r="I1943" t="e">
        <f>NA()</f>
        <v>#N/A</v>
      </c>
      <c r="J1943" t="e">
        <f>NA()</f>
        <v>#N/A</v>
      </c>
      <c r="K1943" t="e">
        <f>NA()</f>
        <v>#N/A</v>
      </c>
      <c r="L1943" t="e">
        <f>NA()</f>
        <v>#N/A</v>
      </c>
      <c r="M1943" t="e">
        <f>NA()</f>
        <v>#N/A</v>
      </c>
      <c r="N1943" t="e">
        <f>NA()</f>
        <v>#N/A</v>
      </c>
      <c r="O1943">
        <f t="shared" si="71"/>
        <v>1.7</v>
      </c>
    </row>
    <row r="1944" spans="1:15" x14ac:dyDescent="0.25">
      <c r="A1944" s="1">
        <v>43196</v>
      </c>
      <c r="B1944">
        <f>0.3</f>
        <v>0.3</v>
      </c>
      <c r="C1944">
        <f>0</f>
        <v>0</v>
      </c>
      <c r="D1944" t="e">
        <f>NA()</f>
        <v>#N/A</v>
      </c>
      <c r="E1944" t="e">
        <f>NA()</f>
        <v>#N/A</v>
      </c>
      <c r="F1944" t="e">
        <f>NA()</f>
        <v>#N/A</v>
      </c>
      <c r="G1944" t="e">
        <f>NA()</f>
        <v>#N/A</v>
      </c>
      <c r="H1944" t="e">
        <f>NA()</f>
        <v>#N/A</v>
      </c>
      <c r="I1944" t="e">
        <f>NA()</f>
        <v>#N/A</v>
      </c>
      <c r="J1944" t="e">
        <f>NA()</f>
        <v>#N/A</v>
      </c>
      <c r="K1944" t="e">
        <f>NA()</f>
        <v>#N/A</v>
      </c>
      <c r="L1944" t="e">
        <f>NA()</f>
        <v>#N/A</v>
      </c>
      <c r="M1944" t="e">
        <f>NA()</f>
        <v>#N/A</v>
      </c>
      <c r="N1944" t="e">
        <f>NA()</f>
        <v>#N/A</v>
      </c>
      <c r="O1944">
        <f t="shared" si="71"/>
        <v>1.7</v>
      </c>
    </row>
    <row r="1945" spans="1:15" x14ac:dyDescent="0.25">
      <c r="A1945" s="1">
        <v>43195</v>
      </c>
      <c r="B1945" t="e">
        <f>NA()</f>
        <v>#N/A</v>
      </c>
      <c r="C1945" t="e">
        <f>NA()</f>
        <v>#N/A</v>
      </c>
      <c r="D1945" t="e">
        <f>NA()</f>
        <v>#N/A</v>
      </c>
      <c r="E1945" t="e">
        <f>NA()</f>
        <v>#N/A</v>
      </c>
      <c r="F1945" t="e">
        <f>NA()</f>
        <v>#N/A</v>
      </c>
      <c r="G1945" t="e">
        <f>NA()</f>
        <v>#N/A</v>
      </c>
      <c r="H1945" t="e">
        <f>NA()</f>
        <v>#N/A</v>
      </c>
      <c r="I1945" t="e">
        <f>NA()</f>
        <v>#N/A</v>
      </c>
      <c r="J1945" t="e">
        <f>NA()</f>
        <v>#N/A</v>
      </c>
      <c r="K1945" t="e">
        <f>NA()</f>
        <v>#N/A</v>
      </c>
      <c r="L1945" t="e">
        <f>NA()</f>
        <v>#N/A</v>
      </c>
      <c r="M1945" t="e">
        <f>NA()</f>
        <v>#N/A</v>
      </c>
      <c r="N1945" t="e">
        <f>NA()</f>
        <v>#N/A</v>
      </c>
      <c r="O1945">
        <f t="shared" si="71"/>
        <v>1.7</v>
      </c>
    </row>
    <row r="1946" spans="1:15" x14ac:dyDescent="0.25">
      <c r="A1946" s="1">
        <v>43194</v>
      </c>
      <c r="B1946" t="e">
        <f>NA()</f>
        <v>#N/A</v>
      </c>
      <c r="C1946" t="e">
        <f>NA()</f>
        <v>#N/A</v>
      </c>
      <c r="D1946" t="e">
        <f>NA()</f>
        <v>#N/A</v>
      </c>
      <c r="E1946" t="e">
        <f>NA()</f>
        <v>#N/A</v>
      </c>
      <c r="F1946" t="e">
        <f>NA()</f>
        <v>#N/A</v>
      </c>
      <c r="G1946" t="e">
        <f>NA()</f>
        <v>#N/A</v>
      </c>
      <c r="H1946" t="e">
        <f>NA()</f>
        <v>#N/A</v>
      </c>
      <c r="I1946" t="e">
        <f>NA()</f>
        <v>#N/A</v>
      </c>
      <c r="J1946" t="e">
        <f>NA()</f>
        <v>#N/A</v>
      </c>
      <c r="K1946" t="e">
        <f>NA()</f>
        <v>#N/A</v>
      </c>
      <c r="L1946" t="e">
        <f>NA()</f>
        <v>#N/A</v>
      </c>
      <c r="M1946" t="e">
        <f>NA()</f>
        <v>#N/A</v>
      </c>
      <c r="N1946" t="e">
        <f>NA()</f>
        <v>#N/A</v>
      </c>
      <c r="O1946">
        <f t="shared" si="71"/>
        <v>1.7</v>
      </c>
    </row>
    <row r="1947" spans="1:15" x14ac:dyDescent="0.25">
      <c r="A1947" s="1">
        <v>43193</v>
      </c>
      <c r="B1947" t="e">
        <f>NA()</f>
        <v>#N/A</v>
      </c>
      <c r="C1947" t="e">
        <f>NA()</f>
        <v>#N/A</v>
      </c>
      <c r="D1947" t="e">
        <f>NA()</f>
        <v>#N/A</v>
      </c>
      <c r="E1947" t="e">
        <f>NA()</f>
        <v>#N/A</v>
      </c>
      <c r="F1947" t="e">
        <f>NA()</f>
        <v>#N/A</v>
      </c>
      <c r="G1947" t="e">
        <f>NA()</f>
        <v>#N/A</v>
      </c>
      <c r="H1947" t="e">
        <f>NA()</f>
        <v>#N/A</v>
      </c>
      <c r="I1947" t="e">
        <f>NA()</f>
        <v>#N/A</v>
      </c>
      <c r="J1947" t="e">
        <f>NA()</f>
        <v>#N/A</v>
      </c>
      <c r="K1947" t="e">
        <f>NA()</f>
        <v>#N/A</v>
      </c>
      <c r="L1947" t="e">
        <f>NA()</f>
        <v>#N/A</v>
      </c>
      <c r="M1947" t="e">
        <f>NA()</f>
        <v>#N/A</v>
      </c>
      <c r="N1947" t="e">
        <f>NA()</f>
        <v>#N/A</v>
      </c>
      <c r="O1947">
        <f t="shared" si="71"/>
        <v>1.7</v>
      </c>
    </row>
    <row r="1948" spans="1:15" x14ac:dyDescent="0.25">
      <c r="A1948" s="1">
        <v>43192</v>
      </c>
      <c r="B1948" t="e">
        <f>NA()</f>
        <v>#N/A</v>
      </c>
      <c r="C1948" t="e">
        <f>NA()</f>
        <v>#N/A</v>
      </c>
      <c r="D1948" t="e">
        <f>NA()</f>
        <v>#N/A</v>
      </c>
      <c r="E1948" t="e">
        <f>NA()</f>
        <v>#N/A</v>
      </c>
      <c r="F1948" t="e">
        <f>NA()</f>
        <v>#N/A</v>
      </c>
      <c r="G1948" t="e">
        <f>NA()</f>
        <v>#N/A</v>
      </c>
      <c r="H1948" t="e">
        <f>NA()</f>
        <v>#N/A</v>
      </c>
      <c r="I1948" t="e">
        <f>NA()</f>
        <v>#N/A</v>
      </c>
      <c r="J1948" t="e">
        <f>NA()</f>
        <v>#N/A</v>
      </c>
      <c r="K1948" t="e">
        <f>NA()</f>
        <v>#N/A</v>
      </c>
      <c r="L1948" t="e">
        <f>NA()</f>
        <v>#N/A</v>
      </c>
      <c r="M1948" t="e">
        <f>NA()</f>
        <v>#N/A</v>
      </c>
      <c r="N1948" t="e">
        <f>NA()</f>
        <v>#N/A</v>
      </c>
      <c r="O1948">
        <f t="shared" si="71"/>
        <v>1.7</v>
      </c>
    </row>
    <row r="1949" spans="1:15" x14ac:dyDescent="0.25">
      <c r="A1949" s="1">
        <v>43190</v>
      </c>
      <c r="B1949" t="e">
        <f>NA()</f>
        <v>#N/A</v>
      </c>
      <c r="C1949" t="e">
        <f>NA()</f>
        <v>#N/A</v>
      </c>
      <c r="D1949">
        <f>0.4</f>
        <v>0.4</v>
      </c>
      <c r="E1949">
        <f>0.5</f>
        <v>0.5</v>
      </c>
      <c r="F1949">
        <f>6818</f>
        <v>6818</v>
      </c>
      <c r="G1949">
        <f>62.9</f>
        <v>62.9</v>
      </c>
      <c r="H1949">
        <f>5</f>
        <v>5</v>
      </c>
      <c r="I1949">
        <f>249.6</f>
        <v>249.6</v>
      </c>
      <c r="J1949">
        <f>2.4</f>
        <v>2.4</v>
      </c>
      <c r="K1949">
        <f>58.8</f>
        <v>58.8</v>
      </c>
      <c r="L1949">
        <f>0.5</f>
        <v>0.5</v>
      </c>
      <c r="M1949">
        <f>3.3</f>
        <v>3.3</v>
      </c>
      <c r="N1949">
        <f>4</f>
        <v>4</v>
      </c>
      <c r="O1949" t="e">
        <f>NA()</f>
        <v>#N/A</v>
      </c>
    </row>
    <row r="1950" spans="1:15" x14ac:dyDescent="0.25">
      <c r="A1950" s="1">
        <v>43189</v>
      </c>
      <c r="B1950">
        <f>0.3</f>
        <v>0.3</v>
      </c>
      <c r="C1950">
        <f>0</f>
        <v>0</v>
      </c>
      <c r="D1950" t="e">
        <f>NA()</f>
        <v>#N/A</v>
      </c>
      <c r="E1950" t="e">
        <f>NA()</f>
        <v>#N/A</v>
      </c>
      <c r="F1950" t="e">
        <f>NA()</f>
        <v>#N/A</v>
      </c>
      <c r="G1950" t="e">
        <f>NA()</f>
        <v>#N/A</v>
      </c>
      <c r="H1950" t="e">
        <f>NA()</f>
        <v>#N/A</v>
      </c>
      <c r="I1950" t="e">
        <f>NA()</f>
        <v>#N/A</v>
      </c>
      <c r="J1950" t="e">
        <f>NA()</f>
        <v>#N/A</v>
      </c>
      <c r="K1950" t="e">
        <f>NA()</f>
        <v>#N/A</v>
      </c>
      <c r="L1950" t="e">
        <f>NA()</f>
        <v>#N/A</v>
      </c>
      <c r="M1950" t="e">
        <f>NA()</f>
        <v>#N/A</v>
      </c>
      <c r="N1950" t="e">
        <f>NA()</f>
        <v>#N/A</v>
      </c>
      <c r="O1950">
        <f t="shared" ref="O1950:O1956" si="72">1.7</f>
        <v>1.7</v>
      </c>
    </row>
    <row r="1951" spans="1:15" x14ac:dyDescent="0.25">
      <c r="A1951" s="1">
        <v>43188</v>
      </c>
      <c r="B1951" t="e">
        <f>NA()</f>
        <v>#N/A</v>
      </c>
      <c r="C1951" t="e">
        <f>NA()</f>
        <v>#N/A</v>
      </c>
      <c r="D1951" t="e">
        <f>NA()</f>
        <v>#N/A</v>
      </c>
      <c r="E1951" t="e">
        <f>NA()</f>
        <v>#N/A</v>
      </c>
      <c r="F1951" t="e">
        <f>NA()</f>
        <v>#N/A</v>
      </c>
      <c r="G1951" t="e">
        <f>NA()</f>
        <v>#N/A</v>
      </c>
      <c r="H1951" t="e">
        <f>NA()</f>
        <v>#N/A</v>
      </c>
      <c r="I1951" t="e">
        <f>NA()</f>
        <v>#N/A</v>
      </c>
      <c r="J1951" t="e">
        <f>NA()</f>
        <v>#N/A</v>
      </c>
      <c r="K1951" t="e">
        <f>NA()</f>
        <v>#N/A</v>
      </c>
      <c r="L1951" t="e">
        <f>NA()</f>
        <v>#N/A</v>
      </c>
      <c r="M1951" t="e">
        <f>NA()</f>
        <v>#N/A</v>
      </c>
      <c r="N1951" t="e">
        <f>NA()</f>
        <v>#N/A</v>
      </c>
      <c r="O1951">
        <f t="shared" si="72"/>
        <v>1.7</v>
      </c>
    </row>
    <row r="1952" spans="1:15" x14ac:dyDescent="0.25">
      <c r="A1952" s="1">
        <v>43187</v>
      </c>
      <c r="B1952" t="e">
        <f>NA()</f>
        <v>#N/A</v>
      </c>
      <c r="C1952" t="e">
        <f>NA()</f>
        <v>#N/A</v>
      </c>
      <c r="D1952" t="e">
        <f>NA()</f>
        <v>#N/A</v>
      </c>
      <c r="E1952" t="e">
        <f>NA()</f>
        <v>#N/A</v>
      </c>
      <c r="F1952" t="e">
        <f>NA()</f>
        <v>#N/A</v>
      </c>
      <c r="G1952" t="e">
        <f>NA()</f>
        <v>#N/A</v>
      </c>
      <c r="H1952" t="e">
        <f>NA()</f>
        <v>#N/A</v>
      </c>
      <c r="I1952" t="e">
        <f>NA()</f>
        <v>#N/A</v>
      </c>
      <c r="J1952" t="e">
        <f>NA()</f>
        <v>#N/A</v>
      </c>
      <c r="K1952" t="e">
        <f>NA()</f>
        <v>#N/A</v>
      </c>
      <c r="L1952" t="e">
        <f>NA()</f>
        <v>#N/A</v>
      </c>
      <c r="M1952" t="e">
        <f>NA()</f>
        <v>#N/A</v>
      </c>
      <c r="N1952" t="e">
        <f>NA()</f>
        <v>#N/A</v>
      </c>
      <c r="O1952">
        <f t="shared" si="72"/>
        <v>1.7</v>
      </c>
    </row>
    <row r="1953" spans="1:15" x14ac:dyDescent="0.25">
      <c r="A1953" s="1">
        <v>43186</v>
      </c>
      <c r="B1953" t="e">
        <f>NA()</f>
        <v>#N/A</v>
      </c>
      <c r="C1953" t="e">
        <f>NA()</f>
        <v>#N/A</v>
      </c>
      <c r="D1953" t="e">
        <f>NA()</f>
        <v>#N/A</v>
      </c>
      <c r="E1953" t="e">
        <f>NA()</f>
        <v>#N/A</v>
      </c>
      <c r="F1953" t="e">
        <f>NA()</f>
        <v>#N/A</v>
      </c>
      <c r="G1953" t="e">
        <f>NA()</f>
        <v>#N/A</v>
      </c>
      <c r="H1953" t="e">
        <f>NA()</f>
        <v>#N/A</v>
      </c>
      <c r="I1953" t="e">
        <f>NA()</f>
        <v>#N/A</v>
      </c>
      <c r="J1953" t="e">
        <f>NA()</f>
        <v>#N/A</v>
      </c>
      <c r="K1953" t="e">
        <f>NA()</f>
        <v>#N/A</v>
      </c>
      <c r="L1953" t="e">
        <f>NA()</f>
        <v>#N/A</v>
      </c>
      <c r="M1953" t="e">
        <f>NA()</f>
        <v>#N/A</v>
      </c>
      <c r="N1953" t="e">
        <f>NA()</f>
        <v>#N/A</v>
      </c>
      <c r="O1953">
        <f t="shared" si="72"/>
        <v>1.7</v>
      </c>
    </row>
    <row r="1954" spans="1:15" x14ac:dyDescent="0.25">
      <c r="A1954" s="1">
        <v>43185</v>
      </c>
      <c r="B1954" t="e">
        <f>NA()</f>
        <v>#N/A</v>
      </c>
      <c r="C1954" t="e">
        <f>NA()</f>
        <v>#N/A</v>
      </c>
      <c r="D1954" t="e">
        <f>NA()</f>
        <v>#N/A</v>
      </c>
      <c r="E1954" t="e">
        <f>NA()</f>
        <v>#N/A</v>
      </c>
      <c r="F1954" t="e">
        <f>NA()</f>
        <v>#N/A</v>
      </c>
      <c r="G1954" t="e">
        <f>NA()</f>
        <v>#N/A</v>
      </c>
      <c r="H1954" t="e">
        <f>NA()</f>
        <v>#N/A</v>
      </c>
      <c r="I1954" t="e">
        <f>NA()</f>
        <v>#N/A</v>
      </c>
      <c r="J1954" t="e">
        <f>NA()</f>
        <v>#N/A</v>
      </c>
      <c r="K1954" t="e">
        <f>NA()</f>
        <v>#N/A</v>
      </c>
      <c r="L1954" t="e">
        <f>NA()</f>
        <v>#N/A</v>
      </c>
      <c r="M1954" t="e">
        <f>NA()</f>
        <v>#N/A</v>
      </c>
      <c r="N1954" t="e">
        <f>NA()</f>
        <v>#N/A</v>
      </c>
      <c r="O1954">
        <f t="shared" si="72"/>
        <v>1.7</v>
      </c>
    </row>
    <row r="1955" spans="1:15" x14ac:dyDescent="0.25">
      <c r="A1955" s="1">
        <v>43182</v>
      </c>
      <c r="B1955">
        <f>0.2</f>
        <v>0.2</v>
      </c>
      <c r="C1955">
        <f>0</f>
        <v>0</v>
      </c>
      <c r="D1955" t="e">
        <f>NA()</f>
        <v>#N/A</v>
      </c>
      <c r="E1955" t="e">
        <f>NA()</f>
        <v>#N/A</v>
      </c>
      <c r="F1955" t="e">
        <f>NA()</f>
        <v>#N/A</v>
      </c>
      <c r="G1955" t="e">
        <f>NA()</f>
        <v>#N/A</v>
      </c>
      <c r="H1955" t="e">
        <f>NA()</f>
        <v>#N/A</v>
      </c>
      <c r="I1955" t="e">
        <f>NA()</f>
        <v>#N/A</v>
      </c>
      <c r="J1955" t="e">
        <f>NA()</f>
        <v>#N/A</v>
      </c>
      <c r="K1955" t="e">
        <f>NA()</f>
        <v>#N/A</v>
      </c>
      <c r="L1955" t="e">
        <f>NA()</f>
        <v>#N/A</v>
      </c>
      <c r="M1955" t="e">
        <f>NA()</f>
        <v>#N/A</v>
      </c>
      <c r="N1955" t="e">
        <f>NA()</f>
        <v>#N/A</v>
      </c>
      <c r="O1955">
        <f t="shared" si="72"/>
        <v>1.7</v>
      </c>
    </row>
    <row r="1956" spans="1:15" x14ac:dyDescent="0.25">
      <c r="A1956" s="1">
        <v>43181</v>
      </c>
      <c r="B1956" t="e">
        <f>NA()</f>
        <v>#N/A</v>
      </c>
      <c r="C1956" t="e">
        <f>NA()</f>
        <v>#N/A</v>
      </c>
      <c r="D1956" t="e">
        <f>NA()</f>
        <v>#N/A</v>
      </c>
      <c r="E1956" t="e">
        <f>NA()</f>
        <v>#N/A</v>
      </c>
      <c r="F1956" t="e">
        <f>NA()</f>
        <v>#N/A</v>
      </c>
      <c r="G1956" t="e">
        <f>NA()</f>
        <v>#N/A</v>
      </c>
      <c r="H1956" t="e">
        <f>NA()</f>
        <v>#N/A</v>
      </c>
      <c r="I1956" t="e">
        <f>NA()</f>
        <v>#N/A</v>
      </c>
      <c r="J1956" t="e">
        <f>NA()</f>
        <v>#N/A</v>
      </c>
      <c r="K1956" t="e">
        <f>NA()</f>
        <v>#N/A</v>
      </c>
      <c r="L1956" t="e">
        <f>NA()</f>
        <v>#N/A</v>
      </c>
      <c r="M1956" t="e">
        <f>NA()</f>
        <v>#N/A</v>
      </c>
      <c r="N1956" t="e">
        <f>NA()</f>
        <v>#N/A</v>
      </c>
      <c r="O1956">
        <f t="shared" si="72"/>
        <v>1.7</v>
      </c>
    </row>
    <row r="1957" spans="1:15" x14ac:dyDescent="0.25">
      <c r="A1957" s="1">
        <v>43180</v>
      </c>
      <c r="B1957" t="e">
        <f>NA()</f>
        <v>#N/A</v>
      </c>
      <c r="C1957" t="e">
        <f>NA()</f>
        <v>#N/A</v>
      </c>
      <c r="D1957" t="e">
        <f>NA()</f>
        <v>#N/A</v>
      </c>
      <c r="E1957" t="e">
        <f>NA()</f>
        <v>#N/A</v>
      </c>
      <c r="F1957" t="e">
        <f>NA()</f>
        <v>#N/A</v>
      </c>
      <c r="G1957" t="e">
        <f>NA()</f>
        <v>#N/A</v>
      </c>
      <c r="H1957" t="e">
        <f>NA()</f>
        <v>#N/A</v>
      </c>
      <c r="I1957" t="e">
        <f>NA()</f>
        <v>#N/A</v>
      </c>
      <c r="J1957" t="e">
        <f>NA()</f>
        <v>#N/A</v>
      </c>
      <c r="K1957" t="e">
        <f>NA()</f>
        <v>#N/A</v>
      </c>
      <c r="L1957" t="e">
        <f>NA()</f>
        <v>#N/A</v>
      </c>
      <c r="M1957" t="e">
        <f>NA()</f>
        <v>#N/A</v>
      </c>
      <c r="N1957" t="e">
        <f>NA()</f>
        <v>#N/A</v>
      </c>
      <c r="O1957">
        <f t="shared" ref="O1957:O1990" si="73">1.4</f>
        <v>1.4</v>
      </c>
    </row>
    <row r="1958" spans="1:15" x14ac:dyDescent="0.25">
      <c r="A1958" s="1">
        <v>43179</v>
      </c>
      <c r="B1958" t="e">
        <f>NA()</f>
        <v>#N/A</v>
      </c>
      <c r="C1958" t="e">
        <f>NA()</f>
        <v>#N/A</v>
      </c>
      <c r="D1958" t="e">
        <f>NA()</f>
        <v>#N/A</v>
      </c>
      <c r="E1958" t="e">
        <f>NA()</f>
        <v>#N/A</v>
      </c>
      <c r="F1958" t="e">
        <f>NA()</f>
        <v>#N/A</v>
      </c>
      <c r="G1958" t="e">
        <f>NA()</f>
        <v>#N/A</v>
      </c>
      <c r="H1958" t="e">
        <f>NA()</f>
        <v>#N/A</v>
      </c>
      <c r="I1958" t="e">
        <f>NA()</f>
        <v>#N/A</v>
      </c>
      <c r="J1958" t="e">
        <f>NA()</f>
        <v>#N/A</v>
      </c>
      <c r="K1958" t="e">
        <f>NA()</f>
        <v>#N/A</v>
      </c>
      <c r="L1958" t="e">
        <f>NA()</f>
        <v>#N/A</v>
      </c>
      <c r="M1958" t="e">
        <f>NA()</f>
        <v>#N/A</v>
      </c>
      <c r="N1958" t="e">
        <f>NA()</f>
        <v>#N/A</v>
      </c>
      <c r="O1958">
        <f t="shared" si="73"/>
        <v>1.4</v>
      </c>
    </row>
    <row r="1959" spans="1:15" x14ac:dyDescent="0.25">
      <c r="A1959" s="1">
        <v>43178</v>
      </c>
      <c r="B1959" t="e">
        <f>NA()</f>
        <v>#N/A</v>
      </c>
      <c r="C1959" t="e">
        <f>NA()</f>
        <v>#N/A</v>
      </c>
      <c r="D1959" t="e">
        <f>NA()</f>
        <v>#N/A</v>
      </c>
      <c r="E1959" t="e">
        <f>NA()</f>
        <v>#N/A</v>
      </c>
      <c r="F1959" t="e">
        <f>NA()</f>
        <v>#N/A</v>
      </c>
      <c r="G1959" t="e">
        <f>NA()</f>
        <v>#N/A</v>
      </c>
      <c r="H1959" t="e">
        <f>NA()</f>
        <v>#N/A</v>
      </c>
      <c r="I1959" t="e">
        <f>NA()</f>
        <v>#N/A</v>
      </c>
      <c r="J1959" t="e">
        <f>NA()</f>
        <v>#N/A</v>
      </c>
      <c r="K1959" t="e">
        <f>NA()</f>
        <v>#N/A</v>
      </c>
      <c r="L1959" t="e">
        <f>NA()</f>
        <v>#N/A</v>
      </c>
      <c r="M1959" t="e">
        <f>NA()</f>
        <v>#N/A</v>
      </c>
      <c r="N1959" t="e">
        <f>NA()</f>
        <v>#N/A</v>
      </c>
      <c r="O1959">
        <f t="shared" si="73"/>
        <v>1.4</v>
      </c>
    </row>
    <row r="1960" spans="1:15" x14ac:dyDescent="0.25">
      <c r="A1960" s="1">
        <v>43175</v>
      </c>
      <c r="B1960">
        <f>0</f>
        <v>0</v>
      </c>
      <c r="C1960">
        <f>0</f>
        <v>0</v>
      </c>
      <c r="D1960" t="e">
        <f>NA()</f>
        <v>#N/A</v>
      </c>
      <c r="E1960" t="e">
        <f>NA()</f>
        <v>#N/A</v>
      </c>
      <c r="F1960" t="e">
        <f>NA()</f>
        <v>#N/A</v>
      </c>
      <c r="G1960" t="e">
        <f>NA()</f>
        <v>#N/A</v>
      </c>
      <c r="H1960" t="e">
        <f>NA()</f>
        <v>#N/A</v>
      </c>
      <c r="I1960" t="e">
        <f>NA()</f>
        <v>#N/A</v>
      </c>
      <c r="J1960" t="e">
        <f>NA()</f>
        <v>#N/A</v>
      </c>
      <c r="K1960" t="e">
        <f>NA()</f>
        <v>#N/A</v>
      </c>
      <c r="L1960" t="e">
        <f>NA()</f>
        <v>#N/A</v>
      </c>
      <c r="M1960" t="e">
        <f>NA()</f>
        <v>#N/A</v>
      </c>
      <c r="N1960" t="e">
        <f>NA()</f>
        <v>#N/A</v>
      </c>
      <c r="O1960">
        <f t="shared" si="73"/>
        <v>1.4</v>
      </c>
    </row>
    <row r="1961" spans="1:15" x14ac:dyDescent="0.25">
      <c r="A1961" s="1">
        <v>43174</v>
      </c>
      <c r="B1961" t="e">
        <f>NA()</f>
        <v>#N/A</v>
      </c>
      <c r="C1961" t="e">
        <f>NA()</f>
        <v>#N/A</v>
      </c>
      <c r="D1961" t="e">
        <f>NA()</f>
        <v>#N/A</v>
      </c>
      <c r="E1961" t="e">
        <f>NA()</f>
        <v>#N/A</v>
      </c>
      <c r="F1961" t="e">
        <f>NA()</f>
        <v>#N/A</v>
      </c>
      <c r="G1961" t="e">
        <f>NA()</f>
        <v>#N/A</v>
      </c>
      <c r="H1961" t="e">
        <f>NA()</f>
        <v>#N/A</v>
      </c>
      <c r="I1961" t="e">
        <f>NA()</f>
        <v>#N/A</v>
      </c>
      <c r="J1961" t="e">
        <f>NA()</f>
        <v>#N/A</v>
      </c>
      <c r="K1961" t="e">
        <f>NA()</f>
        <v>#N/A</v>
      </c>
      <c r="L1961" t="e">
        <f>NA()</f>
        <v>#N/A</v>
      </c>
      <c r="M1961" t="e">
        <f>NA()</f>
        <v>#N/A</v>
      </c>
      <c r="N1961" t="e">
        <f>NA()</f>
        <v>#N/A</v>
      </c>
      <c r="O1961">
        <f t="shared" si="73"/>
        <v>1.4</v>
      </c>
    </row>
    <row r="1962" spans="1:15" x14ac:dyDescent="0.25">
      <c r="A1962" s="1">
        <v>43173</v>
      </c>
      <c r="B1962" t="e">
        <f>NA()</f>
        <v>#N/A</v>
      </c>
      <c r="C1962" t="e">
        <f>NA()</f>
        <v>#N/A</v>
      </c>
      <c r="D1962" t="e">
        <f>NA()</f>
        <v>#N/A</v>
      </c>
      <c r="E1962" t="e">
        <f>NA()</f>
        <v>#N/A</v>
      </c>
      <c r="F1962" t="e">
        <f>NA()</f>
        <v>#N/A</v>
      </c>
      <c r="G1962" t="e">
        <f>NA()</f>
        <v>#N/A</v>
      </c>
      <c r="H1962" t="e">
        <f>NA()</f>
        <v>#N/A</v>
      </c>
      <c r="I1962" t="e">
        <f>NA()</f>
        <v>#N/A</v>
      </c>
      <c r="J1962" t="e">
        <f>NA()</f>
        <v>#N/A</v>
      </c>
      <c r="K1962" t="e">
        <f>NA()</f>
        <v>#N/A</v>
      </c>
      <c r="L1962" t="e">
        <f>NA()</f>
        <v>#N/A</v>
      </c>
      <c r="M1962" t="e">
        <f>NA()</f>
        <v>#N/A</v>
      </c>
      <c r="N1962" t="e">
        <f>NA()</f>
        <v>#N/A</v>
      </c>
      <c r="O1962">
        <f t="shared" si="73"/>
        <v>1.4</v>
      </c>
    </row>
    <row r="1963" spans="1:15" x14ac:dyDescent="0.25">
      <c r="A1963" s="1">
        <v>43172</v>
      </c>
      <c r="B1963" t="e">
        <f>NA()</f>
        <v>#N/A</v>
      </c>
      <c r="C1963" t="e">
        <f>NA()</f>
        <v>#N/A</v>
      </c>
      <c r="D1963" t="e">
        <f>NA()</f>
        <v>#N/A</v>
      </c>
      <c r="E1963" t="e">
        <f>NA()</f>
        <v>#N/A</v>
      </c>
      <c r="F1963" t="e">
        <f>NA()</f>
        <v>#N/A</v>
      </c>
      <c r="G1963" t="e">
        <f>NA()</f>
        <v>#N/A</v>
      </c>
      <c r="H1963" t="e">
        <f>NA()</f>
        <v>#N/A</v>
      </c>
      <c r="I1963" t="e">
        <f>NA()</f>
        <v>#N/A</v>
      </c>
      <c r="J1963" t="e">
        <f>NA()</f>
        <v>#N/A</v>
      </c>
      <c r="K1963" t="e">
        <f>NA()</f>
        <v>#N/A</v>
      </c>
      <c r="L1963" t="e">
        <f>NA()</f>
        <v>#N/A</v>
      </c>
      <c r="M1963" t="e">
        <f>NA()</f>
        <v>#N/A</v>
      </c>
      <c r="N1963" t="e">
        <f>NA()</f>
        <v>#N/A</v>
      </c>
      <c r="O1963">
        <f t="shared" si="73"/>
        <v>1.4</v>
      </c>
    </row>
    <row r="1964" spans="1:15" x14ac:dyDescent="0.25">
      <c r="A1964" s="1">
        <v>43171</v>
      </c>
      <c r="B1964" t="e">
        <f>NA()</f>
        <v>#N/A</v>
      </c>
      <c r="C1964" t="e">
        <f>NA()</f>
        <v>#N/A</v>
      </c>
      <c r="D1964" t="e">
        <f>NA()</f>
        <v>#N/A</v>
      </c>
      <c r="E1964" t="e">
        <f>NA()</f>
        <v>#N/A</v>
      </c>
      <c r="F1964" t="e">
        <f>NA()</f>
        <v>#N/A</v>
      </c>
      <c r="G1964" t="e">
        <f>NA()</f>
        <v>#N/A</v>
      </c>
      <c r="H1964" t="e">
        <f>NA()</f>
        <v>#N/A</v>
      </c>
      <c r="I1964" t="e">
        <f>NA()</f>
        <v>#N/A</v>
      </c>
      <c r="J1964" t="e">
        <f>NA()</f>
        <v>#N/A</v>
      </c>
      <c r="K1964" t="e">
        <f>NA()</f>
        <v>#N/A</v>
      </c>
      <c r="L1964" t="e">
        <f>NA()</f>
        <v>#N/A</v>
      </c>
      <c r="M1964" t="e">
        <f>NA()</f>
        <v>#N/A</v>
      </c>
      <c r="N1964" t="e">
        <f>NA()</f>
        <v>#N/A</v>
      </c>
      <c r="O1964">
        <f t="shared" si="73"/>
        <v>1.4</v>
      </c>
    </row>
    <row r="1965" spans="1:15" x14ac:dyDescent="0.25">
      <c r="A1965" s="1">
        <v>43168</v>
      </c>
      <c r="B1965">
        <f>-0.1</f>
        <v>-0.1</v>
      </c>
      <c r="C1965">
        <f>0</f>
        <v>0</v>
      </c>
      <c r="D1965" t="e">
        <f>NA()</f>
        <v>#N/A</v>
      </c>
      <c r="E1965" t="e">
        <f>NA()</f>
        <v>#N/A</v>
      </c>
      <c r="F1965" t="e">
        <f>NA()</f>
        <v>#N/A</v>
      </c>
      <c r="G1965" t="e">
        <f>NA()</f>
        <v>#N/A</v>
      </c>
      <c r="H1965" t="e">
        <f>NA()</f>
        <v>#N/A</v>
      </c>
      <c r="I1965" t="e">
        <f>NA()</f>
        <v>#N/A</v>
      </c>
      <c r="J1965" t="e">
        <f>NA()</f>
        <v>#N/A</v>
      </c>
      <c r="K1965" t="e">
        <f>NA()</f>
        <v>#N/A</v>
      </c>
      <c r="L1965" t="e">
        <f>NA()</f>
        <v>#N/A</v>
      </c>
      <c r="M1965" t="e">
        <f>NA()</f>
        <v>#N/A</v>
      </c>
      <c r="N1965" t="e">
        <f>NA()</f>
        <v>#N/A</v>
      </c>
      <c r="O1965">
        <f t="shared" si="73"/>
        <v>1.4</v>
      </c>
    </row>
    <row r="1966" spans="1:15" x14ac:dyDescent="0.25">
      <c r="A1966" s="1">
        <v>43167</v>
      </c>
      <c r="B1966" t="e">
        <f>NA()</f>
        <v>#N/A</v>
      </c>
      <c r="C1966" t="e">
        <f>NA()</f>
        <v>#N/A</v>
      </c>
      <c r="D1966" t="e">
        <f>NA()</f>
        <v>#N/A</v>
      </c>
      <c r="E1966" t="e">
        <f>NA()</f>
        <v>#N/A</v>
      </c>
      <c r="F1966" t="e">
        <f>NA()</f>
        <v>#N/A</v>
      </c>
      <c r="G1966" t="e">
        <f>NA()</f>
        <v>#N/A</v>
      </c>
      <c r="H1966" t="e">
        <f>NA()</f>
        <v>#N/A</v>
      </c>
      <c r="I1966" t="e">
        <f>NA()</f>
        <v>#N/A</v>
      </c>
      <c r="J1966" t="e">
        <f>NA()</f>
        <v>#N/A</v>
      </c>
      <c r="K1966" t="e">
        <f>NA()</f>
        <v>#N/A</v>
      </c>
      <c r="L1966" t="e">
        <f>NA()</f>
        <v>#N/A</v>
      </c>
      <c r="M1966" t="e">
        <f>NA()</f>
        <v>#N/A</v>
      </c>
      <c r="N1966" t="e">
        <f>NA()</f>
        <v>#N/A</v>
      </c>
      <c r="O1966">
        <f t="shared" si="73"/>
        <v>1.4</v>
      </c>
    </row>
    <row r="1967" spans="1:15" x14ac:dyDescent="0.25">
      <c r="A1967" s="1">
        <v>43166</v>
      </c>
      <c r="B1967" t="e">
        <f>NA()</f>
        <v>#N/A</v>
      </c>
      <c r="C1967" t="e">
        <f>NA()</f>
        <v>#N/A</v>
      </c>
      <c r="D1967" t="e">
        <f>NA()</f>
        <v>#N/A</v>
      </c>
      <c r="E1967" t="e">
        <f>NA()</f>
        <v>#N/A</v>
      </c>
      <c r="F1967" t="e">
        <f>NA()</f>
        <v>#N/A</v>
      </c>
      <c r="G1967" t="e">
        <f>NA()</f>
        <v>#N/A</v>
      </c>
      <c r="H1967" t="e">
        <f>NA()</f>
        <v>#N/A</v>
      </c>
      <c r="I1967" t="e">
        <f>NA()</f>
        <v>#N/A</v>
      </c>
      <c r="J1967" t="e">
        <f>NA()</f>
        <v>#N/A</v>
      </c>
      <c r="K1967" t="e">
        <f>NA()</f>
        <v>#N/A</v>
      </c>
      <c r="L1967" t="e">
        <f>NA()</f>
        <v>#N/A</v>
      </c>
      <c r="M1967" t="e">
        <f>NA()</f>
        <v>#N/A</v>
      </c>
      <c r="N1967" t="e">
        <f>NA()</f>
        <v>#N/A</v>
      </c>
      <c r="O1967">
        <f t="shared" si="73"/>
        <v>1.4</v>
      </c>
    </row>
    <row r="1968" spans="1:15" x14ac:dyDescent="0.25">
      <c r="A1968" s="1">
        <v>43165</v>
      </c>
      <c r="B1968" t="e">
        <f>NA()</f>
        <v>#N/A</v>
      </c>
      <c r="C1968" t="e">
        <f>NA()</f>
        <v>#N/A</v>
      </c>
      <c r="D1968" t="e">
        <f>NA()</f>
        <v>#N/A</v>
      </c>
      <c r="E1968" t="e">
        <f>NA()</f>
        <v>#N/A</v>
      </c>
      <c r="F1968" t="e">
        <f>NA()</f>
        <v>#N/A</v>
      </c>
      <c r="G1968" t="e">
        <f>NA()</f>
        <v>#N/A</v>
      </c>
      <c r="H1968" t="e">
        <f>NA()</f>
        <v>#N/A</v>
      </c>
      <c r="I1968" t="e">
        <f>NA()</f>
        <v>#N/A</v>
      </c>
      <c r="J1968" t="e">
        <f>NA()</f>
        <v>#N/A</v>
      </c>
      <c r="K1968" t="e">
        <f>NA()</f>
        <v>#N/A</v>
      </c>
      <c r="L1968" t="e">
        <f>NA()</f>
        <v>#N/A</v>
      </c>
      <c r="M1968" t="e">
        <f>NA()</f>
        <v>#N/A</v>
      </c>
      <c r="N1968" t="e">
        <f>NA()</f>
        <v>#N/A</v>
      </c>
      <c r="O1968">
        <f t="shared" si="73"/>
        <v>1.4</v>
      </c>
    </row>
    <row r="1969" spans="1:15" x14ac:dyDescent="0.25">
      <c r="A1969" s="1">
        <v>43164</v>
      </c>
      <c r="B1969" t="e">
        <f>NA()</f>
        <v>#N/A</v>
      </c>
      <c r="C1969" t="e">
        <f>NA()</f>
        <v>#N/A</v>
      </c>
      <c r="D1969" t="e">
        <f>NA()</f>
        <v>#N/A</v>
      </c>
      <c r="E1969" t="e">
        <f>NA()</f>
        <v>#N/A</v>
      </c>
      <c r="F1969" t="e">
        <f>NA()</f>
        <v>#N/A</v>
      </c>
      <c r="G1969" t="e">
        <f>NA()</f>
        <v>#N/A</v>
      </c>
      <c r="H1969" t="e">
        <f>NA()</f>
        <v>#N/A</v>
      </c>
      <c r="I1969" t="e">
        <f>NA()</f>
        <v>#N/A</v>
      </c>
      <c r="J1969" t="e">
        <f>NA()</f>
        <v>#N/A</v>
      </c>
      <c r="K1969" t="e">
        <f>NA()</f>
        <v>#N/A</v>
      </c>
      <c r="L1969" t="e">
        <f>NA()</f>
        <v>#N/A</v>
      </c>
      <c r="M1969" t="e">
        <f>NA()</f>
        <v>#N/A</v>
      </c>
      <c r="N1969" t="e">
        <f>NA()</f>
        <v>#N/A</v>
      </c>
      <c r="O1969">
        <f t="shared" si="73"/>
        <v>1.4</v>
      </c>
    </row>
    <row r="1970" spans="1:15" x14ac:dyDescent="0.25">
      <c r="A1970" s="1">
        <v>43161</v>
      </c>
      <c r="B1970">
        <f>-0.1</f>
        <v>-0.1</v>
      </c>
      <c r="C1970">
        <f>0</f>
        <v>0</v>
      </c>
      <c r="D1970" t="e">
        <f>NA()</f>
        <v>#N/A</v>
      </c>
      <c r="E1970" t="e">
        <f>NA()</f>
        <v>#N/A</v>
      </c>
      <c r="F1970" t="e">
        <f>NA()</f>
        <v>#N/A</v>
      </c>
      <c r="G1970" t="e">
        <f>NA()</f>
        <v>#N/A</v>
      </c>
      <c r="H1970" t="e">
        <f>NA()</f>
        <v>#N/A</v>
      </c>
      <c r="I1970" t="e">
        <f>NA()</f>
        <v>#N/A</v>
      </c>
      <c r="J1970" t="e">
        <f>NA()</f>
        <v>#N/A</v>
      </c>
      <c r="K1970" t="e">
        <f>NA()</f>
        <v>#N/A</v>
      </c>
      <c r="L1970" t="e">
        <f>NA()</f>
        <v>#N/A</v>
      </c>
      <c r="M1970" t="e">
        <f>NA()</f>
        <v>#N/A</v>
      </c>
      <c r="N1970" t="e">
        <f>NA()</f>
        <v>#N/A</v>
      </c>
      <c r="O1970">
        <f t="shared" si="73"/>
        <v>1.4</v>
      </c>
    </row>
    <row r="1971" spans="1:15" x14ac:dyDescent="0.25">
      <c r="A1971" s="1">
        <v>43160</v>
      </c>
      <c r="B1971" t="e">
        <f>NA()</f>
        <v>#N/A</v>
      </c>
      <c r="C1971" t="e">
        <f>NA()</f>
        <v>#N/A</v>
      </c>
      <c r="D1971" t="e">
        <f>NA()</f>
        <v>#N/A</v>
      </c>
      <c r="E1971" t="e">
        <f>NA()</f>
        <v>#N/A</v>
      </c>
      <c r="F1971" t="e">
        <f>NA()</f>
        <v>#N/A</v>
      </c>
      <c r="G1971" t="e">
        <f>NA()</f>
        <v>#N/A</v>
      </c>
      <c r="H1971" t="e">
        <f>NA()</f>
        <v>#N/A</v>
      </c>
      <c r="I1971" t="e">
        <f>NA()</f>
        <v>#N/A</v>
      </c>
      <c r="J1971" t="e">
        <f>NA()</f>
        <v>#N/A</v>
      </c>
      <c r="K1971" t="e">
        <f>NA()</f>
        <v>#N/A</v>
      </c>
      <c r="L1971" t="e">
        <f>NA()</f>
        <v>#N/A</v>
      </c>
      <c r="M1971" t="e">
        <f>NA()</f>
        <v>#N/A</v>
      </c>
      <c r="N1971" t="e">
        <f>NA()</f>
        <v>#N/A</v>
      </c>
      <c r="O1971">
        <f t="shared" si="73"/>
        <v>1.4</v>
      </c>
    </row>
    <row r="1972" spans="1:15" x14ac:dyDescent="0.25">
      <c r="A1972" s="1">
        <v>43159</v>
      </c>
      <c r="B1972" t="e">
        <f>NA()</f>
        <v>#N/A</v>
      </c>
      <c r="C1972" t="e">
        <f>NA()</f>
        <v>#N/A</v>
      </c>
      <c r="D1972">
        <f>0.1</f>
        <v>0.1</v>
      </c>
      <c r="E1972">
        <f>0.4</f>
        <v>0.4</v>
      </c>
      <c r="F1972">
        <f>6552</f>
        <v>6552</v>
      </c>
      <c r="G1972">
        <f>63</f>
        <v>63</v>
      </c>
      <c r="H1972">
        <f>5</f>
        <v>5</v>
      </c>
      <c r="I1972">
        <f>249</f>
        <v>249</v>
      </c>
      <c r="J1972">
        <f>2.2</f>
        <v>2.2000000000000002</v>
      </c>
      <c r="K1972">
        <f>60.9</f>
        <v>60.9</v>
      </c>
      <c r="L1972">
        <f>0.2</f>
        <v>0.2</v>
      </c>
      <c r="M1972" t="e">
        <f>NA()</f>
        <v>#N/A</v>
      </c>
      <c r="N1972">
        <f>4.1</f>
        <v>4.0999999999999996</v>
      </c>
      <c r="O1972">
        <f t="shared" si="73"/>
        <v>1.4</v>
      </c>
    </row>
    <row r="1973" spans="1:15" x14ac:dyDescent="0.25">
      <c r="A1973" s="1">
        <v>43158</v>
      </c>
      <c r="B1973" t="e">
        <f>NA()</f>
        <v>#N/A</v>
      </c>
      <c r="C1973" t="e">
        <f>NA()</f>
        <v>#N/A</v>
      </c>
      <c r="D1973" t="e">
        <f>NA()</f>
        <v>#N/A</v>
      </c>
      <c r="E1973" t="e">
        <f>NA()</f>
        <v>#N/A</v>
      </c>
      <c r="F1973" t="e">
        <f>NA()</f>
        <v>#N/A</v>
      </c>
      <c r="G1973" t="e">
        <f>NA()</f>
        <v>#N/A</v>
      </c>
      <c r="H1973" t="e">
        <f>NA()</f>
        <v>#N/A</v>
      </c>
      <c r="I1973" t="e">
        <f>NA()</f>
        <v>#N/A</v>
      </c>
      <c r="J1973" t="e">
        <f>NA()</f>
        <v>#N/A</v>
      </c>
      <c r="K1973" t="e">
        <f>NA()</f>
        <v>#N/A</v>
      </c>
      <c r="L1973" t="e">
        <f>NA()</f>
        <v>#N/A</v>
      </c>
      <c r="M1973" t="e">
        <f>NA()</f>
        <v>#N/A</v>
      </c>
      <c r="N1973" t="e">
        <f>NA()</f>
        <v>#N/A</v>
      </c>
      <c r="O1973">
        <f t="shared" si="73"/>
        <v>1.4</v>
      </c>
    </row>
    <row r="1974" spans="1:15" x14ac:dyDescent="0.25">
      <c r="A1974" s="1">
        <v>43157</v>
      </c>
      <c r="B1974" t="e">
        <f>NA()</f>
        <v>#N/A</v>
      </c>
      <c r="C1974" t="e">
        <f>NA()</f>
        <v>#N/A</v>
      </c>
      <c r="D1974" t="e">
        <f>NA()</f>
        <v>#N/A</v>
      </c>
      <c r="E1974" t="e">
        <f>NA()</f>
        <v>#N/A</v>
      </c>
      <c r="F1974" t="e">
        <f>NA()</f>
        <v>#N/A</v>
      </c>
      <c r="G1974" t="e">
        <f>NA()</f>
        <v>#N/A</v>
      </c>
      <c r="H1974" t="e">
        <f>NA()</f>
        <v>#N/A</v>
      </c>
      <c r="I1974" t="e">
        <f>NA()</f>
        <v>#N/A</v>
      </c>
      <c r="J1974" t="e">
        <f>NA()</f>
        <v>#N/A</v>
      </c>
      <c r="K1974" t="e">
        <f>NA()</f>
        <v>#N/A</v>
      </c>
      <c r="L1974" t="e">
        <f>NA()</f>
        <v>#N/A</v>
      </c>
      <c r="M1974" t="e">
        <f>NA()</f>
        <v>#N/A</v>
      </c>
      <c r="N1974" t="e">
        <f>NA()</f>
        <v>#N/A</v>
      </c>
      <c r="O1974">
        <f t="shared" si="73"/>
        <v>1.4</v>
      </c>
    </row>
    <row r="1975" spans="1:15" x14ac:dyDescent="0.25">
      <c r="A1975" s="1">
        <v>43154</v>
      </c>
      <c r="B1975">
        <f>-0.3</f>
        <v>-0.3</v>
      </c>
      <c r="C1975">
        <f>0</f>
        <v>0</v>
      </c>
      <c r="D1975" t="e">
        <f>NA()</f>
        <v>#N/A</v>
      </c>
      <c r="E1975" t="e">
        <f>NA()</f>
        <v>#N/A</v>
      </c>
      <c r="F1975" t="e">
        <f>NA()</f>
        <v>#N/A</v>
      </c>
      <c r="G1975" t="e">
        <f>NA()</f>
        <v>#N/A</v>
      </c>
      <c r="H1975" t="e">
        <f>NA()</f>
        <v>#N/A</v>
      </c>
      <c r="I1975" t="e">
        <f>NA()</f>
        <v>#N/A</v>
      </c>
      <c r="J1975" t="e">
        <f>NA()</f>
        <v>#N/A</v>
      </c>
      <c r="K1975" t="e">
        <f>NA()</f>
        <v>#N/A</v>
      </c>
      <c r="L1975" t="e">
        <f>NA()</f>
        <v>#N/A</v>
      </c>
      <c r="M1975" t="e">
        <f>NA()</f>
        <v>#N/A</v>
      </c>
      <c r="N1975" t="e">
        <f>NA()</f>
        <v>#N/A</v>
      </c>
      <c r="O1975">
        <f t="shared" si="73"/>
        <v>1.4</v>
      </c>
    </row>
    <row r="1976" spans="1:15" x14ac:dyDescent="0.25">
      <c r="A1976" s="1">
        <v>43153</v>
      </c>
      <c r="B1976" t="e">
        <f>NA()</f>
        <v>#N/A</v>
      </c>
      <c r="C1976" t="e">
        <f>NA()</f>
        <v>#N/A</v>
      </c>
      <c r="D1976" t="e">
        <f>NA()</f>
        <v>#N/A</v>
      </c>
      <c r="E1976" t="e">
        <f>NA()</f>
        <v>#N/A</v>
      </c>
      <c r="F1976" t="e">
        <f>NA()</f>
        <v>#N/A</v>
      </c>
      <c r="G1976" t="e">
        <f>NA()</f>
        <v>#N/A</v>
      </c>
      <c r="H1976" t="e">
        <f>NA()</f>
        <v>#N/A</v>
      </c>
      <c r="I1976" t="e">
        <f>NA()</f>
        <v>#N/A</v>
      </c>
      <c r="J1976" t="e">
        <f>NA()</f>
        <v>#N/A</v>
      </c>
      <c r="K1976" t="e">
        <f>NA()</f>
        <v>#N/A</v>
      </c>
      <c r="L1976" t="e">
        <f>NA()</f>
        <v>#N/A</v>
      </c>
      <c r="M1976" t="e">
        <f>NA()</f>
        <v>#N/A</v>
      </c>
      <c r="N1976" t="e">
        <f>NA()</f>
        <v>#N/A</v>
      </c>
      <c r="O1976">
        <f t="shared" si="73"/>
        <v>1.4</v>
      </c>
    </row>
    <row r="1977" spans="1:15" x14ac:dyDescent="0.25">
      <c r="A1977" s="1">
        <v>43152</v>
      </c>
      <c r="B1977" t="e">
        <f>NA()</f>
        <v>#N/A</v>
      </c>
      <c r="C1977" t="e">
        <f>NA()</f>
        <v>#N/A</v>
      </c>
      <c r="D1977" t="e">
        <f>NA()</f>
        <v>#N/A</v>
      </c>
      <c r="E1977" t="e">
        <f>NA()</f>
        <v>#N/A</v>
      </c>
      <c r="F1977" t="e">
        <f>NA()</f>
        <v>#N/A</v>
      </c>
      <c r="G1977" t="e">
        <f>NA()</f>
        <v>#N/A</v>
      </c>
      <c r="H1977" t="e">
        <f>NA()</f>
        <v>#N/A</v>
      </c>
      <c r="I1977" t="e">
        <f>NA()</f>
        <v>#N/A</v>
      </c>
      <c r="J1977" t="e">
        <f>NA()</f>
        <v>#N/A</v>
      </c>
      <c r="K1977" t="e">
        <f>NA()</f>
        <v>#N/A</v>
      </c>
      <c r="L1977" t="e">
        <f>NA()</f>
        <v>#N/A</v>
      </c>
      <c r="M1977" t="e">
        <f>NA()</f>
        <v>#N/A</v>
      </c>
      <c r="N1977" t="e">
        <f>NA()</f>
        <v>#N/A</v>
      </c>
      <c r="O1977">
        <f t="shared" si="73"/>
        <v>1.4</v>
      </c>
    </row>
    <row r="1978" spans="1:15" x14ac:dyDescent="0.25">
      <c r="A1978" s="1">
        <v>43151</v>
      </c>
      <c r="B1978" t="e">
        <f>NA()</f>
        <v>#N/A</v>
      </c>
      <c r="C1978" t="e">
        <f>NA()</f>
        <v>#N/A</v>
      </c>
      <c r="D1978" t="e">
        <f>NA()</f>
        <v>#N/A</v>
      </c>
      <c r="E1978" t="e">
        <f>NA()</f>
        <v>#N/A</v>
      </c>
      <c r="F1978" t="e">
        <f>NA()</f>
        <v>#N/A</v>
      </c>
      <c r="G1978" t="e">
        <f>NA()</f>
        <v>#N/A</v>
      </c>
      <c r="H1978" t="e">
        <f>NA()</f>
        <v>#N/A</v>
      </c>
      <c r="I1978" t="e">
        <f>NA()</f>
        <v>#N/A</v>
      </c>
      <c r="J1978" t="e">
        <f>NA()</f>
        <v>#N/A</v>
      </c>
      <c r="K1978" t="e">
        <f>NA()</f>
        <v>#N/A</v>
      </c>
      <c r="L1978" t="e">
        <f>NA()</f>
        <v>#N/A</v>
      </c>
      <c r="M1978" t="e">
        <f>NA()</f>
        <v>#N/A</v>
      </c>
      <c r="N1978" t="e">
        <f>NA()</f>
        <v>#N/A</v>
      </c>
      <c r="O1978">
        <f t="shared" si="73"/>
        <v>1.4</v>
      </c>
    </row>
    <row r="1979" spans="1:15" x14ac:dyDescent="0.25">
      <c r="A1979" s="1">
        <v>43147</v>
      </c>
      <c r="B1979">
        <f>-0.3</f>
        <v>-0.3</v>
      </c>
      <c r="C1979">
        <f>0</f>
        <v>0</v>
      </c>
      <c r="D1979" t="e">
        <f>NA()</f>
        <v>#N/A</v>
      </c>
      <c r="E1979" t="e">
        <f>NA()</f>
        <v>#N/A</v>
      </c>
      <c r="F1979" t="e">
        <f>NA()</f>
        <v>#N/A</v>
      </c>
      <c r="G1979" t="e">
        <f>NA()</f>
        <v>#N/A</v>
      </c>
      <c r="H1979" t="e">
        <f>NA()</f>
        <v>#N/A</v>
      </c>
      <c r="I1979" t="e">
        <f>NA()</f>
        <v>#N/A</v>
      </c>
      <c r="J1979" t="e">
        <f>NA()</f>
        <v>#N/A</v>
      </c>
      <c r="K1979" t="e">
        <f>NA()</f>
        <v>#N/A</v>
      </c>
      <c r="L1979" t="e">
        <f>NA()</f>
        <v>#N/A</v>
      </c>
      <c r="M1979" t="e">
        <f>NA()</f>
        <v>#N/A</v>
      </c>
      <c r="N1979" t="e">
        <f>NA()</f>
        <v>#N/A</v>
      </c>
      <c r="O1979">
        <f t="shared" si="73"/>
        <v>1.4</v>
      </c>
    </row>
    <row r="1980" spans="1:15" x14ac:dyDescent="0.25">
      <c r="A1980" s="1">
        <v>43146</v>
      </c>
      <c r="B1980" t="e">
        <f>NA()</f>
        <v>#N/A</v>
      </c>
      <c r="C1980" t="e">
        <f>NA()</f>
        <v>#N/A</v>
      </c>
      <c r="D1980" t="e">
        <f>NA()</f>
        <v>#N/A</v>
      </c>
      <c r="E1980" t="e">
        <f>NA()</f>
        <v>#N/A</v>
      </c>
      <c r="F1980" t="e">
        <f>NA()</f>
        <v>#N/A</v>
      </c>
      <c r="G1980" t="e">
        <f>NA()</f>
        <v>#N/A</v>
      </c>
      <c r="H1980" t="e">
        <f>NA()</f>
        <v>#N/A</v>
      </c>
      <c r="I1980" t="e">
        <f>NA()</f>
        <v>#N/A</v>
      </c>
      <c r="J1980" t="e">
        <f>NA()</f>
        <v>#N/A</v>
      </c>
      <c r="K1980" t="e">
        <f>NA()</f>
        <v>#N/A</v>
      </c>
      <c r="L1980" t="e">
        <f>NA()</f>
        <v>#N/A</v>
      </c>
      <c r="M1980" t="e">
        <f>NA()</f>
        <v>#N/A</v>
      </c>
      <c r="N1980" t="e">
        <f>NA()</f>
        <v>#N/A</v>
      </c>
      <c r="O1980">
        <f t="shared" si="73"/>
        <v>1.4</v>
      </c>
    </row>
    <row r="1981" spans="1:15" x14ac:dyDescent="0.25">
      <c r="A1981" s="1">
        <v>43145</v>
      </c>
      <c r="B1981" t="e">
        <f>NA()</f>
        <v>#N/A</v>
      </c>
      <c r="C1981" t="e">
        <f>NA()</f>
        <v>#N/A</v>
      </c>
      <c r="D1981" t="e">
        <f>NA()</f>
        <v>#N/A</v>
      </c>
      <c r="E1981" t="e">
        <f>NA()</f>
        <v>#N/A</v>
      </c>
      <c r="F1981" t="e">
        <f>NA()</f>
        <v>#N/A</v>
      </c>
      <c r="G1981" t="e">
        <f>NA()</f>
        <v>#N/A</v>
      </c>
      <c r="H1981" t="e">
        <f>NA()</f>
        <v>#N/A</v>
      </c>
      <c r="I1981" t="e">
        <f>NA()</f>
        <v>#N/A</v>
      </c>
      <c r="J1981" t="e">
        <f>NA()</f>
        <v>#N/A</v>
      </c>
      <c r="K1981" t="e">
        <f>NA()</f>
        <v>#N/A</v>
      </c>
      <c r="L1981" t="e">
        <f>NA()</f>
        <v>#N/A</v>
      </c>
      <c r="M1981" t="e">
        <f>NA()</f>
        <v>#N/A</v>
      </c>
      <c r="N1981" t="e">
        <f>NA()</f>
        <v>#N/A</v>
      </c>
      <c r="O1981">
        <f t="shared" si="73"/>
        <v>1.4</v>
      </c>
    </row>
    <row r="1982" spans="1:15" x14ac:dyDescent="0.25">
      <c r="A1982" s="1">
        <v>43144</v>
      </c>
      <c r="B1982" t="e">
        <f>NA()</f>
        <v>#N/A</v>
      </c>
      <c r="C1982" t="e">
        <f>NA()</f>
        <v>#N/A</v>
      </c>
      <c r="D1982" t="e">
        <f>NA()</f>
        <v>#N/A</v>
      </c>
      <c r="E1982" t="e">
        <f>NA()</f>
        <v>#N/A</v>
      </c>
      <c r="F1982" t="e">
        <f>NA()</f>
        <v>#N/A</v>
      </c>
      <c r="G1982" t="e">
        <f>NA()</f>
        <v>#N/A</v>
      </c>
      <c r="H1982" t="e">
        <f>NA()</f>
        <v>#N/A</v>
      </c>
      <c r="I1982" t="e">
        <f>NA()</f>
        <v>#N/A</v>
      </c>
      <c r="J1982" t="e">
        <f>NA()</f>
        <v>#N/A</v>
      </c>
      <c r="K1982" t="e">
        <f>NA()</f>
        <v>#N/A</v>
      </c>
      <c r="L1982" t="e">
        <f>NA()</f>
        <v>#N/A</v>
      </c>
      <c r="M1982" t="e">
        <f>NA()</f>
        <v>#N/A</v>
      </c>
      <c r="N1982" t="e">
        <f>NA()</f>
        <v>#N/A</v>
      </c>
      <c r="O1982">
        <f t="shared" si="73"/>
        <v>1.4</v>
      </c>
    </row>
    <row r="1983" spans="1:15" x14ac:dyDescent="0.25">
      <c r="A1983" s="1">
        <v>43143</v>
      </c>
      <c r="B1983" t="e">
        <f>NA()</f>
        <v>#N/A</v>
      </c>
      <c r="C1983" t="e">
        <f>NA()</f>
        <v>#N/A</v>
      </c>
      <c r="D1983" t="e">
        <f>NA()</f>
        <v>#N/A</v>
      </c>
      <c r="E1983" t="e">
        <f>NA()</f>
        <v>#N/A</v>
      </c>
      <c r="F1983" t="e">
        <f>NA()</f>
        <v>#N/A</v>
      </c>
      <c r="G1983" t="e">
        <f>NA()</f>
        <v>#N/A</v>
      </c>
      <c r="H1983" t="e">
        <f>NA()</f>
        <v>#N/A</v>
      </c>
      <c r="I1983" t="e">
        <f>NA()</f>
        <v>#N/A</v>
      </c>
      <c r="J1983" t="e">
        <f>NA()</f>
        <v>#N/A</v>
      </c>
      <c r="K1983" t="e">
        <f>NA()</f>
        <v>#N/A</v>
      </c>
      <c r="L1983" t="e">
        <f>NA()</f>
        <v>#N/A</v>
      </c>
      <c r="M1983" t="e">
        <f>NA()</f>
        <v>#N/A</v>
      </c>
      <c r="N1983" t="e">
        <f>NA()</f>
        <v>#N/A</v>
      </c>
      <c r="O1983">
        <f t="shared" si="73"/>
        <v>1.4</v>
      </c>
    </row>
    <row r="1984" spans="1:15" x14ac:dyDescent="0.25">
      <c r="A1984" s="1">
        <v>43140</v>
      </c>
      <c r="B1984">
        <f>0.1</f>
        <v>0.1</v>
      </c>
      <c r="C1984">
        <f>0</f>
        <v>0</v>
      </c>
      <c r="D1984" t="e">
        <f>NA()</f>
        <v>#N/A</v>
      </c>
      <c r="E1984" t="e">
        <f>NA()</f>
        <v>#N/A</v>
      </c>
      <c r="F1984" t="e">
        <f>NA()</f>
        <v>#N/A</v>
      </c>
      <c r="G1984" t="e">
        <f>NA()</f>
        <v>#N/A</v>
      </c>
      <c r="H1984" t="e">
        <f>NA()</f>
        <v>#N/A</v>
      </c>
      <c r="I1984" t="e">
        <f>NA()</f>
        <v>#N/A</v>
      </c>
      <c r="J1984" t="e">
        <f>NA()</f>
        <v>#N/A</v>
      </c>
      <c r="K1984" t="e">
        <f>NA()</f>
        <v>#N/A</v>
      </c>
      <c r="L1984" t="e">
        <f>NA()</f>
        <v>#N/A</v>
      </c>
      <c r="M1984" t="e">
        <f>NA()</f>
        <v>#N/A</v>
      </c>
      <c r="N1984" t="e">
        <f>NA()</f>
        <v>#N/A</v>
      </c>
      <c r="O1984">
        <f t="shared" si="73"/>
        <v>1.4</v>
      </c>
    </row>
    <row r="1985" spans="1:15" x14ac:dyDescent="0.25">
      <c r="A1985" s="1">
        <v>43139</v>
      </c>
      <c r="B1985" t="e">
        <f>NA()</f>
        <v>#N/A</v>
      </c>
      <c r="C1985" t="e">
        <f>NA()</f>
        <v>#N/A</v>
      </c>
      <c r="D1985" t="e">
        <f>NA()</f>
        <v>#N/A</v>
      </c>
      <c r="E1985" t="e">
        <f>NA()</f>
        <v>#N/A</v>
      </c>
      <c r="F1985" t="e">
        <f>NA()</f>
        <v>#N/A</v>
      </c>
      <c r="G1985" t="e">
        <f>NA()</f>
        <v>#N/A</v>
      </c>
      <c r="H1985" t="e">
        <f>NA()</f>
        <v>#N/A</v>
      </c>
      <c r="I1985" t="e">
        <f>NA()</f>
        <v>#N/A</v>
      </c>
      <c r="J1985" t="e">
        <f>NA()</f>
        <v>#N/A</v>
      </c>
      <c r="K1985" t="e">
        <f>NA()</f>
        <v>#N/A</v>
      </c>
      <c r="L1985" t="e">
        <f>NA()</f>
        <v>#N/A</v>
      </c>
      <c r="M1985" t="e">
        <f>NA()</f>
        <v>#N/A</v>
      </c>
      <c r="N1985" t="e">
        <f>NA()</f>
        <v>#N/A</v>
      </c>
      <c r="O1985">
        <f t="shared" si="73"/>
        <v>1.4</v>
      </c>
    </row>
    <row r="1986" spans="1:15" x14ac:dyDescent="0.25">
      <c r="A1986" s="1">
        <v>43138</v>
      </c>
      <c r="B1986" t="e">
        <f>NA()</f>
        <v>#N/A</v>
      </c>
      <c r="C1986" t="e">
        <f>NA()</f>
        <v>#N/A</v>
      </c>
      <c r="D1986" t="e">
        <f>NA()</f>
        <v>#N/A</v>
      </c>
      <c r="E1986" t="e">
        <f>NA()</f>
        <v>#N/A</v>
      </c>
      <c r="F1986" t="e">
        <f>NA()</f>
        <v>#N/A</v>
      </c>
      <c r="G1986" t="e">
        <f>NA()</f>
        <v>#N/A</v>
      </c>
      <c r="H1986" t="e">
        <f>NA()</f>
        <v>#N/A</v>
      </c>
      <c r="I1986" t="e">
        <f>NA()</f>
        <v>#N/A</v>
      </c>
      <c r="J1986" t="e">
        <f>NA()</f>
        <v>#N/A</v>
      </c>
      <c r="K1986" t="e">
        <f>NA()</f>
        <v>#N/A</v>
      </c>
      <c r="L1986" t="e">
        <f>NA()</f>
        <v>#N/A</v>
      </c>
      <c r="M1986" t="e">
        <f>NA()</f>
        <v>#N/A</v>
      </c>
      <c r="N1986" t="e">
        <f>NA()</f>
        <v>#N/A</v>
      </c>
      <c r="O1986">
        <f t="shared" si="73"/>
        <v>1.4</v>
      </c>
    </row>
    <row r="1987" spans="1:15" x14ac:dyDescent="0.25">
      <c r="A1987" s="1">
        <v>43137</v>
      </c>
      <c r="B1987" t="e">
        <f>NA()</f>
        <v>#N/A</v>
      </c>
      <c r="C1987" t="e">
        <f>NA()</f>
        <v>#N/A</v>
      </c>
      <c r="D1987" t="e">
        <f>NA()</f>
        <v>#N/A</v>
      </c>
      <c r="E1987" t="e">
        <f>NA()</f>
        <v>#N/A</v>
      </c>
      <c r="F1987" t="e">
        <f>NA()</f>
        <v>#N/A</v>
      </c>
      <c r="G1987" t="e">
        <f>NA()</f>
        <v>#N/A</v>
      </c>
      <c r="H1987" t="e">
        <f>NA()</f>
        <v>#N/A</v>
      </c>
      <c r="I1987" t="e">
        <f>NA()</f>
        <v>#N/A</v>
      </c>
      <c r="J1987" t="e">
        <f>NA()</f>
        <v>#N/A</v>
      </c>
      <c r="K1987" t="e">
        <f>NA()</f>
        <v>#N/A</v>
      </c>
      <c r="L1987" t="e">
        <f>NA()</f>
        <v>#N/A</v>
      </c>
      <c r="M1987" t="e">
        <f>NA()</f>
        <v>#N/A</v>
      </c>
      <c r="N1987" t="e">
        <f>NA()</f>
        <v>#N/A</v>
      </c>
      <c r="O1987">
        <f t="shared" si="73"/>
        <v>1.4</v>
      </c>
    </row>
    <row r="1988" spans="1:15" x14ac:dyDescent="0.25">
      <c r="A1988" s="1">
        <v>43136</v>
      </c>
      <c r="B1988" t="e">
        <f>NA()</f>
        <v>#N/A</v>
      </c>
      <c r="C1988" t="e">
        <f>NA()</f>
        <v>#N/A</v>
      </c>
      <c r="D1988" t="e">
        <f>NA()</f>
        <v>#N/A</v>
      </c>
      <c r="E1988" t="e">
        <f>NA()</f>
        <v>#N/A</v>
      </c>
      <c r="F1988" t="e">
        <f>NA()</f>
        <v>#N/A</v>
      </c>
      <c r="G1988" t="e">
        <f>NA()</f>
        <v>#N/A</v>
      </c>
      <c r="H1988" t="e">
        <f>NA()</f>
        <v>#N/A</v>
      </c>
      <c r="I1988" t="e">
        <f>NA()</f>
        <v>#N/A</v>
      </c>
      <c r="J1988" t="e">
        <f>NA()</f>
        <v>#N/A</v>
      </c>
      <c r="K1988" t="e">
        <f>NA()</f>
        <v>#N/A</v>
      </c>
      <c r="L1988" t="e">
        <f>NA()</f>
        <v>#N/A</v>
      </c>
      <c r="M1988" t="e">
        <f>NA()</f>
        <v>#N/A</v>
      </c>
      <c r="N1988" t="e">
        <f>NA()</f>
        <v>#N/A</v>
      </c>
      <c r="O1988">
        <f t="shared" si="73"/>
        <v>1.4</v>
      </c>
    </row>
    <row r="1989" spans="1:15" x14ac:dyDescent="0.25">
      <c r="A1989" s="1">
        <v>43133</v>
      </c>
      <c r="B1989">
        <f>-0.5</f>
        <v>-0.5</v>
      </c>
      <c r="C1989">
        <f>0</f>
        <v>0</v>
      </c>
      <c r="D1989" t="e">
        <f>NA()</f>
        <v>#N/A</v>
      </c>
      <c r="E1989" t="e">
        <f>NA()</f>
        <v>#N/A</v>
      </c>
      <c r="F1989" t="e">
        <f>NA()</f>
        <v>#N/A</v>
      </c>
      <c r="G1989" t="e">
        <f>NA()</f>
        <v>#N/A</v>
      </c>
      <c r="H1989" t="e">
        <f>NA()</f>
        <v>#N/A</v>
      </c>
      <c r="I1989" t="e">
        <f>NA()</f>
        <v>#N/A</v>
      </c>
      <c r="J1989" t="e">
        <f>NA()</f>
        <v>#N/A</v>
      </c>
      <c r="K1989" t="e">
        <f>NA()</f>
        <v>#N/A</v>
      </c>
      <c r="L1989" t="e">
        <f>NA()</f>
        <v>#N/A</v>
      </c>
      <c r="M1989" t="e">
        <f>NA()</f>
        <v>#N/A</v>
      </c>
      <c r="N1989" t="e">
        <f>NA()</f>
        <v>#N/A</v>
      </c>
      <c r="O1989">
        <f t="shared" si="73"/>
        <v>1.4</v>
      </c>
    </row>
    <row r="1990" spans="1:15" x14ac:dyDescent="0.25">
      <c r="A1990" s="1">
        <v>43132</v>
      </c>
      <c r="B1990" t="e">
        <f>NA()</f>
        <v>#N/A</v>
      </c>
      <c r="C1990" t="e">
        <f>NA()</f>
        <v>#N/A</v>
      </c>
      <c r="D1990" t="e">
        <f>NA()</f>
        <v>#N/A</v>
      </c>
      <c r="E1990" t="e">
        <f>NA()</f>
        <v>#N/A</v>
      </c>
      <c r="F1990" t="e">
        <f>NA()</f>
        <v>#N/A</v>
      </c>
      <c r="G1990" t="e">
        <f>NA()</f>
        <v>#N/A</v>
      </c>
      <c r="H1990" t="e">
        <f>NA()</f>
        <v>#N/A</v>
      </c>
      <c r="I1990" t="e">
        <f>NA()</f>
        <v>#N/A</v>
      </c>
      <c r="J1990" t="e">
        <f>NA()</f>
        <v>#N/A</v>
      </c>
      <c r="K1990" t="e">
        <f>NA()</f>
        <v>#N/A</v>
      </c>
      <c r="L1990" t="e">
        <f>NA()</f>
        <v>#N/A</v>
      </c>
      <c r="M1990" t="e">
        <f>NA()</f>
        <v>#N/A</v>
      </c>
      <c r="N1990" t="e">
        <f>NA()</f>
        <v>#N/A</v>
      </c>
      <c r="O1990">
        <f t="shared" si="73"/>
        <v>1.4</v>
      </c>
    </row>
    <row r="1991" spans="1:15" x14ac:dyDescent="0.25">
      <c r="A1991" s="1">
        <v>43131</v>
      </c>
      <c r="B1991" t="e">
        <f>NA()</f>
        <v>#N/A</v>
      </c>
      <c r="C1991" t="e">
        <f>NA()</f>
        <v>#N/A</v>
      </c>
      <c r="D1991">
        <f>0.3</f>
        <v>0.3</v>
      </c>
      <c r="E1991">
        <f>0.7</f>
        <v>0.7</v>
      </c>
      <c r="F1991">
        <f>6621</f>
        <v>6621</v>
      </c>
      <c r="G1991">
        <f>62.7</f>
        <v>62.7</v>
      </c>
      <c r="H1991">
        <f>4.9</f>
        <v>4.9000000000000004</v>
      </c>
      <c r="I1991">
        <f>247.9</f>
        <v>247.9</v>
      </c>
      <c r="J1991">
        <f>2.1</f>
        <v>2.1</v>
      </c>
      <c r="K1991">
        <f>59.4</f>
        <v>59.4</v>
      </c>
      <c r="L1991">
        <f>0</f>
        <v>0</v>
      </c>
      <c r="M1991" t="e">
        <f>NA()</f>
        <v>#N/A</v>
      </c>
      <c r="N1991">
        <f>4</f>
        <v>4</v>
      </c>
      <c r="O1991">
        <f>1.3</f>
        <v>1.3</v>
      </c>
    </row>
    <row r="1992" spans="1:15" x14ac:dyDescent="0.25">
      <c r="A1992" s="1">
        <v>43130</v>
      </c>
      <c r="B1992" t="e">
        <f>NA()</f>
        <v>#N/A</v>
      </c>
      <c r="C1992" t="e">
        <f>NA()</f>
        <v>#N/A</v>
      </c>
      <c r="D1992" t="e">
        <f>NA()</f>
        <v>#N/A</v>
      </c>
      <c r="E1992" t="e">
        <f>NA()</f>
        <v>#N/A</v>
      </c>
      <c r="F1992" t="e">
        <f>NA()</f>
        <v>#N/A</v>
      </c>
      <c r="G1992" t="e">
        <f>NA()</f>
        <v>#N/A</v>
      </c>
      <c r="H1992" t="e">
        <f>NA()</f>
        <v>#N/A</v>
      </c>
      <c r="I1992" t="e">
        <f>NA()</f>
        <v>#N/A</v>
      </c>
      <c r="J1992" t="e">
        <f>NA()</f>
        <v>#N/A</v>
      </c>
      <c r="K1992" t="e">
        <f>NA()</f>
        <v>#N/A</v>
      </c>
      <c r="L1992" t="e">
        <f>NA()</f>
        <v>#N/A</v>
      </c>
      <c r="M1992" t="e">
        <f>NA()</f>
        <v>#N/A</v>
      </c>
      <c r="N1992" t="e">
        <f>NA()</f>
        <v>#N/A</v>
      </c>
      <c r="O1992">
        <f t="shared" ref="O1992:O2011" si="74">1.4</f>
        <v>1.4</v>
      </c>
    </row>
    <row r="1993" spans="1:15" x14ac:dyDescent="0.25">
      <c r="A1993" s="1">
        <v>43129</v>
      </c>
      <c r="B1993" t="e">
        <f>NA()</f>
        <v>#N/A</v>
      </c>
      <c r="C1993" t="e">
        <f>NA()</f>
        <v>#N/A</v>
      </c>
      <c r="D1993" t="e">
        <f>NA()</f>
        <v>#N/A</v>
      </c>
      <c r="E1993" t="e">
        <f>NA()</f>
        <v>#N/A</v>
      </c>
      <c r="F1993" t="e">
        <f>NA()</f>
        <v>#N/A</v>
      </c>
      <c r="G1993" t="e">
        <f>NA()</f>
        <v>#N/A</v>
      </c>
      <c r="H1993" t="e">
        <f>NA()</f>
        <v>#N/A</v>
      </c>
      <c r="I1993" t="e">
        <f>NA()</f>
        <v>#N/A</v>
      </c>
      <c r="J1993" t="e">
        <f>NA()</f>
        <v>#N/A</v>
      </c>
      <c r="K1993" t="e">
        <f>NA()</f>
        <v>#N/A</v>
      </c>
      <c r="L1993" t="e">
        <f>NA()</f>
        <v>#N/A</v>
      </c>
      <c r="M1993" t="e">
        <f>NA()</f>
        <v>#N/A</v>
      </c>
      <c r="N1993" t="e">
        <f>NA()</f>
        <v>#N/A</v>
      </c>
      <c r="O1993">
        <f t="shared" si="74"/>
        <v>1.4</v>
      </c>
    </row>
    <row r="1994" spans="1:15" x14ac:dyDescent="0.25">
      <c r="A1994" s="1">
        <v>43126</v>
      </c>
      <c r="B1994">
        <f>-0.7</f>
        <v>-0.7</v>
      </c>
      <c r="C1994">
        <f>0</f>
        <v>0</v>
      </c>
      <c r="D1994" t="e">
        <f>NA()</f>
        <v>#N/A</v>
      </c>
      <c r="E1994" t="e">
        <f>NA()</f>
        <v>#N/A</v>
      </c>
      <c r="F1994" t="e">
        <f>NA()</f>
        <v>#N/A</v>
      </c>
      <c r="G1994" t="e">
        <f>NA()</f>
        <v>#N/A</v>
      </c>
      <c r="H1994" t="e">
        <f>NA()</f>
        <v>#N/A</v>
      </c>
      <c r="I1994" t="e">
        <f>NA()</f>
        <v>#N/A</v>
      </c>
      <c r="J1994" t="e">
        <f>NA()</f>
        <v>#N/A</v>
      </c>
      <c r="K1994" t="e">
        <f>NA()</f>
        <v>#N/A</v>
      </c>
      <c r="L1994" t="e">
        <f>NA()</f>
        <v>#N/A</v>
      </c>
      <c r="M1994" t="e">
        <f>NA()</f>
        <v>#N/A</v>
      </c>
      <c r="N1994" t="e">
        <f>NA()</f>
        <v>#N/A</v>
      </c>
      <c r="O1994">
        <f t="shared" si="74"/>
        <v>1.4</v>
      </c>
    </row>
    <row r="1995" spans="1:15" x14ac:dyDescent="0.25">
      <c r="A1995" s="1">
        <v>43125</v>
      </c>
      <c r="B1995" t="e">
        <f>NA()</f>
        <v>#N/A</v>
      </c>
      <c r="C1995" t="e">
        <f>NA()</f>
        <v>#N/A</v>
      </c>
      <c r="D1995" t="e">
        <f>NA()</f>
        <v>#N/A</v>
      </c>
      <c r="E1995" t="e">
        <f>NA()</f>
        <v>#N/A</v>
      </c>
      <c r="F1995" t="e">
        <f>NA()</f>
        <v>#N/A</v>
      </c>
      <c r="G1995" t="e">
        <f>NA()</f>
        <v>#N/A</v>
      </c>
      <c r="H1995" t="e">
        <f>NA()</f>
        <v>#N/A</v>
      </c>
      <c r="I1995" t="e">
        <f>NA()</f>
        <v>#N/A</v>
      </c>
      <c r="J1995" t="e">
        <f>NA()</f>
        <v>#N/A</v>
      </c>
      <c r="K1995" t="e">
        <f>NA()</f>
        <v>#N/A</v>
      </c>
      <c r="L1995" t="e">
        <f>NA()</f>
        <v>#N/A</v>
      </c>
      <c r="M1995" t="e">
        <f>NA()</f>
        <v>#N/A</v>
      </c>
      <c r="N1995" t="e">
        <f>NA()</f>
        <v>#N/A</v>
      </c>
      <c r="O1995">
        <f t="shared" si="74"/>
        <v>1.4</v>
      </c>
    </row>
    <row r="1996" spans="1:15" x14ac:dyDescent="0.25">
      <c r="A1996" s="1">
        <v>43124</v>
      </c>
      <c r="B1996" t="e">
        <f>NA()</f>
        <v>#N/A</v>
      </c>
      <c r="C1996" t="e">
        <f>NA()</f>
        <v>#N/A</v>
      </c>
      <c r="D1996" t="e">
        <f>NA()</f>
        <v>#N/A</v>
      </c>
      <c r="E1996" t="e">
        <f>NA()</f>
        <v>#N/A</v>
      </c>
      <c r="F1996" t="e">
        <f>NA()</f>
        <v>#N/A</v>
      </c>
      <c r="G1996" t="e">
        <f>NA()</f>
        <v>#N/A</v>
      </c>
      <c r="H1996" t="e">
        <f>NA()</f>
        <v>#N/A</v>
      </c>
      <c r="I1996" t="e">
        <f>NA()</f>
        <v>#N/A</v>
      </c>
      <c r="J1996" t="e">
        <f>NA()</f>
        <v>#N/A</v>
      </c>
      <c r="K1996" t="e">
        <f>NA()</f>
        <v>#N/A</v>
      </c>
      <c r="L1996" t="e">
        <f>NA()</f>
        <v>#N/A</v>
      </c>
      <c r="M1996" t="e">
        <f>NA()</f>
        <v>#N/A</v>
      </c>
      <c r="N1996" t="e">
        <f>NA()</f>
        <v>#N/A</v>
      </c>
      <c r="O1996">
        <f t="shared" si="74"/>
        <v>1.4</v>
      </c>
    </row>
    <row r="1997" spans="1:15" x14ac:dyDescent="0.25">
      <c r="A1997" s="1">
        <v>43123</v>
      </c>
      <c r="B1997" t="e">
        <f>NA()</f>
        <v>#N/A</v>
      </c>
      <c r="C1997" t="e">
        <f>NA()</f>
        <v>#N/A</v>
      </c>
      <c r="D1997" t="e">
        <f>NA()</f>
        <v>#N/A</v>
      </c>
      <c r="E1997" t="e">
        <f>NA()</f>
        <v>#N/A</v>
      </c>
      <c r="F1997" t="e">
        <f>NA()</f>
        <v>#N/A</v>
      </c>
      <c r="G1997" t="e">
        <f>NA()</f>
        <v>#N/A</v>
      </c>
      <c r="H1997" t="e">
        <f>NA()</f>
        <v>#N/A</v>
      </c>
      <c r="I1997" t="e">
        <f>NA()</f>
        <v>#N/A</v>
      </c>
      <c r="J1997" t="e">
        <f>NA()</f>
        <v>#N/A</v>
      </c>
      <c r="K1997" t="e">
        <f>NA()</f>
        <v>#N/A</v>
      </c>
      <c r="L1997" t="e">
        <f>NA()</f>
        <v>#N/A</v>
      </c>
      <c r="M1997" t="e">
        <f>NA()</f>
        <v>#N/A</v>
      </c>
      <c r="N1997" t="e">
        <f>NA()</f>
        <v>#N/A</v>
      </c>
      <c r="O1997">
        <f t="shared" si="74"/>
        <v>1.4</v>
      </c>
    </row>
    <row r="1998" spans="1:15" x14ac:dyDescent="0.25">
      <c r="A1998" s="1">
        <v>43122</v>
      </c>
      <c r="B1998" t="e">
        <f>NA()</f>
        <v>#N/A</v>
      </c>
      <c r="C1998" t="e">
        <f>NA()</f>
        <v>#N/A</v>
      </c>
      <c r="D1998" t="e">
        <f>NA()</f>
        <v>#N/A</v>
      </c>
      <c r="E1998" t="e">
        <f>NA()</f>
        <v>#N/A</v>
      </c>
      <c r="F1998" t="e">
        <f>NA()</f>
        <v>#N/A</v>
      </c>
      <c r="G1998" t="e">
        <f>NA()</f>
        <v>#N/A</v>
      </c>
      <c r="H1998" t="e">
        <f>NA()</f>
        <v>#N/A</v>
      </c>
      <c r="I1998" t="e">
        <f>NA()</f>
        <v>#N/A</v>
      </c>
      <c r="J1998" t="e">
        <f>NA()</f>
        <v>#N/A</v>
      </c>
      <c r="K1998" t="e">
        <f>NA()</f>
        <v>#N/A</v>
      </c>
      <c r="L1998" t="e">
        <f>NA()</f>
        <v>#N/A</v>
      </c>
      <c r="M1998" t="e">
        <f>NA()</f>
        <v>#N/A</v>
      </c>
      <c r="N1998" t="e">
        <f>NA()</f>
        <v>#N/A</v>
      </c>
      <c r="O1998">
        <f t="shared" si="74"/>
        <v>1.4</v>
      </c>
    </row>
    <row r="1999" spans="1:15" x14ac:dyDescent="0.25">
      <c r="A1999" s="1">
        <v>43119</v>
      </c>
      <c r="B1999">
        <f>-0.7</f>
        <v>-0.7</v>
      </c>
      <c r="C1999">
        <f>0</f>
        <v>0</v>
      </c>
      <c r="D1999" t="e">
        <f>NA()</f>
        <v>#N/A</v>
      </c>
      <c r="E1999" t="e">
        <f>NA()</f>
        <v>#N/A</v>
      </c>
      <c r="F1999" t="e">
        <f>NA()</f>
        <v>#N/A</v>
      </c>
      <c r="G1999" t="e">
        <f>NA()</f>
        <v>#N/A</v>
      </c>
      <c r="H1999" t="e">
        <f>NA()</f>
        <v>#N/A</v>
      </c>
      <c r="I1999" t="e">
        <f>NA()</f>
        <v>#N/A</v>
      </c>
      <c r="J1999" t="e">
        <f>NA()</f>
        <v>#N/A</v>
      </c>
      <c r="K1999" t="e">
        <f>NA()</f>
        <v>#N/A</v>
      </c>
      <c r="L1999" t="e">
        <f>NA()</f>
        <v>#N/A</v>
      </c>
      <c r="M1999" t="e">
        <f>NA()</f>
        <v>#N/A</v>
      </c>
      <c r="N1999" t="e">
        <f>NA()</f>
        <v>#N/A</v>
      </c>
      <c r="O1999">
        <f t="shared" si="74"/>
        <v>1.4</v>
      </c>
    </row>
    <row r="2000" spans="1:15" x14ac:dyDescent="0.25">
      <c r="A2000" s="1">
        <v>43118</v>
      </c>
      <c r="B2000" t="e">
        <f>NA()</f>
        <v>#N/A</v>
      </c>
      <c r="C2000" t="e">
        <f>NA()</f>
        <v>#N/A</v>
      </c>
      <c r="D2000" t="e">
        <f>NA()</f>
        <v>#N/A</v>
      </c>
      <c r="E2000" t="e">
        <f>NA()</f>
        <v>#N/A</v>
      </c>
      <c r="F2000" t="e">
        <f>NA()</f>
        <v>#N/A</v>
      </c>
      <c r="G2000" t="e">
        <f>NA()</f>
        <v>#N/A</v>
      </c>
      <c r="H2000" t="e">
        <f>NA()</f>
        <v>#N/A</v>
      </c>
      <c r="I2000" t="e">
        <f>NA()</f>
        <v>#N/A</v>
      </c>
      <c r="J2000" t="e">
        <f>NA()</f>
        <v>#N/A</v>
      </c>
      <c r="K2000" t="e">
        <f>NA()</f>
        <v>#N/A</v>
      </c>
      <c r="L2000" t="e">
        <f>NA()</f>
        <v>#N/A</v>
      </c>
      <c r="M2000" t="e">
        <f>NA()</f>
        <v>#N/A</v>
      </c>
      <c r="N2000" t="e">
        <f>NA()</f>
        <v>#N/A</v>
      </c>
      <c r="O2000">
        <f t="shared" si="74"/>
        <v>1.4</v>
      </c>
    </row>
    <row r="2001" spans="1:15" x14ac:dyDescent="0.25">
      <c r="A2001" s="1">
        <v>43117</v>
      </c>
      <c r="B2001" t="e">
        <f>NA()</f>
        <v>#N/A</v>
      </c>
      <c r="C2001" t="e">
        <f>NA()</f>
        <v>#N/A</v>
      </c>
      <c r="D2001" t="e">
        <f>NA()</f>
        <v>#N/A</v>
      </c>
      <c r="E2001" t="e">
        <f>NA()</f>
        <v>#N/A</v>
      </c>
      <c r="F2001" t="e">
        <f>NA()</f>
        <v>#N/A</v>
      </c>
      <c r="G2001" t="e">
        <f>NA()</f>
        <v>#N/A</v>
      </c>
      <c r="H2001" t="e">
        <f>NA()</f>
        <v>#N/A</v>
      </c>
      <c r="I2001" t="e">
        <f>NA()</f>
        <v>#N/A</v>
      </c>
      <c r="J2001" t="e">
        <f>NA()</f>
        <v>#N/A</v>
      </c>
      <c r="K2001" t="e">
        <f>NA()</f>
        <v>#N/A</v>
      </c>
      <c r="L2001" t="e">
        <f>NA()</f>
        <v>#N/A</v>
      </c>
      <c r="M2001" t="e">
        <f>NA()</f>
        <v>#N/A</v>
      </c>
      <c r="N2001" t="e">
        <f>NA()</f>
        <v>#N/A</v>
      </c>
      <c r="O2001">
        <f t="shared" si="74"/>
        <v>1.4</v>
      </c>
    </row>
    <row r="2002" spans="1:15" x14ac:dyDescent="0.25">
      <c r="A2002" s="1">
        <v>43116</v>
      </c>
      <c r="B2002" t="e">
        <f>NA()</f>
        <v>#N/A</v>
      </c>
      <c r="C2002" t="e">
        <f>NA()</f>
        <v>#N/A</v>
      </c>
      <c r="D2002" t="e">
        <f>NA()</f>
        <v>#N/A</v>
      </c>
      <c r="E2002" t="e">
        <f>NA()</f>
        <v>#N/A</v>
      </c>
      <c r="F2002" t="e">
        <f>NA()</f>
        <v>#N/A</v>
      </c>
      <c r="G2002" t="e">
        <f>NA()</f>
        <v>#N/A</v>
      </c>
      <c r="H2002" t="e">
        <f>NA()</f>
        <v>#N/A</v>
      </c>
      <c r="I2002" t="e">
        <f>NA()</f>
        <v>#N/A</v>
      </c>
      <c r="J2002" t="e">
        <f>NA()</f>
        <v>#N/A</v>
      </c>
      <c r="K2002" t="e">
        <f>NA()</f>
        <v>#N/A</v>
      </c>
      <c r="L2002" t="e">
        <f>NA()</f>
        <v>#N/A</v>
      </c>
      <c r="M2002" t="e">
        <f>NA()</f>
        <v>#N/A</v>
      </c>
      <c r="N2002" t="e">
        <f>NA()</f>
        <v>#N/A</v>
      </c>
      <c r="O2002">
        <f t="shared" si="74"/>
        <v>1.4</v>
      </c>
    </row>
    <row r="2003" spans="1:15" x14ac:dyDescent="0.25">
      <c r="A2003" s="1">
        <v>43112</v>
      </c>
      <c r="B2003">
        <f>-0.7</f>
        <v>-0.7</v>
      </c>
      <c r="C2003">
        <f>0</f>
        <v>0</v>
      </c>
      <c r="D2003" t="e">
        <f>NA()</f>
        <v>#N/A</v>
      </c>
      <c r="E2003" t="e">
        <f>NA()</f>
        <v>#N/A</v>
      </c>
      <c r="F2003" t="e">
        <f>NA()</f>
        <v>#N/A</v>
      </c>
      <c r="G2003" t="e">
        <f>NA()</f>
        <v>#N/A</v>
      </c>
      <c r="H2003" t="e">
        <f>NA()</f>
        <v>#N/A</v>
      </c>
      <c r="I2003" t="e">
        <f>NA()</f>
        <v>#N/A</v>
      </c>
      <c r="J2003" t="e">
        <f>NA()</f>
        <v>#N/A</v>
      </c>
      <c r="K2003" t="e">
        <f>NA()</f>
        <v>#N/A</v>
      </c>
      <c r="L2003" t="e">
        <f>NA()</f>
        <v>#N/A</v>
      </c>
      <c r="M2003" t="e">
        <f>NA()</f>
        <v>#N/A</v>
      </c>
      <c r="N2003" t="e">
        <f>NA()</f>
        <v>#N/A</v>
      </c>
      <c r="O2003">
        <f t="shared" si="74"/>
        <v>1.4</v>
      </c>
    </row>
    <row r="2004" spans="1:15" x14ac:dyDescent="0.25">
      <c r="A2004" s="1">
        <v>43111</v>
      </c>
      <c r="B2004" t="e">
        <f>NA()</f>
        <v>#N/A</v>
      </c>
      <c r="C2004" t="e">
        <f>NA()</f>
        <v>#N/A</v>
      </c>
      <c r="D2004" t="e">
        <f>NA()</f>
        <v>#N/A</v>
      </c>
      <c r="E2004" t="e">
        <f>NA()</f>
        <v>#N/A</v>
      </c>
      <c r="F2004" t="e">
        <f>NA()</f>
        <v>#N/A</v>
      </c>
      <c r="G2004" t="e">
        <f>NA()</f>
        <v>#N/A</v>
      </c>
      <c r="H2004" t="e">
        <f>NA()</f>
        <v>#N/A</v>
      </c>
      <c r="I2004" t="e">
        <f>NA()</f>
        <v>#N/A</v>
      </c>
      <c r="J2004" t="e">
        <f>NA()</f>
        <v>#N/A</v>
      </c>
      <c r="K2004" t="e">
        <f>NA()</f>
        <v>#N/A</v>
      </c>
      <c r="L2004" t="e">
        <f>NA()</f>
        <v>#N/A</v>
      </c>
      <c r="M2004" t="e">
        <f>NA()</f>
        <v>#N/A</v>
      </c>
      <c r="N2004" t="e">
        <f>NA()</f>
        <v>#N/A</v>
      </c>
      <c r="O2004">
        <f t="shared" si="74"/>
        <v>1.4</v>
      </c>
    </row>
    <row r="2005" spans="1:15" x14ac:dyDescent="0.25">
      <c r="A2005" s="1">
        <v>43110</v>
      </c>
      <c r="B2005" t="e">
        <f>NA()</f>
        <v>#N/A</v>
      </c>
      <c r="C2005" t="e">
        <f>NA()</f>
        <v>#N/A</v>
      </c>
      <c r="D2005" t="e">
        <f>NA()</f>
        <v>#N/A</v>
      </c>
      <c r="E2005" t="e">
        <f>NA()</f>
        <v>#N/A</v>
      </c>
      <c r="F2005" t="e">
        <f>NA()</f>
        <v>#N/A</v>
      </c>
      <c r="G2005" t="e">
        <f>NA()</f>
        <v>#N/A</v>
      </c>
      <c r="H2005" t="e">
        <f>NA()</f>
        <v>#N/A</v>
      </c>
      <c r="I2005" t="e">
        <f>NA()</f>
        <v>#N/A</v>
      </c>
      <c r="J2005" t="e">
        <f>NA()</f>
        <v>#N/A</v>
      </c>
      <c r="K2005" t="e">
        <f>NA()</f>
        <v>#N/A</v>
      </c>
      <c r="L2005" t="e">
        <f>NA()</f>
        <v>#N/A</v>
      </c>
      <c r="M2005" t="e">
        <f>NA()</f>
        <v>#N/A</v>
      </c>
      <c r="N2005" t="e">
        <f>NA()</f>
        <v>#N/A</v>
      </c>
      <c r="O2005">
        <f t="shared" si="74"/>
        <v>1.4</v>
      </c>
    </row>
    <row r="2006" spans="1:15" x14ac:dyDescent="0.25">
      <c r="A2006" s="1">
        <v>43109</v>
      </c>
      <c r="B2006" t="e">
        <f>NA()</f>
        <v>#N/A</v>
      </c>
      <c r="C2006" t="e">
        <f>NA()</f>
        <v>#N/A</v>
      </c>
      <c r="D2006" t="e">
        <f>NA()</f>
        <v>#N/A</v>
      </c>
      <c r="E2006" t="e">
        <f>NA()</f>
        <v>#N/A</v>
      </c>
      <c r="F2006" t="e">
        <f>NA()</f>
        <v>#N/A</v>
      </c>
      <c r="G2006" t="e">
        <f>NA()</f>
        <v>#N/A</v>
      </c>
      <c r="H2006" t="e">
        <f>NA()</f>
        <v>#N/A</v>
      </c>
      <c r="I2006" t="e">
        <f>NA()</f>
        <v>#N/A</v>
      </c>
      <c r="J2006" t="e">
        <f>NA()</f>
        <v>#N/A</v>
      </c>
      <c r="K2006" t="e">
        <f>NA()</f>
        <v>#N/A</v>
      </c>
      <c r="L2006" t="e">
        <f>NA()</f>
        <v>#N/A</v>
      </c>
      <c r="M2006" t="e">
        <f>NA()</f>
        <v>#N/A</v>
      </c>
      <c r="N2006" t="e">
        <f>NA()</f>
        <v>#N/A</v>
      </c>
      <c r="O2006">
        <f t="shared" si="74"/>
        <v>1.4</v>
      </c>
    </row>
    <row r="2007" spans="1:15" x14ac:dyDescent="0.25">
      <c r="A2007" s="1">
        <v>43108</v>
      </c>
      <c r="B2007" t="e">
        <f>NA()</f>
        <v>#N/A</v>
      </c>
      <c r="C2007" t="e">
        <f>NA()</f>
        <v>#N/A</v>
      </c>
      <c r="D2007" t="e">
        <f>NA()</f>
        <v>#N/A</v>
      </c>
      <c r="E2007" t="e">
        <f>NA()</f>
        <v>#N/A</v>
      </c>
      <c r="F2007" t="e">
        <f>NA()</f>
        <v>#N/A</v>
      </c>
      <c r="G2007" t="e">
        <f>NA()</f>
        <v>#N/A</v>
      </c>
      <c r="H2007" t="e">
        <f>NA()</f>
        <v>#N/A</v>
      </c>
      <c r="I2007" t="e">
        <f>NA()</f>
        <v>#N/A</v>
      </c>
      <c r="J2007" t="e">
        <f>NA()</f>
        <v>#N/A</v>
      </c>
      <c r="K2007" t="e">
        <f>NA()</f>
        <v>#N/A</v>
      </c>
      <c r="L2007" t="e">
        <f>NA()</f>
        <v>#N/A</v>
      </c>
      <c r="M2007" t="e">
        <f>NA()</f>
        <v>#N/A</v>
      </c>
      <c r="N2007" t="e">
        <f>NA()</f>
        <v>#N/A</v>
      </c>
      <c r="O2007">
        <f t="shared" si="74"/>
        <v>1.4</v>
      </c>
    </row>
    <row r="2008" spans="1:15" x14ac:dyDescent="0.25">
      <c r="A2008" s="1">
        <v>43105</v>
      </c>
      <c r="B2008">
        <f>-0.6</f>
        <v>-0.6</v>
      </c>
      <c r="C2008">
        <f>0</f>
        <v>0</v>
      </c>
      <c r="D2008" t="e">
        <f>NA()</f>
        <v>#N/A</v>
      </c>
      <c r="E2008" t="e">
        <f>NA()</f>
        <v>#N/A</v>
      </c>
      <c r="F2008" t="e">
        <f>NA()</f>
        <v>#N/A</v>
      </c>
      <c r="G2008" t="e">
        <f>NA()</f>
        <v>#N/A</v>
      </c>
      <c r="H2008" t="e">
        <f>NA()</f>
        <v>#N/A</v>
      </c>
      <c r="I2008" t="e">
        <f>NA()</f>
        <v>#N/A</v>
      </c>
      <c r="J2008" t="e">
        <f>NA()</f>
        <v>#N/A</v>
      </c>
      <c r="K2008" t="e">
        <f>NA()</f>
        <v>#N/A</v>
      </c>
      <c r="L2008" t="e">
        <f>NA()</f>
        <v>#N/A</v>
      </c>
      <c r="M2008" t="e">
        <f>NA()</f>
        <v>#N/A</v>
      </c>
      <c r="N2008" t="e">
        <f>NA()</f>
        <v>#N/A</v>
      </c>
      <c r="O2008">
        <f t="shared" si="74"/>
        <v>1.4</v>
      </c>
    </row>
    <row r="2009" spans="1:15" x14ac:dyDescent="0.25">
      <c r="A2009" s="1">
        <v>43104</v>
      </c>
      <c r="B2009" t="e">
        <f>NA()</f>
        <v>#N/A</v>
      </c>
      <c r="C2009" t="e">
        <f>NA()</f>
        <v>#N/A</v>
      </c>
      <c r="D2009" t="e">
        <f>NA()</f>
        <v>#N/A</v>
      </c>
      <c r="E2009" t="e">
        <f>NA()</f>
        <v>#N/A</v>
      </c>
      <c r="F2009" t="e">
        <f>NA()</f>
        <v>#N/A</v>
      </c>
      <c r="G2009" t="e">
        <f>NA()</f>
        <v>#N/A</v>
      </c>
      <c r="H2009" t="e">
        <f>NA()</f>
        <v>#N/A</v>
      </c>
      <c r="I2009" t="e">
        <f>NA()</f>
        <v>#N/A</v>
      </c>
      <c r="J2009" t="e">
        <f>NA()</f>
        <v>#N/A</v>
      </c>
      <c r="K2009" t="e">
        <f>NA()</f>
        <v>#N/A</v>
      </c>
      <c r="L2009" t="e">
        <f>NA()</f>
        <v>#N/A</v>
      </c>
      <c r="M2009" t="e">
        <f>NA()</f>
        <v>#N/A</v>
      </c>
      <c r="N2009" t="e">
        <f>NA()</f>
        <v>#N/A</v>
      </c>
      <c r="O2009">
        <f t="shared" si="74"/>
        <v>1.4</v>
      </c>
    </row>
    <row r="2010" spans="1:15" x14ac:dyDescent="0.25">
      <c r="A2010" s="1">
        <v>43103</v>
      </c>
      <c r="B2010" t="e">
        <f>NA()</f>
        <v>#N/A</v>
      </c>
      <c r="C2010" t="e">
        <f>NA()</f>
        <v>#N/A</v>
      </c>
      <c r="D2010" t="e">
        <f>NA()</f>
        <v>#N/A</v>
      </c>
      <c r="E2010" t="e">
        <f>NA()</f>
        <v>#N/A</v>
      </c>
      <c r="F2010" t="e">
        <f>NA()</f>
        <v>#N/A</v>
      </c>
      <c r="G2010" t="e">
        <f>NA()</f>
        <v>#N/A</v>
      </c>
      <c r="H2010" t="e">
        <f>NA()</f>
        <v>#N/A</v>
      </c>
      <c r="I2010" t="e">
        <f>NA()</f>
        <v>#N/A</v>
      </c>
      <c r="J2010" t="e">
        <f>NA()</f>
        <v>#N/A</v>
      </c>
      <c r="K2010" t="e">
        <f>NA()</f>
        <v>#N/A</v>
      </c>
      <c r="L2010" t="e">
        <f>NA()</f>
        <v>#N/A</v>
      </c>
      <c r="M2010" t="e">
        <f>NA()</f>
        <v>#N/A</v>
      </c>
      <c r="N2010" t="e">
        <f>NA()</f>
        <v>#N/A</v>
      </c>
      <c r="O2010">
        <f t="shared" si="74"/>
        <v>1.4</v>
      </c>
    </row>
    <row r="2011" spans="1:15" x14ac:dyDescent="0.25">
      <c r="A2011" s="1">
        <v>43102</v>
      </c>
      <c r="B2011" t="e">
        <f>NA()</f>
        <v>#N/A</v>
      </c>
      <c r="C2011" t="e">
        <f>NA()</f>
        <v>#N/A</v>
      </c>
      <c r="D2011" t="e">
        <f>NA()</f>
        <v>#N/A</v>
      </c>
      <c r="E2011" t="e">
        <f>NA()</f>
        <v>#N/A</v>
      </c>
      <c r="F2011" t="e">
        <f>NA()</f>
        <v>#N/A</v>
      </c>
      <c r="G2011" t="e">
        <f>NA()</f>
        <v>#N/A</v>
      </c>
      <c r="H2011" t="e">
        <f>NA()</f>
        <v>#N/A</v>
      </c>
      <c r="I2011" t="e">
        <f>NA()</f>
        <v>#N/A</v>
      </c>
      <c r="J2011" t="e">
        <f>NA()</f>
        <v>#N/A</v>
      </c>
      <c r="K2011" t="e">
        <f>NA()</f>
        <v>#N/A</v>
      </c>
      <c r="L2011" t="e">
        <f>NA()</f>
        <v>#N/A</v>
      </c>
      <c r="M2011" t="e">
        <f>NA()</f>
        <v>#N/A</v>
      </c>
      <c r="N2011" t="e">
        <f>NA()</f>
        <v>#N/A</v>
      </c>
      <c r="O2011">
        <f t="shared" si="74"/>
        <v>1.4</v>
      </c>
    </row>
    <row r="2012" spans="1:15" x14ac:dyDescent="0.25">
      <c r="A2012" s="1">
        <v>43100</v>
      </c>
      <c r="B2012" t="e">
        <f>NA()</f>
        <v>#N/A</v>
      </c>
      <c r="C2012" t="e">
        <f>NA()</f>
        <v>#N/A</v>
      </c>
      <c r="D2012">
        <f>0.3</f>
        <v>0.3</v>
      </c>
      <c r="E2012">
        <f>0.6</f>
        <v>0.6</v>
      </c>
      <c r="F2012">
        <f>6336</f>
        <v>6336</v>
      </c>
      <c r="G2012">
        <f>62.7</f>
        <v>62.7</v>
      </c>
      <c r="H2012">
        <f>5.1</f>
        <v>5.0999999999999996</v>
      </c>
      <c r="I2012">
        <f>246.5</f>
        <v>246.5</v>
      </c>
      <c r="J2012">
        <f>2.1</f>
        <v>2.1</v>
      </c>
      <c r="K2012">
        <f>59.7</f>
        <v>59.7</v>
      </c>
      <c r="L2012">
        <f>0.2</f>
        <v>0.2</v>
      </c>
      <c r="M2012">
        <f>4.6</f>
        <v>4.5999999999999996</v>
      </c>
      <c r="N2012">
        <f>4.1</f>
        <v>4.0999999999999996</v>
      </c>
      <c r="O2012" t="e">
        <f>NA()</f>
        <v>#N/A</v>
      </c>
    </row>
    <row r="2013" spans="1:15" x14ac:dyDescent="0.25">
      <c r="A2013" s="1">
        <v>43098</v>
      </c>
      <c r="B2013">
        <f>-0.5</f>
        <v>-0.5</v>
      </c>
      <c r="C2013">
        <f>0</f>
        <v>0</v>
      </c>
      <c r="D2013" t="e">
        <f>NA()</f>
        <v>#N/A</v>
      </c>
      <c r="E2013" t="e">
        <f>NA()</f>
        <v>#N/A</v>
      </c>
      <c r="F2013" t="e">
        <f>NA()</f>
        <v>#N/A</v>
      </c>
      <c r="G2013" t="e">
        <f>NA()</f>
        <v>#N/A</v>
      </c>
      <c r="H2013" t="e">
        <f>NA()</f>
        <v>#N/A</v>
      </c>
      <c r="I2013" t="e">
        <f>NA()</f>
        <v>#N/A</v>
      </c>
      <c r="J2013" t="e">
        <f>NA()</f>
        <v>#N/A</v>
      </c>
      <c r="K2013" t="e">
        <f>NA()</f>
        <v>#N/A</v>
      </c>
      <c r="L2013" t="e">
        <f>NA()</f>
        <v>#N/A</v>
      </c>
      <c r="M2013" t="e">
        <f>NA()</f>
        <v>#N/A</v>
      </c>
      <c r="N2013" t="e">
        <f>NA()</f>
        <v>#N/A</v>
      </c>
      <c r="O2013">
        <f>1.3</f>
        <v>1.3</v>
      </c>
    </row>
    <row r="2014" spans="1:15" x14ac:dyDescent="0.25">
      <c r="A2014" s="1">
        <v>43097</v>
      </c>
      <c r="B2014" t="e">
        <f>NA()</f>
        <v>#N/A</v>
      </c>
      <c r="C2014" t="e">
        <f>NA()</f>
        <v>#N/A</v>
      </c>
      <c r="D2014" t="e">
        <f>NA()</f>
        <v>#N/A</v>
      </c>
      <c r="E2014" t="e">
        <f>NA()</f>
        <v>#N/A</v>
      </c>
      <c r="F2014" t="e">
        <f>NA()</f>
        <v>#N/A</v>
      </c>
      <c r="G2014" t="e">
        <f>NA()</f>
        <v>#N/A</v>
      </c>
      <c r="H2014" t="e">
        <f>NA()</f>
        <v>#N/A</v>
      </c>
      <c r="I2014" t="e">
        <f>NA()</f>
        <v>#N/A</v>
      </c>
      <c r="J2014" t="e">
        <f>NA()</f>
        <v>#N/A</v>
      </c>
      <c r="K2014" t="e">
        <f>NA()</f>
        <v>#N/A</v>
      </c>
      <c r="L2014" t="e">
        <f>NA()</f>
        <v>#N/A</v>
      </c>
      <c r="M2014" t="e">
        <f>NA()</f>
        <v>#N/A</v>
      </c>
      <c r="N2014" t="e">
        <f>NA()</f>
        <v>#N/A</v>
      </c>
      <c r="O2014">
        <f t="shared" ref="O2014:O2023" si="75">1.4</f>
        <v>1.4</v>
      </c>
    </row>
    <row r="2015" spans="1:15" x14ac:dyDescent="0.25">
      <c r="A2015" s="1">
        <v>43096</v>
      </c>
      <c r="B2015" t="e">
        <f>NA()</f>
        <v>#N/A</v>
      </c>
      <c r="C2015" t="e">
        <f>NA()</f>
        <v>#N/A</v>
      </c>
      <c r="D2015" t="e">
        <f>NA()</f>
        <v>#N/A</v>
      </c>
      <c r="E2015" t="e">
        <f>NA()</f>
        <v>#N/A</v>
      </c>
      <c r="F2015" t="e">
        <f>NA()</f>
        <v>#N/A</v>
      </c>
      <c r="G2015" t="e">
        <f>NA()</f>
        <v>#N/A</v>
      </c>
      <c r="H2015" t="e">
        <f>NA()</f>
        <v>#N/A</v>
      </c>
      <c r="I2015" t="e">
        <f>NA()</f>
        <v>#N/A</v>
      </c>
      <c r="J2015" t="e">
        <f>NA()</f>
        <v>#N/A</v>
      </c>
      <c r="K2015" t="e">
        <f>NA()</f>
        <v>#N/A</v>
      </c>
      <c r="L2015" t="e">
        <f>NA()</f>
        <v>#N/A</v>
      </c>
      <c r="M2015" t="e">
        <f>NA()</f>
        <v>#N/A</v>
      </c>
      <c r="N2015" t="e">
        <f>NA()</f>
        <v>#N/A</v>
      </c>
      <c r="O2015">
        <f t="shared" si="75"/>
        <v>1.4</v>
      </c>
    </row>
    <row r="2016" spans="1:15" x14ac:dyDescent="0.25">
      <c r="A2016" s="1">
        <v>43095</v>
      </c>
      <c r="B2016" t="e">
        <f>NA()</f>
        <v>#N/A</v>
      </c>
      <c r="C2016" t="e">
        <f>NA()</f>
        <v>#N/A</v>
      </c>
      <c r="D2016" t="e">
        <f>NA()</f>
        <v>#N/A</v>
      </c>
      <c r="E2016" t="e">
        <f>NA()</f>
        <v>#N/A</v>
      </c>
      <c r="F2016" t="e">
        <f>NA()</f>
        <v>#N/A</v>
      </c>
      <c r="G2016" t="e">
        <f>NA()</f>
        <v>#N/A</v>
      </c>
      <c r="H2016" t="e">
        <f>NA()</f>
        <v>#N/A</v>
      </c>
      <c r="I2016" t="e">
        <f>NA()</f>
        <v>#N/A</v>
      </c>
      <c r="J2016" t="e">
        <f>NA()</f>
        <v>#N/A</v>
      </c>
      <c r="K2016" t="e">
        <f>NA()</f>
        <v>#N/A</v>
      </c>
      <c r="L2016" t="e">
        <f>NA()</f>
        <v>#N/A</v>
      </c>
      <c r="M2016" t="e">
        <f>NA()</f>
        <v>#N/A</v>
      </c>
      <c r="N2016" t="e">
        <f>NA()</f>
        <v>#N/A</v>
      </c>
      <c r="O2016">
        <f t="shared" si="75"/>
        <v>1.4</v>
      </c>
    </row>
    <row r="2017" spans="1:15" x14ac:dyDescent="0.25">
      <c r="A2017" s="1">
        <v>43091</v>
      </c>
      <c r="B2017">
        <f>-0.6</f>
        <v>-0.6</v>
      </c>
      <c r="C2017">
        <f>0</f>
        <v>0</v>
      </c>
      <c r="D2017" t="e">
        <f>NA()</f>
        <v>#N/A</v>
      </c>
      <c r="E2017" t="e">
        <f>NA()</f>
        <v>#N/A</v>
      </c>
      <c r="F2017" t="e">
        <f>NA()</f>
        <v>#N/A</v>
      </c>
      <c r="G2017" t="e">
        <f>NA()</f>
        <v>#N/A</v>
      </c>
      <c r="H2017" t="e">
        <f>NA()</f>
        <v>#N/A</v>
      </c>
      <c r="I2017" t="e">
        <f>NA()</f>
        <v>#N/A</v>
      </c>
      <c r="J2017" t="e">
        <f>NA()</f>
        <v>#N/A</v>
      </c>
      <c r="K2017" t="e">
        <f>NA()</f>
        <v>#N/A</v>
      </c>
      <c r="L2017" t="e">
        <f>NA()</f>
        <v>#N/A</v>
      </c>
      <c r="M2017" t="e">
        <f>NA()</f>
        <v>#N/A</v>
      </c>
      <c r="N2017" t="e">
        <f>NA()</f>
        <v>#N/A</v>
      </c>
      <c r="O2017">
        <f t="shared" si="75"/>
        <v>1.4</v>
      </c>
    </row>
    <row r="2018" spans="1:15" x14ac:dyDescent="0.25">
      <c r="A2018" s="1">
        <v>43090</v>
      </c>
      <c r="B2018" t="e">
        <f>NA()</f>
        <v>#N/A</v>
      </c>
      <c r="C2018" t="e">
        <f>NA()</f>
        <v>#N/A</v>
      </c>
      <c r="D2018" t="e">
        <f>NA()</f>
        <v>#N/A</v>
      </c>
      <c r="E2018" t="e">
        <f>NA()</f>
        <v>#N/A</v>
      </c>
      <c r="F2018" t="e">
        <f>NA()</f>
        <v>#N/A</v>
      </c>
      <c r="G2018" t="e">
        <f>NA()</f>
        <v>#N/A</v>
      </c>
      <c r="H2018" t="e">
        <f>NA()</f>
        <v>#N/A</v>
      </c>
      <c r="I2018" t="e">
        <f>NA()</f>
        <v>#N/A</v>
      </c>
      <c r="J2018" t="e">
        <f>NA()</f>
        <v>#N/A</v>
      </c>
      <c r="K2018" t="e">
        <f>NA()</f>
        <v>#N/A</v>
      </c>
      <c r="L2018" t="e">
        <f>NA()</f>
        <v>#N/A</v>
      </c>
      <c r="M2018" t="e">
        <f>NA()</f>
        <v>#N/A</v>
      </c>
      <c r="N2018" t="e">
        <f>NA()</f>
        <v>#N/A</v>
      </c>
      <c r="O2018">
        <f t="shared" si="75"/>
        <v>1.4</v>
      </c>
    </row>
    <row r="2019" spans="1:15" x14ac:dyDescent="0.25">
      <c r="A2019" s="1">
        <v>43089</v>
      </c>
      <c r="B2019" t="e">
        <f>NA()</f>
        <v>#N/A</v>
      </c>
      <c r="C2019" t="e">
        <f>NA()</f>
        <v>#N/A</v>
      </c>
      <c r="D2019" t="e">
        <f>NA()</f>
        <v>#N/A</v>
      </c>
      <c r="E2019" t="e">
        <f>NA()</f>
        <v>#N/A</v>
      </c>
      <c r="F2019" t="e">
        <f>NA()</f>
        <v>#N/A</v>
      </c>
      <c r="G2019" t="e">
        <f>NA()</f>
        <v>#N/A</v>
      </c>
      <c r="H2019" t="e">
        <f>NA()</f>
        <v>#N/A</v>
      </c>
      <c r="I2019" t="e">
        <f>NA()</f>
        <v>#N/A</v>
      </c>
      <c r="J2019" t="e">
        <f>NA()</f>
        <v>#N/A</v>
      </c>
      <c r="K2019" t="e">
        <f>NA()</f>
        <v>#N/A</v>
      </c>
      <c r="L2019" t="e">
        <f>NA()</f>
        <v>#N/A</v>
      </c>
      <c r="M2019" t="e">
        <f>NA()</f>
        <v>#N/A</v>
      </c>
      <c r="N2019" t="e">
        <f>NA()</f>
        <v>#N/A</v>
      </c>
      <c r="O2019">
        <f t="shared" si="75"/>
        <v>1.4</v>
      </c>
    </row>
    <row r="2020" spans="1:15" x14ac:dyDescent="0.25">
      <c r="A2020" s="1">
        <v>43088</v>
      </c>
      <c r="B2020" t="e">
        <f>NA()</f>
        <v>#N/A</v>
      </c>
      <c r="C2020" t="e">
        <f>NA()</f>
        <v>#N/A</v>
      </c>
      <c r="D2020" t="e">
        <f>NA()</f>
        <v>#N/A</v>
      </c>
      <c r="E2020" t="e">
        <f>NA()</f>
        <v>#N/A</v>
      </c>
      <c r="F2020" t="e">
        <f>NA()</f>
        <v>#N/A</v>
      </c>
      <c r="G2020" t="e">
        <f>NA()</f>
        <v>#N/A</v>
      </c>
      <c r="H2020" t="e">
        <f>NA()</f>
        <v>#N/A</v>
      </c>
      <c r="I2020" t="e">
        <f>NA()</f>
        <v>#N/A</v>
      </c>
      <c r="J2020" t="e">
        <f>NA()</f>
        <v>#N/A</v>
      </c>
      <c r="K2020" t="e">
        <f>NA()</f>
        <v>#N/A</v>
      </c>
      <c r="L2020" t="e">
        <f>NA()</f>
        <v>#N/A</v>
      </c>
      <c r="M2020" t="e">
        <f>NA()</f>
        <v>#N/A</v>
      </c>
      <c r="N2020" t="e">
        <f>NA()</f>
        <v>#N/A</v>
      </c>
      <c r="O2020">
        <f t="shared" si="75"/>
        <v>1.4</v>
      </c>
    </row>
    <row r="2021" spans="1:15" x14ac:dyDescent="0.25">
      <c r="A2021" s="1">
        <v>43087</v>
      </c>
      <c r="B2021" t="e">
        <f>NA()</f>
        <v>#N/A</v>
      </c>
      <c r="C2021" t="e">
        <f>NA()</f>
        <v>#N/A</v>
      </c>
      <c r="D2021" t="e">
        <f>NA()</f>
        <v>#N/A</v>
      </c>
      <c r="E2021" t="e">
        <f>NA()</f>
        <v>#N/A</v>
      </c>
      <c r="F2021" t="e">
        <f>NA()</f>
        <v>#N/A</v>
      </c>
      <c r="G2021" t="e">
        <f>NA()</f>
        <v>#N/A</v>
      </c>
      <c r="H2021" t="e">
        <f>NA()</f>
        <v>#N/A</v>
      </c>
      <c r="I2021" t="e">
        <f>NA()</f>
        <v>#N/A</v>
      </c>
      <c r="J2021" t="e">
        <f>NA()</f>
        <v>#N/A</v>
      </c>
      <c r="K2021" t="e">
        <f>NA()</f>
        <v>#N/A</v>
      </c>
      <c r="L2021" t="e">
        <f>NA()</f>
        <v>#N/A</v>
      </c>
      <c r="M2021" t="e">
        <f>NA()</f>
        <v>#N/A</v>
      </c>
      <c r="N2021" t="e">
        <f>NA()</f>
        <v>#N/A</v>
      </c>
      <c r="O2021">
        <f t="shared" si="75"/>
        <v>1.4</v>
      </c>
    </row>
    <row r="2022" spans="1:15" x14ac:dyDescent="0.25">
      <c r="A2022" s="1">
        <v>43084</v>
      </c>
      <c r="B2022">
        <f>-0.7</f>
        <v>-0.7</v>
      </c>
      <c r="C2022">
        <f>0</f>
        <v>0</v>
      </c>
      <c r="D2022" t="e">
        <f>NA()</f>
        <v>#N/A</v>
      </c>
      <c r="E2022" t="e">
        <f>NA()</f>
        <v>#N/A</v>
      </c>
      <c r="F2022" t="e">
        <f>NA()</f>
        <v>#N/A</v>
      </c>
      <c r="G2022" t="e">
        <f>NA()</f>
        <v>#N/A</v>
      </c>
      <c r="H2022" t="e">
        <f>NA()</f>
        <v>#N/A</v>
      </c>
      <c r="I2022" t="e">
        <f>NA()</f>
        <v>#N/A</v>
      </c>
      <c r="J2022" t="e">
        <f>NA()</f>
        <v>#N/A</v>
      </c>
      <c r="K2022" t="e">
        <f>NA()</f>
        <v>#N/A</v>
      </c>
      <c r="L2022" t="e">
        <f>NA()</f>
        <v>#N/A</v>
      </c>
      <c r="M2022" t="e">
        <f>NA()</f>
        <v>#N/A</v>
      </c>
      <c r="N2022" t="e">
        <f>NA()</f>
        <v>#N/A</v>
      </c>
      <c r="O2022">
        <f t="shared" si="75"/>
        <v>1.4</v>
      </c>
    </row>
    <row r="2023" spans="1:15" x14ac:dyDescent="0.25">
      <c r="A2023" s="1">
        <v>43083</v>
      </c>
      <c r="B2023" t="e">
        <f>NA()</f>
        <v>#N/A</v>
      </c>
      <c r="C2023" t="e">
        <f>NA()</f>
        <v>#N/A</v>
      </c>
      <c r="D2023" t="e">
        <f>NA()</f>
        <v>#N/A</v>
      </c>
      <c r="E2023" t="e">
        <f>NA()</f>
        <v>#N/A</v>
      </c>
      <c r="F2023" t="e">
        <f>NA()</f>
        <v>#N/A</v>
      </c>
      <c r="G2023" t="e">
        <f>NA()</f>
        <v>#N/A</v>
      </c>
      <c r="H2023" t="e">
        <f>NA()</f>
        <v>#N/A</v>
      </c>
      <c r="I2023" t="e">
        <f>NA()</f>
        <v>#N/A</v>
      </c>
      <c r="J2023" t="e">
        <f>NA()</f>
        <v>#N/A</v>
      </c>
      <c r="K2023" t="e">
        <f>NA()</f>
        <v>#N/A</v>
      </c>
      <c r="L2023" t="e">
        <f>NA()</f>
        <v>#N/A</v>
      </c>
      <c r="M2023" t="e">
        <f>NA()</f>
        <v>#N/A</v>
      </c>
      <c r="N2023" t="e">
        <f>NA()</f>
        <v>#N/A</v>
      </c>
      <c r="O2023">
        <f t="shared" si="75"/>
        <v>1.4</v>
      </c>
    </row>
    <row r="2024" spans="1:15" x14ac:dyDescent="0.25">
      <c r="A2024" s="1">
        <v>43082</v>
      </c>
      <c r="B2024" t="e">
        <f>NA()</f>
        <v>#N/A</v>
      </c>
      <c r="C2024" t="e">
        <f>NA()</f>
        <v>#N/A</v>
      </c>
      <c r="D2024" t="e">
        <f>NA()</f>
        <v>#N/A</v>
      </c>
      <c r="E2024" t="e">
        <f>NA()</f>
        <v>#N/A</v>
      </c>
      <c r="F2024" t="e">
        <f>NA()</f>
        <v>#N/A</v>
      </c>
      <c r="G2024" t="e">
        <f>NA()</f>
        <v>#N/A</v>
      </c>
      <c r="H2024" t="e">
        <f>NA()</f>
        <v>#N/A</v>
      </c>
      <c r="I2024" t="e">
        <f>NA()</f>
        <v>#N/A</v>
      </c>
      <c r="J2024" t="e">
        <f>NA()</f>
        <v>#N/A</v>
      </c>
      <c r="K2024" t="e">
        <f>NA()</f>
        <v>#N/A</v>
      </c>
      <c r="L2024" t="e">
        <f>NA()</f>
        <v>#N/A</v>
      </c>
      <c r="M2024" t="e">
        <f>NA()</f>
        <v>#N/A</v>
      </c>
      <c r="N2024" t="e">
        <f>NA()</f>
        <v>#N/A</v>
      </c>
      <c r="O2024">
        <f t="shared" ref="O2024:O2032" si="76">1.2</f>
        <v>1.2</v>
      </c>
    </row>
    <row r="2025" spans="1:15" x14ac:dyDescent="0.25">
      <c r="A2025" s="1">
        <v>43081</v>
      </c>
      <c r="B2025" t="e">
        <f>NA()</f>
        <v>#N/A</v>
      </c>
      <c r="C2025" t="e">
        <f>NA()</f>
        <v>#N/A</v>
      </c>
      <c r="D2025" t="e">
        <f>NA()</f>
        <v>#N/A</v>
      </c>
      <c r="E2025" t="e">
        <f>NA()</f>
        <v>#N/A</v>
      </c>
      <c r="F2025" t="e">
        <f>NA()</f>
        <v>#N/A</v>
      </c>
      <c r="G2025" t="e">
        <f>NA()</f>
        <v>#N/A</v>
      </c>
      <c r="H2025" t="e">
        <f>NA()</f>
        <v>#N/A</v>
      </c>
      <c r="I2025" t="e">
        <f>NA()</f>
        <v>#N/A</v>
      </c>
      <c r="J2025" t="e">
        <f>NA()</f>
        <v>#N/A</v>
      </c>
      <c r="K2025" t="e">
        <f>NA()</f>
        <v>#N/A</v>
      </c>
      <c r="L2025" t="e">
        <f>NA()</f>
        <v>#N/A</v>
      </c>
      <c r="M2025" t="e">
        <f>NA()</f>
        <v>#N/A</v>
      </c>
      <c r="N2025" t="e">
        <f>NA()</f>
        <v>#N/A</v>
      </c>
      <c r="O2025">
        <f t="shared" si="76"/>
        <v>1.2</v>
      </c>
    </row>
    <row r="2026" spans="1:15" x14ac:dyDescent="0.25">
      <c r="A2026" s="1">
        <v>43080</v>
      </c>
      <c r="B2026" t="e">
        <f>NA()</f>
        <v>#N/A</v>
      </c>
      <c r="C2026" t="e">
        <f>NA()</f>
        <v>#N/A</v>
      </c>
      <c r="D2026" t="e">
        <f>NA()</f>
        <v>#N/A</v>
      </c>
      <c r="E2026" t="e">
        <f>NA()</f>
        <v>#N/A</v>
      </c>
      <c r="F2026" t="e">
        <f>NA()</f>
        <v>#N/A</v>
      </c>
      <c r="G2026" t="e">
        <f>NA()</f>
        <v>#N/A</v>
      </c>
      <c r="H2026" t="e">
        <f>NA()</f>
        <v>#N/A</v>
      </c>
      <c r="I2026" t="e">
        <f>NA()</f>
        <v>#N/A</v>
      </c>
      <c r="J2026" t="e">
        <f>NA()</f>
        <v>#N/A</v>
      </c>
      <c r="K2026" t="e">
        <f>NA()</f>
        <v>#N/A</v>
      </c>
      <c r="L2026" t="e">
        <f>NA()</f>
        <v>#N/A</v>
      </c>
      <c r="M2026" t="e">
        <f>NA()</f>
        <v>#N/A</v>
      </c>
      <c r="N2026" t="e">
        <f>NA()</f>
        <v>#N/A</v>
      </c>
      <c r="O2026">
        <f t="shared" si="76"/>
        <v>1.2</v>
      </c>
    </row>
    <row r="2027" spans="1:15" x14ac:dyDescent="0.25">
      <c r="A2027" s="1">
        <v>43077</v>
      </c>
      <c r="B2027">
        <f>-0.7</f>
        <v>-0.7</v>
      </c>
      <c r="C2027">
        <f>0</f>
        <v>0</v>
      </c>
      <c r="D2027" t="e">
        <f>NA()</f>
        <v>#N/A</v>
      </c>
      <c r="E2027" t="e">
        <f>NA()</f>
        <v>#N/A</v>
      </c>
      <c r="F2027" t="e">
        <f>NA()</f>
        <v>#N/A</v>
      </c>
      <c r="G2027" t="e">
        <f>NA()</f>
        <v>#N/A</v>
      </c>
      <c r="H2027" t="e">
        <f>NA()</f>
        <v>#N/A</v>
      </c>
      <c r="I2027" t="e">
        <f>NA()</f>
        <v>#N/A</v>
      </c>
      <c r="J2027" t="e">
        <f>NA()</f>
        <v>#N/A</v>
      </c>
      <c r="K2027" t="e">
        <f>NA()</f>
        <v>#N/A</v>
      </c>
      <c r="L2027" t="e">
        <f>NA()</f>
        <v>#N/A</v>
      </c>
      <c r="M2027" t="e">
        <f>NA()</f>
        <v>#N/A</v>
      </c>
      <c r="N2027" t="e">
        <f>NA()</f>
        <v>#N/A</v>
      </c>
      <c r="O2027">
        <f t="shared" si="76"/>
        <v>1.2</v>
      </c>
    </row>
    <row r="2028" spans="1:15" x14ac:dyDescent="0.25">
      <c r="A2028" s="1">
        <v>43076</v>
      </c>
      <c r="B2028" t="e">
        <f>NA()</f>
        <v>#N/A</v>
      </c>
      <c r="C2028" t="e">
        <f>NA()</f>
        <v>#N/A</v>
      </c>
      <c r="D2028" t="e">
        <f>NA()</f>
        <v>#N/A</v>
      </c>
      <c r="E2028" t="e">
        <f>NA()</f>
        <v>#N/A</v>
      </c>
      <c r="F2028" t="e">
        <f>NA()</f>
        <v>#N/A</v>
      </c>
      <c r="G2028" t="e">
        <f>NA()</f>
        <v>#N/A</v>
      </c>
      <c r="H2028" t="e">
        <f>NA()</f>
        <v>#N/A</v>
      </c>
      <c r="I2028" t="e">
        <f>NA()</f>
        <v>#N/A</v>
      </c>
      <c r="J2028" t="e">
        <f>NA()</f>
        <v>#N/A</v>
      </c>
      <c r="K2028" t="e">
        <f>NA()</f>
        <v>#N/A</v>
      </c>
      <c r="L2028" t="e">
        <f>NA()</f>
        <v>#N/A</v>
      </c>
      <c r="M2028" t="e">
        <f>NA()</f>
        <v>#N/A</v>
      </c>
      <c r="N2028" t="e">
        <f>NA()</f>
        <v>#N/A</v>
      </c>
      <c r="O2028">
        <f t="shared" si="76"/>
        <v>1.2</v>
      </c>
    </row>
    <row r="2029" spans="1:15" x14ac:dyDescent="0.25">
      <c r="A2029" s="1">
        <v>43075</v>
      </c>
      <c r="B2029" t="e">
        <f>NA()</f>
        <v>#N/A</v>
      </c>
      <c r="C2029" t="e">
        <f>NA()</f>
        <v>#N/A</v>
      </c>
      <c r="D2029" t="e">
        <f>NA()</f>
        <v>#N/A</v>
      </c>
      <c r="E2029" t="e">
        <f>NA()</f>
        <v>#N/A</v>
      </c>
      <c r="F2029" t="e">
        <f>NA()</f>
        <v>#N/A</v>
      </c>
      <c r="G2029" t="e">
        <f>NA()</f>
        <v>#N/A</v>
      </c>
      <c r="H2029" t="e">
        <f>NA()</f>
        <v>#N/A</v>
      </c>
      <c r="I2029" t="e">
        <f>NA()</f>
        <v>#N/A</v>
      </c>
      <c r="J2029" t="e">
        <f>NA()</f>
        <v>#N/A</v>
      </c>
      <c r="K2029" t="e">
        <f>NA()</f>
        <v>#N/A</v>
      </c>
      <c r="L2029" t="e">
        <f>NA()</f>
        <v>#N/A</v>
      </c>
      <c r="M2029" t="e">
        <f>NA()</f>
        <v>#N/A</v>
      </c>
      <c r="N2029" t="e">
        <f>NA()</f>
        <v>#N/A</v>
      </c>
      <c r="O2029">
        <f t="shared" si="76"/>
        <v>1.2</v>
      </c>
    </row>
    <row r="2030" spans="1:15" x14ac:dyDescent="0.25">
      <c r="A2030" s="1">
        <v>43074</v>
      </c>
      <c r="B2030" t="e">
        <f>NA()</f>
        <v>#N/A</v>
      </c>
      <c r="C2030" t="e">
        <f>NA()</f>
        <v>#N/A</v>
      </c>
      <c r="D2030" t="e">
        <f>NA()</f>
        <v>#N/A</v>
      </c>
      <c r="E2030" t="e">
        <f>NA()</f>
        <v>#N/A</v>
      </c>
      <c r="F2030" t="e">
        <f>NA()</f>
        <v>#N/A</v>
      </c>
      <c r="G2030" t="e">
        <f>NA()</f>
        <v>#N/A</v>
      </c>
      <c r="H2030" t="e">
        <f>NA()</f>
        <v>#N/A</v>
      </c>
      <c r="I2030" t="e">
        <f>NA()</f>
        <v>#N/A</v>
      </c>
      <c r="J2030" t="e">
        <f>NA()</f>
        <v>#N/A</v>
      </c>
      <c r="K2030" t="e">
        <f>NA()</f>
        <v>#N/A</v>
      </c>
      <c r="L2030" t="e">
        <f>NA()</f>
        <v>#N/A</v>
      </c>
      <c r="M2030" t="e">
        <f>NA()</f>
        <v>#N/A</v>
      </c>
      <c r="N2030" t="e">
        <f>NA()</f>
        <v>#N/A</v>
      </c>
      <c r="O2030">
        <f t="shared" si="76"/>
        <v>1.2</v>
      </c>
    </row>
    <row r="2031" spans="1:15" x14ac:dyDescent="0.25">
      <c r="A2031" s="1">
        <v>43073</v>
      </c>
      <c r="B2031" t="e">
        <f>NA()</f>
        <v>#N/A</v>
      </c>
      <c r="C2031" t="e">
        <f>NA()</f>
        <v>#N/A</v>
      </c>
      <c r="D2031" t="e">
        <f>NA()</f>
        <v>#N/A</v>
      </c>
      <c r="E2031" t="e">
        <f>NA()</f>
        <v>#N/A</v>
      </c>
      <c r="F2031" t="e">
        <f>NA()</f>
        <v>#N/A</v>
      </c>
      <c r="G2031" t="e">
        <f>NA()</f>
        <v>#N/A</v>
      </c>
      <c r="H2031" t="e">
        <f>NA()</f>
        <v>#N/A</v>
      </c>
      <c r="I2031" t="e">
        <f>NA()</f>
        <v>#N/A</v>
      </c>
      <c r="J2031" t="e">
        <f>NA()</f>
        <v>#N/A</v>
      </c>
      <c r="K2031" t="e">
        <f>NA()</f>
        <v>#N/A</v>
      </c>
      <c r="L2031" t="e">
        <f>NA()</f>
        <v>#N/A</v>
      </c>
      <c r="M2031" t="e">
        <f>NA()</f>
        <v>#N/A</v>
      </c>
      <c r="N2031" t="e">
        <f>NA()</f>
        <v>#N/A</v>
      </c>
      <c r="O2031">
        <f t="shared" si="76"/>
        <v>1.2</v>
      </c>
    </row>
    <row r="2032" spans="1:15" x14ac:dyDescent="0.25">
      <c r="A2032" s="1">
        <v>43070</v>
      </c>
      <c r="B2032">
        <f>-0.8</f>
        <v>-0.8</v>
      </c>
      <c r="C2032">
        <f>0</f>
        <v>0</v>
      </c>
      <c r="D2032" t="e">
        <f>NA()</f>
        <v>#N/A</v>
      </c>
      <c r="E2032" t="e">
        <f>NA()</f>
        <v>#N/A</v>
      </c>
      <c r="F2032" t="e">
        <f>NA()</f>
        <v>#N/A</v>
      </c>
      <c r="G2032" t="e">
        <f>NA()</f>
        <v>#N/A</v>
      </c>
      <c r="H2032" t="e">
        <f>NA()</f>
        <v>#N/A</v>
      </c>
      <c r="I2032" t="e">
        <f>NA()</f>
        <v>#N/A</v>
      </c>
      <c r="J2032" t="e">
        <f>NA()</f>
        <v>#N/A</v>
      </c>
      <c r="K2032" t="e">
        <f>NA()</f>
        <v>#N/A</v>
      </c>
      <c r="L2032" t="e">
        <f>NA()</f>
        <v>#N/A</v>
      </c>
      <c r="M2032" t="e">
        <f>NA()</f>
        <v>#N/A</v>
      </c>
      <c r="N2032" t="e">
        <f>NA()</f>
        <v>#N/A</v>
      </c>
      <c r="O2032">
        <f t="shared" si="76"/>
        <v>1.2</v>
      </c>
    </row>
    <row r="2033" spans="1:15" x14ac:dyDescent="0.25">
      <c r="A2033" s="1">
        <v>43069</v>
      </c>
      <c r="B2033" t="e">
        <f>NA()</f>
        <v>#N/A</v>
      </c>
      <c r="C2033" t="e">
        <f>NA()</f>
        <v>#N/A</v>
      </c>
      <c r="D2033">
        <f>0.2</f>
        <v>0.2</v>
      </c>
      <c r="E2033">
        <f>0.3</f>
        <v>0.3</v>
      </c>
      <c r="F2033">
        <f>6271</f>
        <v>6271</v>
      </c>
      <c r="G2033">
        <f>62.7</f>
        <v>62.7</v>
      </c>
      <c r="H2033">
        <f>5</f>
        <v>5</v>
      </c>
      <c r="I2033">
        <f>246.7</f>
        <v>246.7</v>
      </c>
      <c r="J2033">
        <f>2.2</f>
        <v>2.2000000000000002</v>
      </c>
      <c r="K2033">
        <f>57.6</f>
        <v>57.6</v>
      </c>
      <c r="L2033">
        <f>0.3</f>
        <v>0.3</v>
      </c>
      <c r="M2033" t="e">
        <f>NA()</f>
        <v>#N/A</v>
      </c>
      <c r="N2033">
        <f>4.2</f>
        <v>4.2</v>
      </c>
      <c r="O2033">
        <f>1.1</f>
        <v>1.1000000000000001</v>
      </c>
    </row>
    <row r="2034" spans="1:15" x14ac:dyDescent="0.25">
      <c r="A2034" s="1">
        <v>43068</v>
      </c>
      <c r="B2034" t="e">
        <f>NA()</f>
        <v>#N/A</v>
      </c>
      <c r="C2034" t="e">
        <f>NA()</f>
        <v>#N/A</v>
      </c>
      <c r="D2034" t="e">
        <f>NA()</f>
        <v>#N/A</v>
      </c>
      <c r="E2034" t="e">
        <f>NA()</f>
        <v>#N/A</v>
      </c>
      <c r="F2034" t="e">
        <f>NA()</f>
        <v>#N/A</v>
      </c>
      <c r="G2034" t="e">
        <f>NA()</f>
        <v>#N/A</v>
      </c>
      <c r="H2034" t="e">
        <f>NA()</f>
        <v>#N/A</v>
      </c>
      <c r="I2034" t="e">
        <f>NA()</f>
        <v>#N/A</v>
      </c>
      <c r="J2034" t="e">
        <f>NA()</f>
        <v>#N/A</v>
      </c>
      <c r="K2034" t="e">
        <f>NA()</f>
        <v>#N/A</v>
      </c>
      <c r="L2034" t="e">
        <f>NA()</f>
        <v>#N/A</v>
      </c>
      <c r="M2034" t="e">
        <f>NA()</f>
        <v>#N/A</v>
      </c>
      <c r="N2034" t="e">
        <f>NA()</f>
        <v>#N/A</v>
      </c>
      <c r="O2034">
        <f t="shared" ref="O2034:O2053" si="77">1.2</f>
        <v>1.2</v>
      </c>
    </row>
    <row r="2035" spans="1:15" x14ac:dyDescent="0.25">
      <c r="A2035" s="1">
        <v>43067</v>
      </c>
      <c r="B2035" t="e">
        <f>NA()</f>
        <v>#N/A</v>
      </c>
      <c r="C2035" t="e">
        <f>NA()</f>
        <v>#N/A</v>
      </c>
      <c r="D2035" t="e">
        <f>NA()</f>
        <v>#N/A</v>
      </c>
      <c r="E2035" t="e">
        <f>NA()</f>
        <v>#N/A</v>
      </c>
      <c r="F2035" t="e">
        <f>NA()</f>
        <v>#N/A</v>
      </c>
      <c r="G2035" t="e">
        <f>NA()</f>
        <v>#N/A</v>
      </c>
      <c r="H2035" t="e">
        <f>NA()</f>
        <v>#N/A</v>
      </c>
      <c r="I2035" t="e">
        <f>NA()</f>
        <v>#N/A</v>
      </c>
      <c r="J2035" t="e">
        <f>NA()</f>
        <v>#N/A</v>
      </c>
      <c r="K2035" t="e">
        <f>NA()</f>
        <v>#N/A</v>
      </c>
      <c r="L2035" t="e">
        <f>NA()</f>
        <v>#N/A</v>
      </c>
      <c r="M2035" t="e">
        <f>NA()</f>
        <v>#N/A</v>
      </c>
      <c r="N2035" t="e">
        <f>NA()</f>
        <v>#N/A</v>
      </c>
      <c r="O2035">
        <f t="shared" si="77"/>
        <v>1.2</v>
      </c>
    </row>
    <row r="2036" spans="1:15" x14ac:dyDescent="0.25">
      <c r="A2036" s="1">
        <v>43066</v>
      </c>
      <c r="B2036" t="e">
        <f>NA()</f>
        <v>#N/A</v>
      </c>
      <c r="C2036" t="e">
        <f>NA()</f>
        <v>#N/A</v>
      </c>
      <c r="D2036" t="e">
        <f>NA()</f>
        <v>#N/A</v>
      </c>
      <c r="E2036" t="e">
        <f>NA()</f>
        <v>#N/A</v>
      </c>
      <c r="F2036" t="e">
        <f>NA()</f>
        <v>#N/A</v>
      </c>
      <c r="G2036" t="e">
        <f>NA()</f>
        <v>#N/A</v>
      </c>
      <c r="H2036" t="e">
        <f>NA()</f>
        <v>#N/A</v>
      </c>
      <c r="I2036" t="e">
        <f>NA()</f>
        <v>#N/A</v>
      </c>
      <c r="J2036" t="e">
        <f>NA()</f>
        <v>#N/A</v>
      </c>
      <c r="K2036" t="e">
        <f>NA()</f>
        <v>#N/A</v>
      </c>
      <c r="L2036" t="e">
        <f>NA()</f>
        <v>#N/A</v>
      </c>
      <c r="M2036" t="e">
        <f>NA()</f>
        <v>#N/A</v>
      </c>
      <c r="N2036" t="e">
        <f>NA()</f>
        <v>#N/A</v>
      </c>
      <c r="O2036">
        <f t="shared" si="77"/>
        <v>1.2</v>
      </c>
    </row>
    <row r="2037" spans="1:15" x14ac:dyDescent="0.25">
      <c r="A2037" s="1">
        <v>43063</v>
      </c>
      <c r="B2037">
        <f>-0.8</f>
        <v>-0.8</v>
      </c>
      <c r="C2037">
        <f>0</f>
        <v>0</v>
      </c>
      <c r="D2037" t="e">
        <f>NA()</f>
        <v>#N/A</v>
      </c>
      <c r="E2037" t="e">
        <f>NA()</f>
        <v>#N/A</v>
      </c>
      <c r="F2037" t="e">
        <f>NA()</f>
        <v>#N/A</v>
      </c>
      <c r="G2037" t="e">
        <f>NA()</f>
        <v>#N/A</v>
      </c>
      <c r="H2037" t="e">
        <f>NA()</f>
        <v>#N/A</v>
      </c>
      <c r="I2037" t="e">
        <f>NA()</f>
        <v>#N/A</v>
      </c>
      <c r="J2037" t="e">
        <f>NA()</f>
        <v>#N/A</v>
      </c>
      <c r="K2037" t="e">
        <f>NA()</f>
        <v>#N/A</v>
      </c>
      <c r="L2037" t="e">
        <f>NA()</f>
        <v>#N/A</v>
      </c>
      <c r="M2037" t="e">
        <f>NA()</f>
        <v>#N/A</v>
      </c>
      <c r="N2037" t="e">
        <f>NA()</f>
        <v>#N/A</v>
      </c>
      <c r="O2037">
        <f t="shared" si="77"/>
        <v>1.2</v>
      </c>
    </row>
    <row r="2038" spans="1:15" x14ac:dyDescent="0.25">
      <c r="A2038" s="1">
        <v>43061</v>
      </c>
      <c r="B2038" t="e">
        <f>NA()</f>
        <v>#N/A</v>
      </c>
      <c r="C2038" t="e">
        <f>NA()</f>
        <v>#N/A</v>
      </c>
      <c r="D2038" t="e">
        <f>NA()</f>
        <v>#N/A</v>
      </c>
      <c r="E2038" t="e">
        <f>NA()</f>
        <v>#N/A</v>
      </c>
      <c r="F2038" t="e">
        <f>NA()</f>
        <v>#N/A</v>
      </c>
      <c r="G2038" t="e">
        <f>NA()</f>
        <v>#N/A</v>
      </c>
      <c r="H2038" t="e">
        <f>NA()</f>
        <v>#N/A</v>
      </c>
      <c r="I2038" t="e">
        <f>NA()</f>
        <v>#N/A</v>
      </c>
      <c r="J2038" t="e">
        <f>NA()</f>
        <v>#N/A</v>
      </c>
      <c r="K2038" t="e">
        <f>NA()</f>
        <v>#N/A</v>
      </c>
      <c r="L2038" t="e">
        <f>NA()</f>
        <v>#N/A</v>
      </c>
      <c r="M2038" t="e">
        <f>NA()</f>
        <v>#N/A</v>
      </c>
      <c r="N2038" t="e">
        <f>NA()</f>
        <v>#N/A</v>
      </c>
      <c r="O2038">
        <f t="shared" si="77"/>
        <v>1.2</v>
      </c>
    </row>
    <row r="2039" spans="1:15" x14ac:dyDescent="0.25">
      <c r="A2039" s="1">
        <v>43060</v>
      </c>
      <c r="B2039" t="e">
        <f>NA()</f>
        <v>#N/A</v>
      </c>
      <c r="C2039" t="e">
        <f>NA()</f>
        <v>#N/A</v>
      </c>
      <c r="D2039" t="e">
        <f>NA()</f>
        <v>#N/A</v>
      </c>
      <c r="E2039" t="e">
        <f>NA()</f>
        <v>#N/A</v>
      </c>
      <c r="F2039" t="e">
        <f>NA()</f>
        <v>#N/A</v>
      </c>
      <c r="G2039" t="e">
        <f>NA()</f>
        <v>#N/A</v>
      </c>
      <c r="H2039" t="e">
        <f>NA()</f>
        <v>#N/A</v>
      </c>
      <c r="I2039" t="e">
        <f>NA()</f>
        <v>#N/A</v>
      </c>
      <c r="J2039" t="e">
        <f>NA()</f>
        <v>#N/A</v>
      </c>
      <c r="K2039" t="e">
        <f>NA()</f>
        <v>#N/A</v>
      </c>
      <c r="L2039" t="e">
        <f>NA()</f>
        <v>#N/A</v>
      </c>
      <c r="M2039" t="e">
        <f>NA()</f>
        <v>#N/A</v>
      </c>
      <c r="N2039" t="e">
        <f>NA()</f>
        <v>#N/A</v>
      </c>
      <c r="O2039">
        <f t="shared" si="77"/>
        <v>1.2</v>
      </c>
    </row>
    <row r="2040" spans="1:15" x14ac:dyDescent="0.25">
      <c r="A2040" s="1">
        <v>43059</v>
      </c>
      <c r="B2040" t="e">
        <f>NA()</f>
        <v>#N/A</v>
      </c>
      <c r="C2040" t="e">
        <f>NA()</f>
        <v>#N/A</v>
      </c>
      <c r="D2040" t="e">
        <f>NA()</f>
        <v>#N/A</v>
      </c>
      <c r="E2040" t="e">
        <f>NA()</f>
        <v>#N/A</v>
      </c>
      <c r="F2040" t="e">
        <f>NA()</f>
        <v>#N/A</v>
      </c>
      <c r="G2040" t="e">
        <f>NA()</f>
        <v>#N/A</v>
      </c>
      <c r="H2040" t="e">
        <f>NA()</f>
        <v>#N/A</v>
      </c>
      <c r="I2040" t="e">
        <f>NA()</f>
        <v>#N/A</v>
      </c>
      <c r="J2040" t="e">
        <f>NA()</f>
        <v>#N/A</v>
      </c>
      <c r="K2040" t="e">
        <f>NA()</f>
        <v>#N/A</v>
      </c>
      <c r="L2040" t="e">
        <f>NA()</f>
        <v>#N/A</v>
      </c>
      <c r="M2040" t="e">
        <f>NA()</f>
        <v>#N/A</v>
      </c>
      <c r="N2040" t="e">
        <f>NA()</f>
        <v>#N/A</v>
      </c>
      <c r="O2040">
        <f t="shared" si="77"/>
        <v>1.2</v>
      </c>
    </row>
    <row r="2041" spans="1:15" x14ac:dyDescent="0.25">
      <c r="A2041" s="1">
        <v>43056</v>
      </c>
      <c r="B2041">
        <f>-0.7</f>
        <v>-0.7</v>
      </c>
      <c r="C2041">
        <f>0</f>
        <v>0</v>
      </c>
      <c r="D2041" t="e">
        <f>NA()</f>
        <v>#N/A</v>
      </c>
      <c r="E2041" t="e">
        <f>NA()</f>
        <v>#N/A</v>
      </c>
      <c r="F2041" t="e">
        <f>NA()</f>
        <v>#N/A</v>
      </c>
      <c r="G2041" t="e">
        <f>NA()</f>
        <v>#N/A</v>
      </c>
      <c r="H2041" t="e">
        <f>NA()</f>
        <v>#N/A</v>
      </c>
      <c r="I2041" t="e">
        <f>NA()</f>
        <v>#N/A</v>
      </c>
      <c r="J2041" t="e">
        <f>NA()</f>
        <v>#N/A</v>
      </c>
      <c r="K2041" t="e">
        <f>NA()</f>
        <v>#N/A</v>
      </c>
      <c r="L2041" t="e">
        <f>NA()</f>
        <v>#N/A</v>
      </c>
      <c r="M2041" t="e">
        <f>NA()</f>
        <v>#N/A</v>
      </c>
      <c r="N2041" t="e">
        <f>NA()</f>
        <v>#N/A</v>
      </c>
      <c r="O2041">
        <f t="shared" si="77"/>
        <v>1.2</v>
      </c>
    </row>
    <row r="2042" spans="1:15" x14ac:dyDescent="0.25">
      <c r="A2042" s="1">
        <v>43055</v>
      </c>
      <c r="B2042" t="e">
        <f>NA()</f>
        <v>#N/A</v>
      </c>
      <c r="C2042" t="e">
        <f>NA()</f>
        <v>#N/A</v>
      </c>
      <c r="D2042" t="e">
        <f>NA()</f>
        <v>#N/A</v>
      </c>
      <c r="E2042" t="e">
        <f>NA()</f>
        <v>#N/A</v>
      </c>
      <c r="F2042" t="e">
        <f>NA()</f>
        <v>#N/A</v>
      </c>
      <c r="G2042" t="e">
        <f>NA()</f>
        <v>#N/A</v>
      </c>
      <c r="H2042" t="e">
        <f>NA()</f>
        <v>#N/A</v>
      </c>
      <c r="I2042" t="e">
        <f>NA()</f>
        <v>#N/A</v>
      </c>
      <c r="J2042" t="e">
        <f>NA()</f>
        <v>#N/A</v>
      </c>
      <c r="K2042" t="e">
        <f>NA()</f>
        <v>#N/A</v>
      </c>
      <c r="L2042" t="e">
        <f>NA()</f>
        <v>#N/A</v>
      </c>
      <c r="M2042" t="e">
        <f>NA()</f>
        <v>#N/A</v>
      </c>
      <c r="N2042" t="e">
        <f>NA()</f>
        <v>#N/A</v>
      </c>
      <c r="O2042">
        <f t="shared" si="77"/>
        <v>1.2</v>
      </c>
    </row>
    <row r="2043" spans="1:15" x14ac:dyDescent="0.25">
      <c r="A2043" s="1">
        <v>43054</v>
      </c>
      <c r="B2043" t="e">
        <f>NA()</f>
        <v>#N/A</v>
      </c>
      <c r="C2043" t="e">
        <f>NA()</f>
        <v>#N/A</v>
      </c>
      <c r="D2043" t="e">
        <f>NA()</f>
        <v>#N/A</v>
      </c>
      <c r="E2043" t="e">
        <f>NA()</f>
        <v>#N/A</v>
      </c>
      <c r="F2043" t="e">
        <f>NA()</f>
        <v>#N/A</v>
      </c>
      <c r="G2043" t="e">
        <f>NA()</f>
        <v>#N/A</v>
      </c>
      <c r="H2043" t="e">
        <f>NA()</f>
        <v>#N/A</v>
      </c>
      <c r="I2043" t="e">
        <f>NA()</f>
        <v>#N/A</v>
      </c>
      <c r="J2043" t="e">
        <f>NA()</f>
        <v>#N/A</v>
      </c>
      <c r="K2043" t="e">
        <f>NA()</f>
        <v>#N/A</v>
      </c>
      <c r="L2043" t="e">
        <f>NA()</f>
        <v>#N/A</v>
      </c>
      <c r="M2043" t="e">
        <f>NA()</f>
        <v>#N/A</v>
      </c>
      <c r="N2043" t="e">
        <f>NA()</f>
        <v>#N/A</v>
      </c>
      <c r="O2043">
        <f t="shared" si="77"/>
        <v>1.2</v>
      </c>
    </row>
    <row r="2044" spans="1:15" x14ac:dyDescent="0.25">
      <c r="A2044" s="1">
        <v>43053</v>
      </c>
      <c r="B2044" t="e">
        <f>NA()</f>
        <v>#N/A</v>
      </c>
      <c r="C2044" t="e">
        <f>NA()</f>
        <v>#N/A</v>
      </c>
      <c r="D2044" t="e">
        <f>NA()</f>
        <v>#N/A</v>
      </c>
      <c r="E2044" t="e">
        <f>NA()</f>
        <v>#N/A</v>
      </c>
      <c r="F2044" t="e">
        <f>NA()</f>
        <v>#N/A</v>
      </c>
      <c r="G2044" t="e">
        <f>NA()</f>
        <v>#N/A</v>
      </c>
      <c r="H2044" t="e">
        <f>NA()</f>
        <v>#N/A</v>
      </c>
      <c r="I2044" t="e">
        <f>NA()</f>
        <v>#N/A</v>
      </c>
      <c r="J2044" t="e">
        <f>NA()</f>
        <v>#N/A</v>
      </c>
      <c r="K2044" t="e">
        <f>NA()</f>
        <v>#N/A</v>
      </c>
      <c r="L2044" t="e">
        <f>NA()</f>
        <v>#N/A</v>
      </c>
      <c r="M2044" t="e">
        <f>NA()</f>
        <v>#N/A</v>
      </c>
      <c r="N2044" t="e">
        <f>NA()</f>
        <v>#N/A</v>
      </c>
      <c r="O2044">
        <f t="shared" si="77"/>
        <v>1.2</v>
      </c>
    </row>
    <row r="2045" spans="1:15" x14ac:dyDescent="0.25">
      <c r="A2045" s="1">
        <v>43052</v>
      </c>
      <c r="B2045" t="e">
        <f>NA()</f>
        <v>#N/A</v>
      </c>
      <c r="C2045" t="e">
        <f>NA()</f>
        <v>#N/A</v>
      </c>
      <c r="D2045" t="e">
        <f>NA()</f>
        <v>#N/A</v>
      </c>
      <c r="E2045" t="e">
        <f>NA()</f>
        <v>#N/A</v>
      </c>
      <c r="F2045" t="e">
        <f>NA()</f>
        <v>#N/A</v>
      </c>
      <c r="G2045" t="e">
        <f>NA()</f>
        <v>#N/A</v>
      </c>
      <c r="H2045" t="e">
        <f>NA()</f>
        <v>#N/A</v>
      </c>
      <c r="I2045" t="e">
        <f>NA()</f>
        <v>#N/A</v>
      </c>
      <c r="J2045" t="e">
        <f>NA()</f>
        <v>#N/A</v>
      </c>
      <c r="K2045" t="e">
        <f>NA()</f>
        <v>#N/A</v>
      </c>
      <c r="L2045" t="e">
        <f>NA()</f>
        <v>#N/A</v>
      </c>
      <c r="M2045" t="e">
        <f>NA()</f>
        <v>#N/A</v>
      </c>
      <c r="N2045" t="e">
        <f>NA()</f>
        <v>#N/A</v>
      </c>
      <c r="O2045">
        <f t="shared" si="77"/>
        <v>1.2</v>
      </c>
    </row>
    <row r="2046" spans="1:15" x14ac:dyDescent="0.25">
      <c r="A2046" s="1">
        <v>43049</v>
      </c>
      <c r="B2046">
        <f>-0.7</f>
        <v>-0.7</v>
      </c>
      <c r="C2046">
        <f>0</f>
        <v>0</v>
      </c>
      <c r="D2046" t="e">
        <f>NA()</f>
        <v>#N/A</v>
      </c>
      <c r="E2046" t="e">
        <f>NA()</f>
        <v>#N/A</v>
      </c>
      <c r="F2046" t="e">
        <f>NA()</f>
        <v>#N/A</v>
      </c>
      <c r="G2046" t="e">
        <f>NA()</f>
        <v>#N/A</v>
      </c>
      <c r="H2046" t="e">
        <f>NA()</f>
        <v>#N/A</v>
      </c>
      <c r="I2046" t="e">
        <f>NA()</f>
        <v>#N/A</v>
      </c>
      <c r="J2046" t="e">
        <f>NA()</f>
        <v>#N/A</v>
      </c>
      <c r="K2046" t="e">
        <f>NA()</f>
        <v>#N/A</v>
      </c>
      <c r="L2046" t="e">
        <f>NA()</f>
        <v>#N/A</v>
      </c>
      <c r="M2046" t="e">
        <f>NA()</f>
        <v>#N/A</v>
      </c>
      <c r="N2046" t="e">
        <f>NA()</f>
        <v>#N/A</v>
      </c>
      <c r="O2046">
        <f t="shared" si="77"/>
        <v>1.2</v>
      </c>
    </row>
    <row r="2047" spans="1:15" x14ac:dyDescent="0.25">
      <c r="A2047" s="1">
        <v>43048</v>
      </c>
      <c r="B2047" t="e">
        <f>NA()</f>
        <v>#N/A</v>
      </c>
      <c r="C2047" t="e">
        <f>NA()</f>
        <v>#N/A</v>
      </c>
      <c r="D2047" t="e">
        <f>NA()</f>
        <v>#N/A</v>
      </c>
      <c r="E2047" t="e">
        <f>NA()</f>
        <v>#N/A</v>
      </c>
      <c r="F2047" t="e">
        <f>NA()</f>
        <v>#N/A</v>
      </c>
      <c r="G2047" t="e">
        <f>NA()</f>
        <v>#N/A</v>
      </c>
      <c r="H2047" t="e">
        <f>NA()</f>
        <v>#N/A</v>
      </c>
      <c r="I2047" t="e">
        <f>NA()</f>
        <v>#N/A</v>
      </c>
      <c r="J2047" t="e">
        <f>NA()</f>
        <v>#N/A</v>
      </c>
      <c r="K2047" t="e">
        <f>NA()</f>
        <v>#N/A</v>
      </c>
      <c r="L2047" t="e">
        <f>NA()</f>
        <v>#N/A</v>
      </c>
      <c r="M2047" t="e">
        <f>NA()</f>
        <v>#N/A</v>
      </c>
      <c r="N2047" t="e">
        <f>NA()</f>
        <v>#N/A</v>
      </c>
      <c r="O2047">
        <f t="shared" si="77"/>
        <v>1.2</v>
      </c>
    </row>
    <row r="2048" spans="1:15" x14ac:dyDescent="0.25">
      <c r="A2048" s="1">
        <v>43047</v>
      </c>
      <c r="B2048" t="e">
        <f>NA()</f>
        <v>#N/A</v>
      </c>
      <c r="C2048" t="e">
        <f>NA()</f>
        <v>#N/A</v>
      </c>
      <c r="D2048" t="e">
        <f>NA()</f>
        <v>#N/A</v>
      </c>
      <c r="E2048" t="e">
        <f>NA()</f>
        <v>#N/A</v>
      </c>
      <c r="F2048" t="e">
        <f>NA()</f>
        <v>#N/A</v>
      </c>
      <c r="G2048" t="e">
        <f>NA()</f>
        <v>#N/A</v>
      </c>
      <c r="H2048" t="e">
        <f>NA()</f>
        <v>#N/A</v>
      </c>
      <c r="I2048" t="e">
        <f>NA()</f>
        <v>#N/A</v>
      </c>
      <c r="J2048" t="e">
        <f>NA()</f>
        <v>#N/A</v>
      </c>
      <c r="K2048" t="e">
        <f>NA()</f>
        <v>#N/A</v>
      </c>
      <c r="L2048" t="e">
        <f>NA()</f>
        <v>#N/A</v>
      </c>
      <c r="M2048" t="e">
        <f>NA()</f>
        <v>#N/A</v>
      </c>
      <c r="N2048" t="e">
        <f>NA()</f>
        <v>#N/A</v>
      </c>
      <c r="O2048">
        <f t="shared" si="77"/>
        <v>1.2</v>
      </c>
    </row>
    <row r="2049" spans="1:15" x14ac:dyDescent="0.25">
      <c r="A2049" s="1">
        <v>43046</v>
      </c>
      <c r="B2049" t="e">
        <f>NA()</f>
        <v>#N/A</v>
      </c>
      <c r="C2049" t="e">
        <f>NA()</f>
        <v>#N/A</v>
      </c>
      <c r="D2049" t="e">
        <f>NA()</f>
        <v>#N/A</v>
      </c>
      <c r="E2049" t="e">
        <f>NA()</f>
        <v>#N/A</v>
      </c>
      <c r="F2049" t="e">
        <f>NA()</f>
        <v>#N/A</v>
      </c>
      <c r="G2049" t="e">
        <f>NA()</f>
        <v>#N/A</v>
      </c>
      <c r="H2049" t="e">
        <f>NA()</f>
        <v>#N/A</v>
      </c>
      <c r="I2049" t="e">
        <f>NA()</f>
        <v>#N/A</v>
      </c>
      <c r="J2049" t="e">
        <f>NA()</f>
        <v>#N/A</v>
      </c>
      <c r="K2049" t="e">
        <f>NA()</f>
        <v>#N/A</v>
      </c>
      <c r="L2049" t="e">
        <f>NA()</f>
        <v>#N/A</v>
      </c>
      <c r="M2049" t="e">
        <f>NA()</f>
        <v>#N/A</v>
      </c>
      <c r="N2049" t="e">
        <f>NA()</f>
        <v>#N/A</v>
      </c>
      <c r="O2049">
        <f t="shared" si="77"/>
        <v>1.2</v>
      </c>
    </row>
    <row r="2050" spans="1:15" x14ac:dyDescent="0.25">
      <c r="A2050" s="1">
        <v>43045</v>
      </c>
      <c r="B2050" t="e">
        <f>NA()</f>
        <v>#N/A</v>
      </c>
      <c r="C2050" t="e">
        <f>NA()</f>
        <v>#N/A</v>
      </c>
      <c r="D2050" t="e">
        <f>NA()</f>
        <v>#N/A</v>
      </c>
      <c r="E2050" t="e">
        <f>NA()</f>
        <v>#N/A</v>
      </c>
      <c r="F2050" t="e">
        <f>NA()</f>
        <v>#N/A</v>
      </c>
      <c r="G2050" t="e">
        <f>NA()</f>
        <v>#N/A</v>
      </c>
      <c r="H2050" t="e">
        <f>NA()</f>
        <v>#N/A</v>
      </c>
      <c r="I2050" t="e">
        <f>NA()</f>
        <v>#N/A</v>
      </c>
      <c r="J2050" t="e">
        <f>NA()</f>
        <v>#N/A</v>
      </c>
      <c r="K2050" t="e">
        <f>NA()</f>
        <v>#N/A</v>
      </c>
      <c r="L2050" t="e">
        <f>NA()</f>
        <v>#N/A</v>
      </c>
      <c r="M2050" t="e">
        <f>NA()</f>
        <v>#N/A</v>
      </c>
      <c r="N2050" t="e">
        <f>NA()</f>
        <v>#N/A</v>
      </c>
      <c r="O2050">
        <f t="shared" si="77"/>
        <v>1.2</v>
      </c>
    </row>
    <row r="2051" spans="1:15" x14ac:dyDescent="0.25">
      <c r="A2051" s="1">
        <v>43042</v>
      </c>
      <c r="B2051">
        <f>-0.7</f>
        <v>-0.7</v>
      </c>
      <c r="C2051">
        <f>0</f>
        <v>0</v>
      </c>
      <c r="D2051" t="e">
        <f>NA()</f>
        <v>#N/A</v>
      </c>
      <c r="E2051" t="e">
        <f>NA()</f>
        <v>#N/A</v>
      </c>
      <c r="F2051" t="e">
        <f>NA()</f>
        <v>#N/A</v>
      </c>
      <c r="G2051" t="e">
        <f>NA()</f>
        <v>#N/A</v>
      </c>
      <c r="H2051" t="e">
        <f>NA()</f>
        <v>#N/A</v>
      </c>
      <c r="I2051" t="e">
        <f>NA()</f>
        <v>#N/A</v>
      </c>
      <c r="J2051" t="e">
        <f>NA()</f>
        <v>#N/A</v>
      </c>
      <c r="K2051" t="e">
        <f>NA()</f>
        <v>#N/A</v>
      </c>
      <c r="L2051" t="e">
        <f>NA()</f>
        <v>#N/A</v>
      </c>
      <c r="M2051" t="e">
        <f>NA()</f>
        <v>#N/A</v>
      </c>
      <c r="N2051" t="e">
        <f>NA()</f>
        <v>#N/A</v>
      </c>
      <c r="O2051">
        <f t="shared" si="77"/>
        <v>1.2</v>
      </c>
    </row>
    <row r="2052" spans="1:15" x14ac:dyDescent="0.25">
      <c r="A2052" s="1">
        <v>43041</v>
      </c>
      <c r="B2052" t="e">
        <f>NA()</f>
        <v>#N/A</v>
      </c>
      <c r="C2052" t="e">
        <f>NA()</f>
        <v>#N/A</v>
      </c>
      <c r="D2052" t="e">
        <f>NA()</f>
        <v>#N/A</v>
      </c>
      <c r="E2052" t="e">
        <f>NA()</f>
        <v>#N/A</v>
      </c>
      <c r="F2052" t="e">
        <f>NA()</f>
        <v>#N/A</v>
      </c>
      <c r="G2052" t="e">
        <f>NA()</f>
        <v>#N/A</v>
      </c>
      <c r="H2052" t="e">
        <f>NA()</f>
        <v>#N/A</v>
      </c>
      <c r="I2052" t="e">
        <f>NA()</f>
        <v>#N/A</v>
      </c>
      <c r="J2052" t="e">
        <f>NA()</f>
        <v>#N/A</v>
      </c>
      <c r="K2052" t="e">
        <f>NA()</f>
        <v>#N/A</v>
      </c>
      <c r="L2052" t="e">
        <f>NA()</f>
        <v>#N/A</v>
      </c>
      <c r="M2052" t="e">
        <f>NA()</f>
        <v>#N/A</v>
      </c>
      <c r="N2052" t="e">
        <f>NA()</f>
        <v>#N/A</v>
      </c>
      <c r="O2052">
        <f t="shared" si="77"/>
        <v>1.2</v>
      </c>
    </row>
    <row r="2053" spans="1:15" x14ac:dyDescent="0.25">
      <c r="A2053" s="1">
        <v>43040</v>
      </c>
      <c r="B2053" t="e">
        <f>NA()</f>
        <v>#N/A</v>
      </c>
      <c r="C2053" t="e">
        <f>NA()</f>
        <v>#N/A</v>
      </c>
      <c r="D2053" t="e">
        <f>NA()</f>
        <v>#N/A</v>
      </c>
      <c r="E2053" t="e">
        <f>NA()</f>
        <v>#N/A</v>
      </c>
      <c r="F2053" t="e">
        <f>NA()</f>
        <v>#N/A</v>
      </c>
      <c r="G2053" t="e">
        <f>NA()</f>
        <v>#N/A</v>
      </c>
      <c r="H2053" t="e">
        <f>NA()</f>
        <v>#N/A</v>
      </c>
      <c r="I2053" t="e">
        <f>NA()</f>
        <v>#N/A</v>
      </c>
      <c r="J2053" t="e">
        <f>NA()</f>
        <v>#N/A</v>
      </c>
      <c r="K2053" t="e">
        <f>NA()</f>
        <v>#N/A</v>
      </c>
      <c r="L2053" t="e">
        <f>NA()</f>
        <v>#N/A</v>
      </c>
      <c r="M2053" t="e">
        <f>NA()</f>
        <v>#N/A</v>
      </c>
      <c r="N2053" t="e">
        <f>NA()</f>
        <v>#N/A</v>
      </c>
      <c r="O2053">
        <f t="shared" si="77"/>
        <v>1.2</v>
      </c>
    </row>
    <row r="2054" spans="1:15" x14ac:dyDescent="0.25">
      <c r="A2054" s="1">
        <v>43039</v>
      </c>
      <c r="B2054" t="e">
        <f>NA()</f>
        <v>#N/A</v>
      </c>
      <c r="C2054" t="e">
        <f>NA()</f>
        <v>#N/A</v>
      </c>
      <c r="D2054">
        <f>0</f>
        <v>0</v>
      </c>
      <c r="E2054">
        <f>0.4</f>
        <v>0.4</v>
      </c>
      <c r="F2054">
        <f>6408</f>
        <v>6408</v>
      </c>
      <c r="G2054">
        <f>62.7</f>
        <v>62.7</v>
      </c>
      <c r="H2054">
        <f>4.5</f>
        <v>4.5</v>
      </c>
      <c r="I2054">
        <f>246.7</f>
        <v>246.7</v>
      </c>
      <c r="J2054">
        <f>2</f>
        <v>2</v>
      </c>
      <c r="K2054">
        <f>58.6</f>
        <v>58.6</v>
      </c>
      <c r="L2054">
        <f>1.2</f>
        <v>1.2</v>
      </c>
      <c r="M2054" t="e">
        <f>NA()</f>
        <v>#N/A</v>
      </c>
      <c r="N2054">
        <f>4.2</f>
        <v>4.2</v>
      </c>
      <c r="O2054">
        <f>1.1</f>
        <v>1.1000000000000001</v>
      </c>
    </row>
    <row r="2055" spans="1:15" x14ac:dyDescent="0.25">
      <c r="A2055" s="1">
        <v>43038</v>
      </c>
      <c r="B2055" t="e">
        <f>NA()</f>
        <v>#N/A</v>
      </c>
      <c r="C2055" t="e">
        <f>NA()</f>
        <v>#N/A</v>
      </c>
      <c r="D2055" t="e">
        <f>NA()</f>
        <v>#N/A</v>
      </c>
      <c r="E2055" t="e">
        <f>NA()</f>
        <v>#N/A</v>
      </c>
      <c r="F2055" t="e">
        <f>NA()</f>
        <v>#N/A</v>
      </c>
      <c r="G2055" t="e">
        <f>NA()</f>
        <v>#N/A</v>
      </c>
      <c r="H2055" t="e">
        <f>NA()</f>
        <v>#N/A</v>
      </c>
      <c r="I2055" t="e">
        <f>NA()</f>
        <v>#N/A</v>
      </c>
      <c r="J2055" t="e">
        <f>NA()</f>
        <v>#N/A</v>
      </c>
      <c r="K2055" t="e">
        <f>NA()</f>
        <v>#N/A</v>
      </c>
      <c r="L2055" t="e">
        <f>NA()</f>
        <v>#N/A</v>
      </c>
      <c r="M2055" t="e">
        <f>NA()</f>
        <v>#N/A</v>
      </c>
      <c r="N2055" t="e">
        <f>NA()</f>
        <v>#N/A</v>
      </c>
      <c r="O2055">
        <f t="shared" ref="O2055:O2074" si="78">1.2</f>
        <v>1.2</v>
      </c>
    </row>
    <row r="2056" spans="1:15" x14ac:dyDescent="0.25">
      <c r="A2056" s="1">
        <v>43035</v>
      </c>
      <c r="B2056">
        <f>-0.7</f>
        <v>-0.7</v>
      </c>
      <c r="C2056">
        <f>0</f>
        <v>0</v>
      </c>
      <c r="D2056" t="e">
        <f>NA()</f>
        <v>#N/A</v>
      </c>
      <c r="E2056" t="e">
        <f>NA()</f>
        <v>#N/A</v>
      </c>
      <c r="F2056" t="e">
        <f>NA()</f>
        <v>#N/A</v>
      </c>
      <c r="G2056" t="e">
        <f>NA()</f>
        <v>#N/A</v>
      </c>
      <c r="H2056" t="e">
        <f>NA()</f>
        <v>#N/A</v>
      </c>
      <c r="I2056" t="e">
        <f>NA()</f>
        <v>#N/A</v>
      </c>
      <c r="J2056" t="e">
        <f>NA()</f>
        <v>#N/A</v>
      </c>
      <c r="K2056" t="e">
        <f>NA()</f>
        <v>#N/A</v>
      </c>
      <c r="L2056" t="e">
        <f>NA()</f>
        <v>#N/A</v>
      </c>
      <c r="M2056" t="e">
        <f>NA()</f>
        <v>#N/A</v>
      </c>
      <c r="N2056" t="e">
        <f>NA()</f>
        <v>#N/A</v>
      </c>
      <c r="O2056">
        <f t="shared" si="78"/>
        <v>1.2</v>
      </c>
    </row>
    <row r="2057" spans="1:15" x14ac:dyDescent="0.25">
      <c r="A2057" s="1">
        <v>43034</v>
      </c>
      <c r="B2057" t="e">
        <f>NA()</f>
        <v>#N/A</v>
      </c>
      <c r="C2057" t="e">
        <f>NA()</f>
        <v>#N/A</v>
      </c>
      <c r="D2057" t="e">
        <f>NA()</f>
        <v>#N/A</v>
      </c>
      <c r="E2057" t="e">
        <f>NA()</f>
        <v>#N/A</v>
      </c>
      <c r="F2057" t="e">
        <f>NA()</f>
        <v>#N/A</v>
      </c>
      <c r="G2057" t="e">
        <f>NA()</f>
        <v>#N/A</v>
      </c>
      <c r="H2057" t="e">
        <f>NA()</f>
        <v>#N/A</v>
      </c>
      <c r="I2057" t="e">
        <f>NA()</f>
        <v>#N/A</v>
      </c>
      <c r="J2057" t="e">
        <f>NA()</f>
        <v>#N/A</v>
      </c>
      <c r="K2057" t="e">
        <f>NA()</f>
        <v>#N/A</v>
      </c>
      <c r="L2057" t="e">
        <f>NA()</f>
        <v>#N/A</v>
      </c>
      <c r="M2057" t="e">
        <f>NA()</f>
        <v>#N/A</v>
      </c>
      <c r="N2057" t="e">
        <f>NA()</f>
        <v>#N/A</v>
      </c>
      <c r="O2057">
        <f t="shared" si="78"/>
        <v>1.2</v>
      </c>
    </row>
    <row r="2058" spans="1:15" x14ac:dyDescent="0.25">
      <c r="A2058" s="1">
        <v>43033</v>
      </c>
      <c r="B2058" t="e">
        <f>NA()</f>
        <v>#N/A</v>
      </c>
      <c r="C2058" t="e">
        <f>NA()</f>
        <v>#N/A</v>
      </c>
      <c r="D2058" t="e">
        <f>NA()</f>
        <v>#N/A</v>
      </c>
      <c r="E2058" t="e">
        <f>NA()</f>
        <v>#N/A</v>
      </c>
      <c r="F2058" t="e">
        <f>NA()</f>
        <v>#N/A</v>
      </c>
      <c r="G2058" t="e">
        <f>NA()</f>
        <v>#N/A</v>
      </c>
      <c r="H2058" t="e">
        <f>NA()</f>
        <v>#N/A</v>
      </c>
      <c r="I2058" t="e">
        <f>NA()</f>
        <v>#N/A</v>
      </c>
      <c r="J2058" t="e">
        <f>NA()</f>
        <v>#N/A</v>
      </c>
      <c r="K2058" t="e">
        <f>NA()</f>
        <v>#N/A</v>
      </c>
      <c r="L2058" t="e">
        <f>NA()</f>
        <v>#N/A</v>
      </c>
      <c r="M2058" t="e">
        <f>NA()</f>
        <v>#N/A</v>
      </c>
      <c r="N2058" t="e">
        <f>NA()</f>
        <v>#N/A</v>
      </c>
      <c r="O2058">
        <f t="shared" si="78"/>
        <v>1.2</v>
      </c>
    </row>
    <row r="2059" spans="1:15" x14ac:dyDescent="0.25">
      <c r="A2059" s="1">
        <v>43032</v>
      </c>
      <c r="B2059" t="e">
        <f>NA()</f>
        <v>#N/A</v>
      </c>
      <c r="C2059" t="e">
        <f>NA()</f>
        <v>#N/A</v>
      </c>
      <c r="D2059" t="e">
        <f>NA()</f>
        <v>#N/A</v>
      </c>
      <c r="E2059" t="e">
        <f>NA()</f>
        <v>#N/A</v>
      </c>
      <c r="F2059" t="e">
        <f>NA()</f>
        <v>#N/A</v>
      </c>
      <c r="G2059" t="e">
        <f>NA()</f>
        <v>#N/A</v>
      </c>
      <c r="H2059" t="e">
        <f>NA()</f>
        <v>#N/A</v>
      </c>
      <c r="I2059" t="e">
        <f>NA()</f>
        <v>#N/A</v>
      </c>
      <c r="J2059" t="e">
        <f>NA()</f>
        <v>#N/A</v>
      </c>
      <c r="K2059" t="e">
        <f>NA()</f>
        <v>#N/A</v>
      </c>
      <c r="L2059" t="e">
        <f>NA()</f>
        <v>#N/A</v>
      </c>
      <c r="M2059" t="e">
        <f>NA()</f>
        <v>#N/A</v>
      </c>
      <c r="N2059" t="e">
        <f>NA()</f>
        <v>#N/A</v>
      </c>
      <c r="O2059">
        <f t="shared" si="78"/>
        <v>1.2</v>
      </c>
    </row>
    <row r="2060" spans="1:15" x14ac:dyDescent="0.25">
      <c r="A2060" s="1">
        <v>43031</v>
      </c>
      <c r="B2060" t="e">
        <f>NA()</f>
        <v>#N/A</v>
      </c>
      <c r="C2060" t="e">
        <f>NA()</f>
        <v>#N/A</v>
      </c>
      <c r="D2060" t="e">
        <f>NA()</f>
        <v>#N/A</v>
      </c>
      <c r="E2060" t="e">
        <f>NA()</f>
        <v>#N/A</v>
      </c>
      <c r="F2060" t="e">
        <f>NA()</f>
        <v>#N/A</v>
      </c>
      <c r="G2060" t="e">
        <f>NA()</f>
        <v>#N/A</v>
      </c>
      <c r="H2060" t="e">
        <f>NA()</f>
        <v>#N/A</v>
      </c>
      <c r="I2060" t="e">
        <f>NA()</f>
        <v>#N/A</v>
      </c>
      <c r="J2060" t="e">
        <f>NA()</f>
        <v>#N/A</v>
      </c>
      <c r="K2060" t="e">
        <f>NA()</f>
        <v>#N/A</v>
      </c>
      <c r="L2060" t="e">
        <f>NA()</f>
        <v>#N/A</v>
      </c>
      <c r="M2060" t="e">
        <f>NA()</f>
        <v>#N/A</v>
      </c>
      <c r="N2060" t="e">
        <f>NA()</f>
        <v>#N/A</v>
      </c>
      <c r="O2060">
        <f t="shared" si="78"/>
        <v>1.2</v>
      </c>
    </row>
    <row r="2061" spans="1:15" x14ac:dyDescent="0.25">
      <c r="A2061" s="1">
        <v>43028</v>
      </c>
      <c r="B2061">
        <f>-0.7</f>
        <v>-0.7</v>
      </c>
      <c r="C2061">
        <f>0</f>
        <v>0</v>
      </c>
      <c r="D2061" t="e">
        <f>NA()</f>
        <v>#N/A</v>
      </c>
      <c r="E2061" t="e">
        <f>NA()</f>
        <v>#N/A</v>
      </c>
      <c r="F2061" t="e">
        <f>NA()</f>
        <v>#N/A</v>
      </c>
      <c r="G2061" t="e">
        <f>NA()</f>
        <v>#N/A</v>
      </c>
      <c r="H2061" t="e">
        <f>NA()</f>
        <v>#N/A</v>
      </c>
      <c r="I2061" t="e">
        <f>NA()</f>
        <v>#N/A</v>
      </c>
      <c r="J2061" t="e">
        <f>NA()</f>
        <v>#N/A</v>
      </c>
      <c r="K2061" t="e">
        <f>NA()</f>
        <v>#N/A</v>
      </c>
      <c r="L2061" t="e">
        <f>NA()</f>
        <v>#N/A</v>
      </c>
      <c r="M2061" t="e">
        <f>NA()</f>
        <v>#N/A</v>
      </c>
      <c r="N2061" t="e">
        <f>NA()</f>
        <v>#N/A</v>
      </c>
      <c r="O2061">
        <f t="shared" si="78"/>
        <v>1.2</v>
      </c>
    </row>
    <row r="2062" spans="1:15" x14ac:dyDescent="0.25">
      <c r="A2062" s="1">
        <v>43027</v>
      </c>
      <c r="B2062" t="e">
        <f>NA()</f>
        <v>#N/A</v>
      </c>
      <c r="C2062" t="e">
        <f>NA()</f>
        <v>#N/A</v>
      </c>
      <c r="D2062" t="e">
        <f>NA()</f>
        <v>#N/A</v>
      </c>
      <c r="E2062" t="e">
        <f>NA()</f>
        <v>#N/A</v>
      </c>
      <c r="F2062" t="e">
        <f>NA()</f>
        <v>#N/A</v>
      </c>
      <c r="G2062" t="e">
        <f>NA()</f>
        <v>#N/A</v>
      </c>
      <c r="H2062" t="e">
        <f>NA()</f>
        <v>#N/A</v>
      </c>
      <c r="I2062" t="e">
        <f>NA()</f>
        <v>#N/A</v>
      </c>
      <c r="J2062" t="e">
        <f>NA()</f>
        <v>#N/A</v>
      </c>
      <c r="K2062" t="e">
        <f>NA()</f>
        <v>#N/A</v>
      </c>
      <c r="L2062" t="e">
        <f>NA()</f>
        <v>#N/A</v>
      </c>
      <c r="M2062" t="e">
        <f>NA()</f>
        <v>#N/A</v>
      </c>
      <c r="N2062" t="e">
        <f>NA()</f>
        <v>#N/A</v>
      </c>
      <c r="O2062">
        <f t="shared" si="78"/>
        <v>1.2</v>
      </c>
    </row>
    <row r="2063" spans="1:15" x14ac:dyDescent="0.25">
      <c r="A2063" s="1">
        <v>43026</v>
      </c>
      <c r="B2063" t="e">
        <f>NA()</f>
        <v>#N/A</v>
      </c>
      <c r="C2063" t="e">
        <f>NA()</f>
        <v>#N/A</v>
      </c>
      <c r="D2063" t="e">
        <f>NA()</f>
        <v>#N/A</v>
      </c>
      <c r="E2063" t="e">
        <f>NA()</f>
        <v>#N/A</v>
      </c>
      <c r="F2063" t="e">
        <f>NA()</f>
        <v>#N/A</v>
      </c>
      <c r="G2063" t="e">
        <f>NA()</f>
        <v>#N/A</v>
      </c>
      <c r="H2063" t="e">
        <f>NA()</f>
        <v>#N/A</v>
      </c>
      <c r="I2063" t="e">
        <f>NA()</f>
        <v>#N/A</v>
      </c>
      <c r="J2063" t="e">
        <f>NA()</f>
        <v>#N/A</v>
      </c>
      <c r="K2063" t="e">
        <f>NA()</f>
        <v>#N/A</v>
      </c>
      <c r="L2063" t="e">
        <f>NA()</f>
        <v>#N/A</v>
      </c>
      <c r="M2063" t="e">
        <f>NA()</f>
        <v>#N/A</v>
      </c>
      <c r="N2063" t="e">
        <f>NA()</f>
        <v>#N/A</v>
      </c>
      <c r="O2063">
        <f t="shared" si="78"/>
        <v>1.2</v>
      </c>
    </row>
    <row r="2064" spans="1:15" x14ac:dyDescent="0.25">
      <c r="A2064" s="1">
        <v>43025</v>
      </c>
      <c r="B2064" t="e">
        <f>NA()</f>
        <v>#N/A</v>
      </c>
      <c r="C2064" t="e">
        <f>NA()</f>
        <v>#N/A</v>
      </c>
      <c r="D2064" t="e">
        <f>NA()</f>
        <v>#N/A</v>
      </c>
      <c r="E2064" t="e">
        <f>NA()</f>
        <v>#N/A</v>
      </c>
      <c r="F2064" t="e">
        <f>NA()</f>
        <v>#N/A</v>
      </c>
      <c r="G2064" t="e">
        <f>NA()</f>
        <v>#N/A</v>
      </c>
      <c r="H2064" t="e">
        <f>NA()</f>
        <v>#N/A</v>
      </c>
      <c r="I2064" t="e">
        <f>NA()</f>
        <v>#N/A</v>
      </c>
      <c r="J2064" t="e">
        <f>NA()</f>
        <v>#N/A</v>
      </c>
      <c r="K2064" t="e">
        <f>NA()</f>
        <v>#N/A</v>
      </c>
      <c r="L2064" t="e">
        <f>NA()</f>
        <v>#N/A</v>
      </c>
      <c r="M2064" t="e">
        <f>NA()</f>
        <v>#N/A</v>
      </c>
      <c r="N2064" t="e">
        <f>NA()</f>
        <v>#N/A</v>
      </c>
      <c r="O2064">
        <f t="shared" si="78"/>
        <v>1.2</v>
      </c>
    </row>
    <row r="2065" spans="1:15" x14ac:dyDescent="0.25">
      <c r="A2065" s="1">
        <v>43024</v>
      </c>
      <c r="B2065" t="e">
        <f>NA()</f>
        <v>#N/A</v>
      </c>
      <c r="C2065" t="e">
        <f>NA()</f>
        <v>#N/A</v>
      </c>
      <c r="D2065" t="e">
        <f>NA()</f>
        <v>#N/A</v>
      </c>
      <c r="E2065" t="e">
        <f>NA()</f>
        <v>#N/A</v>
      </c>
      <c r="F2065" t="e">
        <f>NA()</f>
        <v>#N/A</v>
      </c>
      <c r="G2065" t="e">
        <f>NA()</f>
        <v>#N/A</v>
      </c>
      <c r="H2065" t="e">
        <f>NA()</f>
        <v>#N/A</v>
      </c>
      <c r="I2065" t="e">
        <f>NA()</f>
        <v>#N/A</v>
      </c>
      <c r="J2065" t="e">
        <f>NA()</f>
        <v>#N/A</v>
      </c>
      <c r="K2065" t="e">
        <f>NA()</f>
        <v>#N/A</v>
      </c>
      <c r="L2065" t="e">
        <f>NA()</f>
        <v>#N/A</v>
      </c>
      <c r="M2065" t="e">
        <f>NA()</f>
        <v>#N/A</v>
      </c>
      <c r="N2065" t="e">
        <f>NA()</f>
        <v>#N/A</v>
      </c>
      <c r="O2065">
        <f t="shared" si="78"/>
        <v>1.2</v>
      </c>
    </row>
    <row r="2066" spans="1:15" x14ac:dyDescent="0.25">
      <c r="A2066" s="1">
        <v>43021</v>
      </c>
      <c r="B2066">
        <f>-0.7</f>
        <v>-0.7</v>
      </c>
      <c r="C2066">
        <f>0</f>
        <v>0</v>
      </c>
      <c r="D2066" t="e">
        <f>NA()</f>
        <v>#N/A</v>
      </c>
      <c r="E2066" t="e">
        <f>NA()</f>
        <v>#N/A</v>
      </c>
      <c r="F2066" t="e">
        <f>NA()</f>
        <v>#N/A</v>
      </c>
      <c r="G2066" t="e">
        <f>NA()</f>
        <v>#N/A</v>
      </c>
      <c r="H2066" t="e">
        <f>NA()</f>
        <v>#N/A</v>
      </c>
      <c r="I2066" t="e">
        <f>NA()</f>
        <v>#N/A</v>
      </c>
      <c r="J2066" t="e">
        <f>NA()</f>
        <v>#N/A</v>
      </c>
      <c r="K2066" t="e">
        <f>NA()</f>
        <v>#N/A</v>
      </c>
      <c r="L2066" t="e">
        <f>NA()</f>
        <v>#N/A</v>
      </c>
      <c r="M2066" t="e">
        <f>NA()</f>
        <v>#N/A</v>
      </c>
      <c r="N2066" t="e">
        <f>NA()</f>
        <v>#N/A</v>
      </c>
      <c r="O2066">
        <f t="shared" si="78"/>
        <v>1.2</v>
      </c>
    </row>
    <row r="2067" spans="1:15" x14ac:dyDescent="0.25">
      <c r="A2067" s="1">
        <v>43020</v>
      </c>
      <c r="B2067" t="e">
        <f>NA()</f>
        <v>#N/A</v>
      </c>
      <c r="C2067" t="e">
        <f>NA()</f>
        <v>#N/A</v>
      </c>
      <c r="D2067" t="e">
        <f>NA()</f>
        <v>#N/A</v>
      </c>
      <c r="E2067" t="e">
        <f>NA()</f>
        <v>#N/A</v>
      </c>
      <c r="F2067" t="e">
        <f>NA()</f>
        <v>#N/A</v>
      </c>
      <c r="G2067" t="e">
        <f>NA()</f>
        <v>#N/A</v>
      </c>
      <c r="H2067" t="e">
        <f>NA()</f>
        <v>#N/A</v>
      </c>
      <c r="I2067" t="e">
        <f>NA()</f>
        <v>#N/A</v>
      </c>
      <c r="J2067" t="e">
        <f>NA()</f>
        <v>#N/A</v>
      </c>
      <c r="K2067" t="e">
        <f>NA()</f>
        <v>#N/A</v>
      </c>
      <c r="L2067" t="e">
        <f>NA()</f>
        <v>#N/A</v>
      </c>
      <c r="M2067" t="e">
        <f>NA()</f>
        <v>#N/A</v>
      </c>
      <c r="N2067" t="e">
        <f>NA()</f>
        <v>#N/A</v>
      </c>
      <c r="O2067">
        <f t="shared" si="78"/>
        <v>1.2</v>
      </c>
    </row>
    <row r="2068" spans="1:15" x14ac:dyDescent="0.25">
      <c r="A2068" s="1">
        <v>43019</v>
      </c>
      <c r="B2068" t="e">
        <f>NA()</f>
        <v>#N/A</v>
      </c>
      <c r="C2068" t="e">
        <f>NA()</f>
        <v>#N/A</v>
      </c>
      <c r="D2068" t="e">
        <f>NA()</f>
        <v>#N/A</v>
      </c>
      <c r="E2068" t="e">
        <f>NA()</f>
        <v>#N/A</v>
      </c>
      <c r="F2068" t="e">
        <f>NA()</f>
        <v>#N/A</v>
      </c>
      <c r="G2068" t="e">
        <f>NA()</f>
        <v>#N/A</v>
      </c>
      <c r="H2068" t="e">
        <f>NA()</f>
        <v>#N/A</v>
      </c>
      <c r="I2068" t="e">
        <f>NA()</f>
        <v>#N/A</v>
      </c>
      <c r="J2068" t="e">
        <f>NA()</f>
        <v>#N/A</v>
      </c>
      <c r="K2068" t="e">
        <f>NA()</f>
        <v>#N/A</v>
      </c>
      <c r="L2068" t="e">
        <f>NA()</f>
        <v>#N/A</v>
      </c>
      <c r="M2068" t="e">
        <f>NA()</f>
        <v>#N/A</v>
      </c>
      <c r="N2068" t="e">
        <f>NA()</f>
        <v>#N/A</v>
      </c>
      <c r="O2068">
        <f t="shared" si="78"/>
        <v>1.2</v>
      </c>
    </row>
    <row r="2069" spans="1:15" x14ac:dyDescent="0.25">
      <c r="A2069" s="1">
        <v>43018</v>
      </c>
      <c r="B2069" t="e">
        <f>NA()</f>
        <v>#N/A</v>
      </c>
      <c r="C2069" t="e">
        <f>NA()</f>
        <v>#N/A</v>
      </c>
      <c r="D2069" t="e">
        <f>NA()</f>
        <v>#N/A</v>
      </c>
      <c r="E2069" t="e">
        <f>NA()</f>
        <v>#N/A</v>
      </c>
      <c r="F2069" t="e">
        <f>NA()</f>
        <v>#N/A</v>
      </c>
      <c r="G2069" t="e">
        <f>NA()</f>
        <v>#N/A</v>
      </c>
      <c r="H2069" t="e">
        <f>NA()</f>
        <v>#N/A</v>
      </c>
      <c r="I2069" t="e">
        <f>NA()</f>
        <v>#N/A</v>
      </c>
      <c r="J2069" t="e">
        <f>NA()</f>
        <v>#N/A</v>
      </c>
      <c r="K2069" t="e">
        <f>NA()</f>
        <v>#N/A</v>
      </c>
      <c r="L2069" t="e">
        <f>NA()</f>
        <v>#N/A</v>
      </c>
      <c r="M2069" t="e">
        <f>NA()</f>
        <v>#N/A</v>
      </c>
      <c r="N2069" t="e">
        <f>NA()</f>
        <v>#N/A</v>
      </c>
      <c r="O2069">
        <f t="shared" si="78"/>
        <v>1.2</v>
      </c>
    </row>
    <row r="2070" spans="1:15" x14ac:dyDescent="0.25">
      <c r="A2070" s="1">
        <v>43014</v>
      </c>
      <c r="B2070">
        <f>-0.7</f>
        <v>-0.7</v>
      </c>
      <c r="C2070">
        <f>0</f>
        <v>0</v>
      </c>
      <c r="D2070" t="e">
        <f>NA()</f>
        <v>#N/A</v>
      </c>
      <c r="E2070" t="e">
        <f>NA()</f>
        <v>#N/A</v>
      </c>
      <c r="F2070" t="e">
        <f>NA()</f>
        <v>#N/A</v>
      </c>
      <c r="G2070" t="e">
        <f>NA()</f>
        <v>#N/A</v>
      </c>
      <c r="H2070" t="e">
        <f>NA()</f>
        <v>#N/A</v>
      </c>
      <c r="I2070" t="e">
        <f>NA()</f>
        <v>#N/A</v>
      </c>
      <c r="J2070" t="e">
        <f>NA()</f>
        <v>#N/A</v>
      </c>
      <c r="K2070" t="e">
        <f>NA()</f>
        <v>#N/A</v>
      </c>
      <c r="L2070" t="e">
        <f>NA()</f>
        <v>#N/A</v>
      </c>
      <c r="M2070" t="e">
        <f>NA()</f>
        <v>#N/A</v>
      </c>
      <c r="N2070" t="e">
        <f>NA()</f>
        <v>#N/A</v>
      </c>
      <c r="O2070">
        <f t="shared" si="78"/>
        <v>1.2</v>
      </c>
    </row>
    <row r="2071" spans="1:15" x14ac:dyDescent="0.25">
      <c r="A2071" s="1">
        <v>43013</v>
      </c>
      <c r="B2071" t="e">
        <f>NA()</f>
        <v>#N/A</v>
      </c>
      <c r="C2071" t="e">
        <f>NA()</f>
        <v>#N/A</v>
      </c>
      <c r="D2071" t="e">
        <f>NA()</f>
        <v>#N/A</v>
      </c>
      <c r="E2071" t="e">
        <f>NA()</f>
        <v>#N/A</v>
      </c>
      <c r="F2071" t="e">
        <f>NA()</f>
        <v>#N/A</v>
      </c>
      <c r="G2071" t="e">
        <f>NA()</f>
        <v>#N/A</v>
      </c>
      <c r="H2071" t="e">
        <f>NA()</f>
        <v>#N/A</v>
      </c>
      <c r="I2071" t="e">
        <f>NA()</f>
        <v>#N/A</v>
      </c>
      <c r="J2071" t="e">
        <f>NA()</f>
        <v>#N/A</v>
      </c>
      <c r="K2071" t="e">
        <f>NA()</f>
        <v>#N/A</v>
      </c>
      <c r="L2071" t="e">
        <f>NA()</f>
        <v>#N/A</v>
      </c>
      <c r="M2071" t="e">
        <f>NA()</f>
        <v>#N/A</v>
      </c>
      <c r="N2071" t="e">
        <f>NA()</f>
        <v>#N/A</v>
      </c>
      <c r="O2071">
        <f t="shared" si="78"/>
        <v>1.2</v>
      </c>
    </row>
    <row r="2072" spans="1:15" x14ac:dyDescent="0.25">
      <c r="A2072" s="1">
        <v>43012</v>
      </c>
      <c r="B2072" t="e">
        <f>NA()</f>
        <v>#N/A</v>
      </c>
      <c r="C2072" t="e">
        <f>NA()</f>
        <v>#N/A</v>
      </c>
      <c r="D2072" t="e">
        <f>NA()</f>
        <v>#N/A</v>
      </c>
      <c r="E2072" t="e">
        <f>NA()</f>
        <v>#N/A</v>
      </c>
      <c r="F2072" t="e">
        <f>NA()</f>
        <v>#N/A</v>
      </c>
      <c r="G2072" t="e">
        <f>NA()</f>
        <v>#N/A</v>
      </c>
      <c r="H2072" t="e">
        <f>NA()</f>
        <v>#N/A</v>
      </c>
      <c r="I2072" t="e">
        <f>NA()</f>
        <v>#N/A</v>
      </c>
      <c r="J2072" t="e">
        <f>NA()</f>
        <v>#N/A</v>
      </c>
      <c r="K2072" t="e">
        <f>NA()</f>
        <v>#N/A</v>
      </c>
      <c r="L2072" t="e">
        <f>NA()</f>
        <v>#N/A</v>
      </c>
      <c r="M2072" t="e">
        <f>NA()</f>
        <v>#N/A</v>
      </c>
      <c r="N2072" t="e">
        <f>NA()</f>
        <v>#N/A</v>
      </c>
      <c r="O2072">
        <f t="shared" si="78"/>
        <v>1.2</v>
      </c>
    </row>
    <row r="2073" spans="1:15" x14ac:dyDescent="0.25">
      <c r="A2073" s="1">
        <v>43011</v>
      </c>
      <c r="B2073" t="e">
        <f>NA()</f>
        <v>#N/A</v>
      </c>
      <c r="C2073" t="e">
        <f>NA()</f>
        <v>#N/A</v>
      </c>
      <c r="D2073" t="e">
        <f>NA()</f>
        <v>#N/A</v>
      </c>
      <c r="E2073" t="e">
        <f>NA()</f>
        <v>#N/A</v>
      </c>
      <c r="F2073" t="e">
        <f>NA()</f>
        <v>#N/A</v>
      </c>
      <c r="G2073" t="e">
        <f>NA()</f>
        <v>#N/A</v>
      </c>
      <c r="H2073" t="e">
        <f>NA()</f>
        <v>#N/A</v>
      </c>
      <c r="I2073" t="e">
        <f>NA()</f>
        <v>#N/A</v>
      </c>
      <c r="J2073" t="e">
        <f>NA()</f>
        <v>#N/A</v>
      </c>
      <c r="K2073" t="e">
        <f>NA()</f>
        <v>#N/A</v>
      </c>
      <c r="L2073" t="e">
        <f>NA()</f>
        <v>#N/A</v>
      </c>
      <c r="M2073" t="e">
        <f>NA()</f>
        <v>#N/A</v>
      </c>
      <c r="N2073" t="e">
        <f>NA()</f>
        <v>#N/A</v>
      </c>
      <c r="O2073">
        <f t="shared" si="78"/>
        <v>1.2</v>
      </c>
    </row>
    <row r="2074" spans="1:15" x14ac:dyDescent="0.25">
      <c r="A2074" s="1">
        <v>43010</v>
      </c>
      <c r="B2074" t="e">
        <f>NA()</f>
        <v>#N/A</v>
      </c>
      <c r="C2074" t="e">
        <f>NA()</f>
        <v>#N/A</v>
      </c>
      <c r="D2074" t="e">
        <f>NA()</f>
        <v>#N/A</v>
      </c>
      <c r="E2074" t="e">
        <f>NA()</f>
        <v>#N/A</v>
      </c>
      <c r="F2074" t="e">
        <f>NA()</f>
        <v>#N/A</v>
      </c>
      <c r="G2074" t="e">
        <f>NA()</f>
        <v>#N/A</v>
      </c>
      <c r="H2074" t="e">
        <f>NA()</f>
        <v>#N/A</v>
      </c>
      <c r="I2074" t="e">
        <f>NA()</f>
        <v>#N/A</v>
      </c>
      <c r="J2074" t="e">
        <f>NA()</f>
        <v>#N/A</v>
      </c>
      <c r="K2074" t="e">
        <f>NA()</f>
        <v>#N/A</v>
      </c>
      <c r="L2074" t="e">
        <f>NA()</f>
        <v>#N/A</v>
      </c>
      <c r="M2074" t="e">
        <f>NA()</f>
        <v>#N/A</v>
      </c>
      <c r="N2074" t="e">
        <f>NA()</f>
        <v>#N/A</v>
      </c>
      <c r="O2074">
        <f t="shared" si="78"/>
        <v>1.2</v>
      </c>
    </row>
    <row r="2075" spans="1:15" x14ac:dyDescent="0.25">
      <c r="A2075" s="1">
        <v>43008</v>
      </c>
      <c r="B2075" t="e">
        <f>NA()</f>
        <v>#N/A</v>
      </c>
      <c r="C2075" t="e">
        <f>NA()</f>
        <v>#N/A</v>
      </c>
      <c r="D2075">
        <f>0.5</f>
        <v>0.5</v>
      </c>
      <c r="E2075">
        <f>0.6</f>
        <v>0.6</v>
      </c>
      <c r="F2075">
        <f>6320</f>
        <v>6320</v>
      </c>
      <c r="G2075">
        <f>63.1</f>
        <v>63.1</v>
      </c>
      <c r="H2075">
        <f>4.4</f>
        <v>4.4000000000000004</v>
      </c>
      <c r="I2075">
        <f>246.8</f>
        <v>246.8</v>
      </c>
      <c r="J2075">
        <f>2.2</f>
        <v>2.2000000000000002</v>
      </c>
      <c r="K2075">
        <f>60</f>
        <v>60</v>
      </c>
      <c r="L2075">
        <f>0.1</f>
        <v>0.1</v>
      </c>
      <c r="M2075">
        <f>3.2</f>
        <v>3.2</v>
      </c>
      <c r="N2075">
        <f>4.3</f>
        <v>4.3</v>
      </c>
      <c r="O2075" t="e">
        <f>NA()</f>
        <v>#N/A</v>
      </c>
    </row>
    <row r="2076" spans="1:15" x14ac:dyDescent="0.25">
      <c r="A2076" s="1">
        <v>43007</v>
      </c>
      <c r="B2076">
        <f>-0.7</f>
        <v>-0.7</v>
      </c>
      <c r="C2076">
        <f>0</f>
        <v>0</v>
      </c>
      <c r="D2076" t="e">
        <f>NA()</f>
        <v>#N/A</v>
      </c>
      <c r="E2076" t="e">
        <f>NA()</f>
        <v>#N/A</v>
      </c>
      <c r="F2076" t="e">
        <f>NA()</f>
        <v>#N/A</v>
      </c>
      <c r="G2076" t="e">
        <f>NA()</f>
        <v>#N/A</v>
      </c>
      <c r="H2076" t="e">
        <f>NA()</f>
        <v>#N/A</v>
      </c>
      <c r="I2076" t="e">
        <f>NA()</f>
        <v>#N/A</v>
      </c>
      <c r="J2076" t="e">
        <f>NA()</f>
        <v>#N/A</v>
      </c>
      <c r="K2076" t="e">
        <f>NA()</f>
        <v>#N/A</v>
      </c>
      <c r="L2076" t="e">
        <f>NA()</f>
        <v>#N/A</v>
      </c>
      <c r="M2076" t="e">
        <f>NA()</f>
        <v>#N/A</v>
      </c>
      <c r="N2076" t="e">
        <f>NA()</f>
        <v>#N/A</v>
      </c>
      <c r="O2076">
        <f>1.1</f>
        <v>1.1000000000000001</v>
      </c>
    </row>
    <row r="2077" spans="1:15" x14ac:dyDescent="0.25">
      <c r="A2077" s="1">
        <v>43006</v>
      </c>
      <c r="B2077" t="e">
        <f>NA()</f>
        <v>#N/A</v>
      </c>
      <c r="C2077" t="e">
        <f>NA()</f>
        <v>#N/A</v>
      </c>
      <c r="D2077" t="e">
        <f>NA()</f>
        <v>#N/A</v>
      </c>
      <c r="E2077" t="e">
        <f>NA()</f>
        <v>#N/A</v>
      </c>
      <c r="F2077" t="e">
        <f>NA()</f>
        <v>#N/A</v>
      </c>
      <c r="G2077" t="e">
        <f>NA()</f>
        <v>#N/A</v>
      </c>
      <c r="H2077" t="e">
        <f>NA()</f>
        <v>#N/A</v>
      </c>
      <c r="I2077" t="e">
        <f>NA()</f>
        <v>#N/A</v>
      </c>
      <c r="J2077" t="e">
        <f>NA()</f>
        <v>#N/A</v>
      </c>
      <c r="K2077" t="e">
        <f>NA()</f>
        <v>#N/A</v>
      </c>
      <c r="L2077" t="e">
        <f>NA()</f>
        <v>#N/A</v>
      </c>
      <c r="M2077" t="e">
        <f>NA()</f>
        <v>#N/A</v>
      </c>
      <c r="N2077" t="e">
        <f>NA()</f>
        <v>#N/A</v>
      </c>
      <c r="O2077">
        <f t="shared" ref="O2077:O2095" si="79">1.2</f>
        <v>1.2</v>
      </c>
    </row>
    <row r="2078" spans="1:15" x14ac:dyDescent="0.25">
      <c r="A2078" s="1">
        <v>43005</v>
      </c>
      <c r="B2078" t="e">
        <f>NA()</f>
        <v>#N/A</v>
      </c>
      <c r="C2078" t="e">
        <f>NA()</f>
        <v>#N/A</v>
      </c>
      <c r="D2078" t="e">
        <f>NA()</f>
        <v>#N/A</v>
      </c>
      <c r="E2078" t="e">
        <f>NA()</f>
        <v>#N/A</v>
      </c>
      <c r="F2078" t="e">
        <f>NA()</f>
        <v>#N/A</v>
      </c>
      <c r="G2078" t="e">
        <f>NA()</f>
        <v>#N/A</v>
      </c>
      <c r="H2078" t="e">
        <f>NA()</f>
        <v>#N/A</v>
      </c>
      <c r="I2078" t="e">
        <f>NA()</f>
        <v>#N/A</v>
      </c>
      <c r="J2078" t="e">
        <f>NA()</f>
        <v>#N/A</v>
      </c>
      <c r="K2078" t="e">
        <f>NA()</f>
        <v>#N/A</v>
      </c>
      <c r="L2078" t="e">
        <f>NA()</f>
        <v>#N/A</v>
      </c>
      <c r="M2078" t="e">
        <f>NA()</f>
        <v>#N/A</v>
      </c>
      <c r="N2078" t="e">
        <f>NA()</f>
        <v>#N/A</v>
      </c>
      <c r="O2078">
        <f t="shared" si="79"/>
        <v>1.2</v>
      </c>
    </row>
    <row r="2079" spans="1:15" x14ac:dyDescent="0.25">
      <c r="A2079" s="1">
        <v>43004</v>
      </c>
      <c r="B2079" t="e">
        <f>NA()</f>
        <v>#N/A</v>
      </c>
      <c r="C2079" t="e">
        <f>NA()</f>
        <v>#N/A</v>
      </c>
      <c r="D2079" t="e">
        <f>NA()</f>
        <v>#N/A</v>
      </c>
      <c r="E2079" t="e">
        <f>NA()</f>
        <v>#N/A</v>
      </c>
      <c r="F2079" t="e">
        <f>NA()</f>
        <v>#N/A</v>
      </c>
      <c r="G2079" t="e">
        <f>NA()</f>
        <v>#N/A</v>
      </c>
      <c r="H2079" t="e">
        <f>NA()</f>
        <v>#N/A</v>
      </c>
      <c r="I2079" t="e">
        <f>NA()</f>
        <v>#N/A</v>
      </c>
      <c r="J2079" t="e">
        <f>NA()</f>
        <v>#N/A</v>
      </c>
      <c r="K2079" t="e">
        <f>NA()</f>
        <v>#N/A</v>
      </c>
      <c r="L2079" t="e">
        <f>NA()</f>
        <v>#N/A</v>
      </c>
      <c r="M2079" t="e">
        <f>NA()</f>
        <v>#N/A</v>
      </c>
      <c r="N2079" t="e">
        <f>NA()</f>
        <v>#N/A</v>
      </c>
      <c r="O2079">
        <f t="shared" si="79"/>
        <v>1.2</v>
      </c>
    </row>
    <row r="2080" spans="1:15" x14ac:dyDescent="0.25">
      <c r="A2080" s="1">
        <v>43003</v>
      </c>
      <c r="B2080" t="e">
        <f>NA()</f>
        <v>#N/A</v>
      </c>
      <c r="C2080" t="e">
        <f>NA()</f>
        <v>#N/A</v>
      </c>
      <c r="D2080" t="e">
        <f>NA()</f>
        <v>#N/A</v>
      </c>
      <c r="E2080" t="e">
        <f>NA()</f>
        <v>#N/A</v>
      </c>
      <c r="F2080" t="e">
        <f>NA()</f>
        <v>#N/A</v>
      </c>
      <c r="G2080" t="e">
        <f>NA()</f>
        <v>#N/A</v>
      </c>
      <c r="H2080" t="e">
        <f>NA()</f>
        <v>#N/A</v>
      </c>
      <c r="I2080" t="e">
        <f>NA()</f>
        <v>#N/A</v>
      </c>
      <c r="J2080" t="e">
        <f>NA()</f>
        <v>#N/A</v>
      </c>
      <c r="K2080" t="e">
        <f>NA()</f>
        <v>#N/A</v>
      </c>
      <c r="L2080" t="e">
        <f>NA()</f>
        <v>#N/A</v>
      </c>
      <c r="M2080" t="e">
        <f>NA()</f>
        <v>#N/A</v>
      </c>
      <c r="N2080" t="e">
        <f>NA()</f>
        <v>#N/A</v>
      </c>
      <c r="O2080">
        <f t="shared" si="79"/>
        <v>1.2</v>
      </c>
    </row>
    <row r="2081" spans="1:15" x14ac:dyDescent="0.25">
      <c r="A2081" s="1">
        <v>43000</v>
      </c>
      <c r="B2081">
        <f>-0.7</f>
        <v>-0.7</v>
      </c>
      <c r="C2081">
        <f>0</f>
        <v>0</v>
      </c>
      <c r="D2081" t="e">
        <f>NA()</f>
        <v>#N/A</v>
      </c>
      <c r="E2081" t="e">
        <f>NA()</f>
        <v>#N/A</v>
      </c>
      <c r="F2081" t="e">
        <f>NA()</f>
        <v>#N/A</v>
      </c>
      <c r="G2081" t="e">
        <f>NA()</f>
        <v>#N/A</v>
      </c>
      <c r="H2081" t="e">
        <f>NA()</f>
        <v>#N/A</v>
      </c>
      <c r="I2081" t="e">
        <f>NA()</f>
        <v>#N/A</v>
      </c>
      <c r="J2081" t="e">
        <f>NA()</f>
        <v>#N/A</v>
      </c>
      <c r="K2081" t="e">
        <f>NA()</f>
        <v>#N/A</v>
      </c>
      <c r="L2081" t="e">
        <f>NA()</f>
        <v>#N/A</v>
      </c>
      <c r="M2081" t="e">
        <f>NA()</f>
        <v>#N/A</v>
      </c>
      <c r="N2081" t="e">
        <f>NA()</f>
        <v>#N/A</v>
      </c>
      <c r="O2081">
        <f t="shared" si="79"/>
        <v>1.2</v>
      </c>
    </row>
    <row r="2082" spans="1:15" x14ac:dyDescent="0.25">
      <c r="A2082" s="1">
        <v>42999</v>
      </c>
      <c r="B2082" t="e">
        <f>NA()</f>
        <v>#N/A</v>
      </c>
      <c r="C2082" t="e">
        <f>NA()</f>
        <v>#N/A</v>
      </c>
      <c r="D2082" t="e">
        <f>NA()</f>
        <v>#N/A</v>
      </c>
      <c r="E2082" t="e">
        <f>NA()</f>
        <v>#N/A</v>
      </c>
      <c r="F2082" t="e">
        <f>NA()</f>
        <v>#N/A</v>
      </c>
      <c r="G2082" t="e">
        <f>NA()</f>
        <v>#N/A</v>
      </c>
      <c r="H2082" t="e">
        <f>NA()</f>
        <v>#N/A</v>
      </c>
      <c r="I2082" t="e">
        <f>NA()</f>
        <v>#N/A</v>
      </c>
      <c r="J2082" t="e">
        <f>NA()</f>
        <v>#N/A</v>
      </c>
      <c r="K2082" t="e">
        <f>NA()</f>
        <v>#N/A</v>
      </c>
      <c r="L2082" t="e">
        <f>NA()</f>
        <v>#N/A</v>
      </c>
      <c r="M2082" t="e">
        <f>NA()</f>
        <v>#N/A</v>
      </c>
      <c r="N2082" t="e">
        <f>NA()</f>
        <v>#N/A</v>
      </c>
      <c r="O2082">
        <f t="shared" si="79"/>
        <v>1.2</v>
      </c>
    </row>
    <row r="2083" spans="1:15" x14ac:dyDescent="0.25">
      <c r="A2083" s="1">
        <v>42998</v>
      </c>
      <c r="B2083" t="e">
        <f>NA()</f>
        <v>#N/A</v>
      </c>
      <c r="C2083" t="e">
        <f>NA()</f>
        <v>#N/A</v>
      </c>
      <c r="D2083" t="e">
        <f>NA()</f>
        <v>#N/A</v>
      </c>
      <c r="E2083" t="e">
        <f>NA()</f>
        <v>#N/A</v>
      </c>
      <c r="F2083" t="e">
        <f>NA()</f>
        <v>#N/A</v>
      </c>
      <c r="G2083" t="e">
        <f>NA()</f>
        <v>#N/A</v>
      </c>
      <c r="H2083" t="e">
        <f>NA()</f>
        <v>#N/A</v>
      </c>
      <c r="I2083" t="e">
        <f>NA()</f>
        <v>#N/A</v>
      </c>
      <c r="J2083" t="e">
        <f>NA()</f>
        <v>#N/A</v>
      </c>
      <c r="K2083" t="e">
        <f>NA()</f>
        <v>#N/A</v>
      </c>
      <c r="L2083" t="e">
        <f>NA()</f>
        <v>#N/A</v>
      </c>
      <c r="M2083" t="e">
        <f>NA()</f>
        <v>#N/A</v>
      </c>
      <c r="N2083" t="e">
        <f>NA()</f>
        <v>#N/A</v>
      </c>
      <c r="O2083">
        <f t="shared" si="79"/>
        <v>1.2</v>
      </c>
    </row>
    <row r="2084" spans="1:15" x14ac:dyDescent="0.25">
      <c r="A2084" s="1">
        <v>42997</v>
      </c>
      <c r="B2084" t="e">
        <f>NA()</f>
        <v>#N/A</v>
      </c>
      <c r="C2084" t="e">
        <f>NA()</f>
        <v>#N/A</v>
      </c>
      <c r="D2084" t="e">
        <f>NA()</f>
        <v>#N/A</v>
      </c>
      <c r="E2084" t="e">
        <f>NA()</f>
        <v>#N/A</v>
      </c>
      <c r="F2084" t="e">
        <f>NA()</f>
        <v>#N/A</v>
      </c>
      <c r="G2084" t="e">
        <f>NA()</f>
        <v>#N/A</v>
      </c>
      <c r="H2084" t="e">
        <f>NA()</f>
        <v>#N/A</v>
      </c>
      <c r="I2084" t="e">
        <f>NA()</f>
        <v>#N/A</v>
      </c>
      <c r="J2084" t="e">
        <f>NA()</f>
        <v>#N/A</v>
      </c>
      <c r="K2084" t="e">
        <f>NA()</f>
        <v>#N/A</v>
      </c>
      <c r="L2084" t="e">
        <f>NA()</f>
        <v>#N/A</v>
      </c>
      <c r="M2084" t="e">
        <f>NA()</f>
        <v>#N/A</v>
      </c>
      <c r="N2084" t="e">
        <f>NA()</f>
        <v>#N/A</v>
      </c>
      <c r="O2084">
        <f t="shared" si="79"/>
        <v>1.2</v>
      </c>
    </row>
    <row r="2085" spans="1:15" x14ac:dyDescent="0.25">
      <c r="A2085" s="1">
        <v>42996</v>
      </c>
      <c r="B2085" t="e">
        <f>NA()</f>
        <v>#N/A</v>
      </c>
      <c r="C2085" t="e">
        <f>NA()</f>
        <v>#N/A</v>
      </c>
      <c r="D2085" t="e">
        <f>NA()</f>
        <v>#N/A</v>
      </c>
      <c r="E2085" t="e">
        <f>NA()</f>
        <v>#N/A</v>
      </c>
      <c r="F2085" t="e">
        <f>NA()</f>
        <v>#N/A</v>
      </c>
      <c r="G2085" t="e">
        <f>NA()</f>
        <v>#N/A</v>
      </c>
      <c r="H2085" t="e">
        <f>NA()</f>
        <v>#N/A</v>
      </c>
      <c r="I2085" t="e">
        <f>NA()</f>
        <v>#N/A</v>
      </c>
      <c r="J2085" t="e">
        <f>NA()</f>
        <v>#N/A</v>
      </c>
      <c r="K2085" t="e">
        <f>NA()</f>
        <v>#N/A</v>
      </c>
      <c r="L2085" t="e">
        <f>NA()</f>
        <v>#N/A</v>
      </c>
      <c r="M2085" t="e">
        <f>NA()</f>
        <v>#N/A</v>
      </c>
      <c r="N2085" t="e">
        <f>NA()</f>
        <v>#N/A</v>
      </c>
      <c r="O2085">
        <f t="shared" si="79"/>
        <v>1.2</v>
      </c>
    </row>
    <row r="2086" spans="1:15" x14ac:dyDescent="0.25">
      <c r="A2086" s="1">
        <v>42993</v>
      </c>
      <c r="B2086">
        <f>-0.7</f>
        <v>-0.7</v>
      </c>
      <c r="C2086">
        <f>0</f>
        <v>0</v>
      </c>
      <c r="D2086" t="e">
        <f>NA()</f>
        <v>#N/A</v>
      </c>
      <c r="E2086" t="e">
        <f>NA()</f>
        <v>#N/A</v>
      </c>
      <c r="F2086" t="e">
        <f>NA()</f>
        <v>#N/A</v>
      </c>
      <c r="G2086" t="e">
        <f>NA()</f>
        <v>#N/A</v>
      </c>
      <c r="H2086" t="e">
        <f>NA()</f>
        <v>#N/A</v>
      </c>
      <c r="I2086" t="e">
        <f>NA()</f>
        <v>#N/A</v>
      </c>
      <c r="J2086" t="e">
        <f>NA()</f>
        <v>#N/A</v>
      </c>
      <c r="K2086" t="e">
        <f>NA()</f>
        <v>#N/A</v>
      </c>
      <c r="L2086" t="e">
        <f>NA()</f>
        <v>#N/A</v>
      </c>
      <c r="M2086" t="e">
        <f>NA()</f>
        <v>#N/A</v>
      </c>
      <c r="N2086" t="e">
        <f>NA()</f>
        <v>#N/A</v>
      </c>
      <c r="O2086">
        <f t="shared" si="79"/>
        <v>1.2</v>
      </c>
    </row>
    <row r="2087" spans="1:15" x14ac:dyDescent="0.25">
      <c r="A2087" s="1">
        <v>42992</v>
      </c>
      <c r="B2087" t="e">
        <f>NA()</f>
        <v>#N/A</v>
      </c>
      <c r="C2087" t="e">
        <f>NA()</f>
        <v>#N/A</v>
      </c>
      <c r="D2087" t="e">
        <f>NA()</f>
        <v>#N/A</v>
      </c>
      <c r="E2087" t="e">
        <f>NA()</f>
        <v>#N/A</v>
      </c>
      <c r="F2087" t="e">
        <f>NA()</f>
        <v>#N/A</v>
      </c>
      <c r="G2087" t="e">
        <f>NA()</f>
        <v>#N/A</v>
      </c>
      <c r="H2087" t="e">
        <f>NA()</f>
        <v>#N/A</v>
      </c>
      <c r="I2087" t="e">
        <f>NA()</f>
        <v>#N/A</v>
      </c>
      <c r="J2087" t="e">
        <f>NA()</f>
        <v>#N/A</v>
      </c>
      <c r="K2087" t="e">
        <f>NA()</f>
        <v>#N/A</v>
      </c>
      <c r="L2087" t="e">
        <f>NA()</f>
        <v>#N/A</v>
      </c>
      <c r="M2087" t="e">
        <f>NA()</f>
        <v>#N/A</v>
      </c>
      <c r="N2087" t="e">
        <f>NA()</f>
        <v>#N/A</v>
      </c>
      <c r="O2087">
        <f t="shared" si="79"/>
        <v>1.2</v>
      </c>
    </row>
    <row r="2088" spans="1:15" x14ac:dyDescent="0.25">
      <c r="A2088" s="1">
        <v>42991</v>
      </c>
      <c r="B2088" t="e">
        <f>NA()</f>
        <v>#N/A</v>
      </c>
      <c r="C2088" t="e">
        <f>NA()</f>
        <v>#N/A</v>
      </c>
      <c r="D2088" t="e">
        <f>NA()</f>
        <v>#N/A</v>
      </c>
      <c r="E2088" t="e">
        <f>NA()</f>
        <v>#N/A</v>
      </c>
      <c r="F2088" t="e">
        <f>NA()</f>
        <v>#N/A</v>
      </c>
      <c r="G2088" t="e">
        <f>NA()</f>
        <v>#N/A</v>
      </c>
      <c r="H2088" t="e">
        <f>NA()</f>
        <v>#N/A</v>
      </c>
      <c r="I2088" t="e">
        <f>NA()</f>
        <v>#N/A</v>
      </c>
      <c r="J2088" t="e">
        <f>NA()</f>
        <v>#N/A</v>
      </c>
      <c r="K2088" t="e">
        <f>NA()</f>
        <v>#N/A</v>
      </c>
      <c r="L2088" t="e">
        <f>NA()</f>
        <v>#N/A</v>
      </c>
      <c r="M2088" t="e">
        <f>NA()</f>
        <v>#N/A</v>
      </c>
      <c r="N2088" t="e">
        <f>NA()</f>
        <v>#N/A</v>
      </c>
      <c r="O2088">
        <f t="shared" si="79"/>
        <v>1.2</v>
      </c>
    </row>
    <row r="2089" spans="1:15" x14ac:dyDescent="0.25">
      <c r="A2089" s="1">
        <v>42990</v>
      </c>
      <c r="B2089" t="e">
        <f>NA()</f>
        <v>#N/A</v>
      </c>
      <c r="C2089" t="e">
        <f>NA()</f>
        <v>#N/A</v>
      </c>
      <c r="D2089" t="e">
        <f>NA()</f>
        <v>#N/A</v>
      </c>
      <c r="E2089" t="e">
        <f>NA()</f>
        <v>#N/A</v>
      </c>
      <c r="F2089" t="e">
        <f>NA()</f>
        <v>#N/A</v>
      </c>
      <c r="G2089" t="e">
        <f>NA()</f>
        <v>#N/A</v>
      </c>
      <c r="H2089" t="e">
        <f>NA()</f>
        <v>#N/A</v>
      </c>
      <c r="I2089" t="e">
        <f>NA()</f>
        <v>#N/A</v>
      </c>
      <c r="J2089" t="e">
        <f>NA()</f>
        <v>#N/A</v>
      </c>
      <c r="K2089" t="e">
        <f>NA()</f>
        <v>#N/A</v>
      </c>
      <c r="L2089" t="e">
        <f>NA()</f>
        <v>#N/A</v>
      </c>
      <c r="M2089" t="e">
        <f>NA()</f>
        <v>#N/A</v>
      </c>
      <c r="N2089" t="e">
        <f>NA()</f>
        <v>#N/A</v>
      </c>
      <c r="O2089">
        <f t="shared" si="79"/>
        <v>1.2</v>
      </c>
    </row>
    <row r="2090" spans="1:15" x14ac:dyDescent="0.25">
      <c r="A2090" s="1">
        <v>42989</v>
      </c>
      <c r="B2090" t="e">
        <f>NA()</f>
        <v>#N/A</v>
      </c>
      <c r="C2090" t="e">
        <f>NA()</f>
        <v>#N/A</v>
      </c>
      <c r="D2090" t="e">
        <f>NA()</f>
        <v>#N/A</v>
      </c>
      <c r="E2090" t="e">
        <f>NA()</f>
        <v>#N/A</v>
      </c>
      <c r="F2090" t="e">
        <f>NA()</f>
        <v>#N/A</v>
      </c>
      <c r="G2090" t="e">
        <f>NA()</f>
        <v>#N/A</v>
      </c>
      <c r="H2090" t="e">
        <f>NA()</f>
        <v>#N/A</v>
      </c>
      <c r="I2090" t="e">
        <f>NA()</f>
        <v>#N/A</v>
      </c>
      <c r="J2090" t="e">
        <f>NA()</f>
        <v>#N/A</v>
      </c>
      <c r="K2090" t="e">
        <f>NA()</f>
        <v>#N/A</v>
      </c>
      <c r="L2090" t="e">
        <f>NA()</f>
        <v>#N/A</v>
      </c>
      <c r="M2090" t="e">
        <f>NA()</f>
        <v>#N/A</v>
      </c>
      <c r="N2090" t="e">
        <f>NA()</f>
        <v>#N/A</v>
      </c>
      <c r="O2090">
        <f t="shared" si="79"/>
        <v>1.2</v>
      </c>
    </row>
    <row r="2091" spans="1:15" x14ac:dyDescent="0.25">
      <c r="A2091" s="1">
        <v>42986</v>
      </c>
      <c r="B2091">
        <f>-0.4</f>
        <v>-0.4</v>
      </c>
      <c r="C2091">
        <f>0</f>
        <v>0</v>
      </c>
      <c r="D2091" t="e">
        <f>NA()</f>
        <v>#N/A</v>
      </c>
      <c r="E2091" t="e">
        <f>NA()</f>
        <v>#N/A</v>
      </c>
      <c r="F2091" t="e">
        <f>NA()</f>
        <v>#N/A</v>
      </c>
      <c r="G2091" t="e">
        <f>NA()</f>
        <v>#N/A</v>
      </c>
      <c r="H2091" t="e">
        <f>NA()</f>
        <v>#N/A</v>
      </c>
      <c r="I2091" t="e">
        <f>NA()</f>
        <v>#N/A</v>
      </c>
      <c r="J2091" t="e">
        <f>NA()</f>
        <v>#N/A</v>
      </c>
      <c r="K2091" t="e">
        <f>NA()</f>
        <v>#N/A</v>
      </c>
      <c r="L2091" t="e">
        <f>NA()</f>
        <v>#N/A</v>
      </c>
      <c r="M2091" t="e">
        <f>NA()</f>
        <v>#N/A</v>
      </c>
      <c r="N2091" t="e">
        <f>NA()</f>
        <v>#N/A</v>
      </c>
      <c r="O2091">
        <f t="shared" si="79"/>
        <v>1.2</v>
      </c>
    </row>
    <row r="2092" spans="1:15" x14ac:dyDescent="0.25">
      <c r="A2092" s="1">
        <v>42985</v>
      </c>
      <c r="B2092" t="e">
        <f>NA()</f>
        <v>#N/A</v>
      </c>
      <c r="C2092" t="e">
        <f>NA()</f>
        <v>#N/A</v>
      </c>
      <c r="D2092" t="e">
        <f>NA()</f>
        <v>#N/A</v>
      </c>
      <c r="E2092" t="e">
        <f>NA()</f>
        <v>#N/A</v>
      </c>
      <c r="F2092" t="e">
        <f>NA()</f>
        <v>#N/A</v>
      </c>
      <c r="G2092" t="e">
        <f>NA()</f>
        <v>#N/A</v>
      </c>
      <c r="H2092" t="e">
        <f>NA()</f>
        <v>#N/A</v>
      </c>
      <c r="I2092" t="e">
        <f>NA()</f>
        <v>#N/A</v>
      </c>
      <c r="J2092" t="e">
        <f>NA()</f>
        <v>#N/A</v>
      </c>
      <c r="K2092" t="e">
        <f>NA()</f>
        <v>#N/A</v>
      </c>
      <c r="L2092" t="e">
        <f>NA()</f>
        <v>#N/A</v>
      </c>
      <c r="M2092" t="e">
        <f>NA()</f>
        <v>#N/A</v>
      </c>
      <c r="N2092" t="e">
        <f>NA()</f>
        <v>#N/A</v>
      </c>
      <c r="O2092">
        <f t="shared" si="79"/>
        <v>1.2</v>
      </c>
    </row>
    <row r="2093" spans="1:15" x14ac:dyDescent="0.25">
      <c r="A2093" s="1">
        <v>42984</v>
      </c>
      <c r="B2093" t="e">
        <f>NA()</f>
        <v>#N/A</v>
      </c>
      <c r="C2093" t="e">
        <f>NA()</f>
        <v>#N/A</v>
      </c>
      <c r="D2093" t="e">
        <f>NA()</f>
        <v>#N/A</v>
      </c>
      <c r="E2093" t="e">
        <f>NA()</f>
        <v>#N/A</v>
      </c>
      <c r="F2093" t="e">
        <f>NA()</f>
        <v>#N/A</v>
      </c>
      <c r="G2093" t="e">
        <f>NA()</f>
        <v>#N/A</v>
      </c>
      <c r="H2093" t="e">
        <f>NA()</f>
        <v>#N/A</v>
      </c>
      <c r="I2093" t="e">
        <f>NA()</f>
        <v>#N/A</v>
      </c>
      <c r="J2093" t="e">
        <f>NA()</f>
        <v>#N/A</v>
      </c>
      <c r="K2093" t="e">
        <f>NA()</f>
        <v>#N/A</v>
      </c>
      <c r="L2093" t="e">
        <f>NA()</f>
        <v>#N/A</v>
      </c>
      <c r="M2093" t="e">
        <f>NA()</f>
        <v>#N/A</v>
      </c>
      <c r="N2093" t="e">
        <f>NA()</f>
        <v>#N/A</v>
      </c>
      <c r="O2093">
        <f t="shared" si="79"/>
        <v>1.2</v>
      </c>
    </row>
    <row r="2094" spans="1:15" x14ac:dyDescent="0.25">
      <c r="A2094" s="1">
        <v>42983</v>
      </c>
      <c r="B2094" t="e">
        <f>NA()</f>
        <v>#N/A</v>
      </c>
      <c r="C2094" t="e">
        <f>NA()</f>
        <v>#N/A</v>
      </c>
      <c r="D2094" t="e">
        <f>NA()</f>
        <v>#N/A</v>
      </c>
      <c r="E2094" t="e">
        <f>NA()</f>
        <v>#N/A</v>
      </c>
      <c r="F2094" t="e">
        <f>NA()</f>
        <v>#N/A</v>
      </c>
      <c r="G2094" t="e">
        <f>NA()</f>
        <v>#N/A</v>
      </c>
      <c r="H2094" t="e">
        <f>NA()</f>
        <v>#N/A</v>
      </c>
      <c r="I2094" t="e">
        <f>NA()</f>
        <v>#N/A</v>
      </c>
      <c r="J2094" t="e">
        <f>NA()</f>
        <v>#N/A</v>
      </c>
      <c r="K2094" t="e">
        <f>NA()</f>
        <v>#N/A</v>
      </c>
      <c r="L2094" t="e">
        <f>NA()</f>
        <v>#N/A</v>
      </c>
      <c r="M2094" t="e">
        <f>NA()</f>
        <v>#N/A</v>
      </c>
      <c r="N2094" t="e">
        <f>NA()</f>
        <v>#N/A</v>
      </c>
      <c r="O2094">
        <f t="shared" si="79"/>
        <v>1.2</v>
      </c>
    </row>
    <row r="2095" spans="1:15" x14ac:dyDescent="0.25">
      <c r="A2095" s="1">
        <v>42979</v>
      </c>
      <c r="B2095">
        <f>-0.5</f>
        <v>-0.5</v>
      </c>
      <c r="C2095">
        <f>0</f>
        <v>0</v>
      </c>
      <c r="D2095" t="e">
        <f>NA()</f>
        <v>#N/A</v>
      </c>
      <c r="E2095" t="e">
        <f>NA()</f>
        <v>#N/A</v>
      </c>
      <c r="F2095" t="e">
        <f>NA()</f>
        <v>#N/A</v>
      </c>
      <c r="G2095" t="e">
        <f>NA()</f>
        <v>#N/A</v>
      </c>
      <c r="H2095" t="e">
        <f>NA()</f>
        <v>#N/A</v>
      </c>
      <c r="I2095" t="e">
        <f>NA()</f>
        <v>#N/A</v>
      </c>
      <c r="J2095" t="e">
        <f>NA()</f>
        <v>#N/A</v>
      </c>
      <c r="K2095" t="e">
        <f>NA()</f>
        <v>#N/A</v>
      </c>
      <c r="L2095" t="e">
        <f>NA()</f>
        <v>#N/A</v>
      </c>
      <c r="M2095" t="e">
        <f>NA()</f>
        <v>#N/A</v>
      </c>
      <c r="N2095" t="e">
        <f>NA()</f>
        <v>#N/A</v>
      </c>
      <c r="O2095">
        <f t="shared" si="79"/>
        <v>1.2</v>
      </c>
    </row>
    <row r="2096" spans="1:15" x14ac:dyDescent="0.25">
      <c r="A2096" s="1">
        <v>42978</v>
      </c>
      <c r="B2096" t="e">
        <f>NA()</f>
        <v>#N/A</v>
      </c>
      <c r="C2096" t="e">
        <f>NA()</f>
        <v>#N/A</v>
      </c>
      <c r="D2096">
        <f>0.1</f>
        <v>0.1</v>
      </c>
      <c r="E2096">
        <f>0.7</f>
        <v>0.7</v>
      </c>
      <c r="F2096">
        <f>6276</f>
        <v>6276</v>
      </c>
      <c r="G2096">
        <f>62.9</f>
        <v>62.9</v>
      </c>
      <c r="H2096">
        <f>4</f>
        <v>4</v>
      </c>
      <c r="I2096">
        <f>245.5</f>
        <v>245.5</v>
      </c>
      <c r="J2096">
        <f>1.9</f>
        <v>1.9</v>
      </c>
      <c r="K2096">
        <f>58.4</f>
        <v>58.4</v>
      </c>
      <c r="L2096">
        <f>-0.5</f>
        <v>-0.5</v>
      </c>
      <c r="M2096" t="e">
        <f>NA()</f>
        <v>#N/A</v>
      </c>
      <c r="N2096">
        <f>4.4</f>
        <v>4.4000000000000004</v>
      </c>
      <c r="O2096">
        <f>1.1</f>
        <v>1.1000000000000001</v>
      </c>
    </row>
    <row r="2097" spans="1:15" x14ac:dyDescent="0.25">
      <c r="A2097" s="1">
        <v>42977</v>
      </c>
      <c r="B2097" t="e">
        <f>NA()</f>
        <v>#N/A</v>
      </c>
      <c r="C2097" t="e">
        <f>NA()</f>
        <v>#N/A</v>
      </c>
      <c r="D2097" t="e">
        <f>NA()</f>
        <v>#N/A</v>
      </c>
      <c r="E2097" t="e">
        <f>NA()</f>
        <v>#N/A</v>
      </c>
      <c r="F2097" t="e">
        <f>NA()</f>
        <v>#N/A</v>
      </c>
      <c r="G2097" t="e">
        <f>NA()</f>
        <v>#N/A</v>
      </c>
      <c r="H2097" t="e">
        <f>NA()</f>
        <v>#N/A</v>
      </c>
      <c r="I2097" t="e">
        <f>NA()</f>
        <v>#N/A</v>
      </c>
      <c r="J2097" t="e">
        <f>NA()</f>
        <v>#N/A</v>
      </c>
      <c r="K2097" t="e">
        <f>NA()</f>
        <v>#N/A</v>
      </c>
      <c r="L2097" t="e">
        <f>NA()</f>
        <v>#N/A</v>
      </c>
      <c r="M2097" t="e">
        <f>NA()</f>
        <v>#N/A</v>
      </c>
      <c r="N2097" t="e">
        <f>NA()</f>
        <v>#N/A</v>
      </c>
      <c r="O2097">
        <f t="shared" ref="O2097:O2118" si="80">1.2</f>
        <v>1.2</v>
      </c>
    </row>
    <row r="2098" spans="1:15" x14ac:dyDescent="0.25">
      <c r="A2098" s="1">
        <v>42976</v>
      </c>
      <c r="B2098" t="e">
        <f>NA()</f>
        <v>#N/A</v>
      </c>
      <c r="C2098" t="e">
        <f>NA()</f>
        <v>#N/A</v>
      </c>
      <c r="D2098" t="e">
        <f>NA()</f>
        <v>#N/A</v>
      </c>
      <c r="E2098" t="e">
        <f>NA()</f>
        <v>#N/A</v>
      </c>
      <c r="F2098" t="e">
        <f>NA()</f>
        <v>#N/A</v>
      </c>
      <c r="G2098" t="e">
        <f>NA()</f>
        <v>#N/A</v>
      </c>
      <c r="H2098" t="e">
        <f>NA()</f>
        <v>#N/A</v>
      </c>
      <c r="I2098" t="e">
        <f>NA()</f>
        <v>#N/A</v>
      </c>
      <c r="J2098" t="e">
        <f>NA()</f>
        <v>#N/A</v>
      </c>
      <c r="K2098" t="e">
        <f>NA()</f>
        <v>#N/A</v>
      </c>
      <c r="L2098" t="e">
        <f>NA()</f>
        <v>#N/A</v>
      </c>
      <c r="M2098" t="e">
        <f>NA()</f>
        <v>#N/A</v>
      </c>
      <c r="N2098" t="e">
        <f>NA()</f>
        <v>#N/A</v>
      </c>
      <c r="O2098">
        <f t="shared" si="80"/>
        <v>1.2</v>
      </c>
    </row>
    <row r="2099" spans="1:15" x14ac:dyDescent="0.25">
      <c r="A2099" s="1">
        <v>42975</v>
      </c>
      <c r="B2099" t="e">
        <f>NA()</f>
        <v>#N/A</v>
      </c>
      <c r="C2099" t="e">
        <f>NA()</f>
        <v>#N/A</v>
      </c>
      <c r="D2099" t="e">
        <f>NA()</f>
        <v>#N/A</v>
      </c>
      <c r="E2099" t="e">
        <f>NA()</f>
        <v>#N/A</v>
      </c>
      <c r="F2099" t="e">
        <f>NA()</f>
        <v>#N/A</v>
      </c>
      <c r="G2099" t="e">
        <f>NA()</f>
        <v>#N/A</v>
      </c>
      <c r="H2099" t="e">
        <f>NA()</f>
        <v>#N/A</v>
      </c>
      <c r="I2099" t="e">
        <f>NA()</f>
        <v>#N/A</v>
      </c>
      <c r="J2099" t="e">
        <f>NA()</f>
        <v>#N/A</v>
      </c>
      <c r="K2099" t="e">
        <f>NA()</f>
        <v>#N/A</v>
      </c>
      <c r="L2099" t="e">
        <f>NA()</f>
        <v>#N/A</v>
      </c>
      <c r="M2099" t="e">
        <f>NA()</f>
        <v>#N/A</v>
      </c>
      <c r="N2099" t="e">
        <f>NA()</f>
        <v>#N/A</v>
      </c>
      <c r="O2099">
        <f t="shared" si="80"/>
        <v>1.2</v>
      </c>
    </row>
    <row r="2100" spans="1:15" x14ac:dyDescent="0.25">
      <c r="A2100" s="1">
        <v>42972</v>
      </c>
      <c r="B2100">
        <f>-0.5</f>
        <v>-0.5</v>
      </c>
      <c r="C2100">
        <f>0</f>
        <v>0</v>
      </c>
      <c r="D2100" t="e">
        <f>NA()</f>
        <v>#N/A</v>
      </c>
      <c r="E2100" t="e">
        <f>NA()</f>
        <v>#N/A</v>
      </c>
      <c r="F2100" t="e">
        <f>NA()</f>
        <v>#N/A</v>
      </c>
      <c r="G2100" t="e">
        <f>NA()</f>
        <v>#N/A</v>
      </c>
      <c r="H2100" t="e">
        <f>NA()</f>
        <v>#N/A</v>
      </c>
      <c r="I2100" t="e">
        <f>NA()</f>
        <v>#N/A</v>
      </c>
      <c r="J2100" t="e">
        <f>NA()</f>
        <v>#N/A</v>
      </c>
      <c r="K2100" t="e">
        <f>NA()</f>
        <v>#N/A</v>
      </c>
      <c r="L2100" t="e">
        <f>NA()</f>
        <v>#N/A</v>
      </c>
      <c r="M2100" t="e">
        <f>NA()</f>
        <v>#N/A</v>
      </c>
      <c r="N2100" t="e">
        <f>NA()</f>
        <v>#N/A</v>
      </c>
      <c r="O2100">
        <f t="shared" si="80"/>
        <v>1.2</v>
      </c>
    </row>
    <row r="2101" spans="1:15" x14ac:dyDescent="0.25">
      <c r="A2101" s="1">
        <v>42971</v>
      </c>
      <c r="B2101" t="e">
        <f>NA()</f>
        <v>#N/A</v>
      </c>
      <c r="C2101" t="e">
        <f>NA()</f>
        <v>#N/A</v>
      </c>
      <c r="D2101" t="e">
        <f>NA()</f>
        <v>#N/A</v>
      </c>
      <c r="E2101" t="e">
        <f>NA()</f>
        <v>#N/A</v>
      </c>
      <c r="F2101" t="e">
        <f>NA()</f>
        <v>#N/A</v>
      </c>
      <c r="G2101" t="e">
        <f>NA()</f>
        <v>#N/A</v>
      </c>
      <c r="H2101" t="e">
        <f>NA()</f>
        <v>#N/A</v>
      </c>
      <c r="I2101" t="e">
        <f>NA()</f>
        <v>#N/A</v>
      </c>
      <c r="J2101" t="e">
        <f>NA()</f>
        <v>#N/A</v>
      </c>
      <c r="K2101" t="e">
        <f>NA()</f>
        <v>#N/A</v>
      </c>
      <c r="L2101" t="e">
        <f>NA()</f>
        <v>#N/A</v>
      </c>
      <c r="M2101" t="e">
        <f>NA()</f>
        <v>#N/A</v>
      </c>
      <c r="N2101" t="e">
        <f>NA()</f>
        <v>#N/A</v>
      </c>
      <c r="O2101">
        <f t="shared" si="80"/>
        <v>1.2</v>
      </c>
    </row>
    <row r="2102" spans="1:15" x14ac:dyDescent="0.25">
      <c r="A2102" s="1">
        <v>42970</v>
      </c>
      <c r="B2102" t="e">
        <f>NA()</f>
        <v>#N/A</v>
      </c>
      <c r="C2102" t="e">
        <f>NA()</f>
        <v>#N/A</v>
      </c>
      <c r="D2102" t="e">
        <f>NA()</f>
        <v>#N/A</v>
      </c>
      <c r="E2102" t="e">
        <f>NA()</f>
        <v>#N/A</v>
      </c>
      <c r="F2102" t="e">
        <f>NA()</f>
        <v>#N/A</v>
      </c>
      <c r="G2102" t="e">
        <f>NA()</f>
        <v>#N/A</v>
      </c>
      <c r="H2102" t="e">
        <f>NA()</f>
        <v>#N/A</v>
      </c>
      <c r="I2102" t="e">
        <f>NA()</f>
        <v>#N/A</v>
      </c>
      <c r="J2102" t="e">
        <f>NA()</f>
        <v>#N/A</v>
      </c>
      <c r="K2102" t="e">
        <f>NA()</f>
        <v>#N/A</v>
      </c>
      <c r="L2102" t="e">
        <f>NA()</f>
        <v>#N/A</v>
      </c>
      <c r="M2102" t="e">
        <f>NA()</f>
        <v>#N/A</v>
      </c>
      <c r="N2102" t="e">
        <f>NA()</f>
        <v>#N/A</v>
      </c>
      <c r="O2102">
        <f t="shared" si="80"/>
        <v>1.2</v>
      </c>
    </row>
    <row r="2103" spans="1:15" x14ac:dyDescent="0.25">
      <c r="A2103" s="1">
        <v>42969</v>
      </c>
      <c r="B2103" t="e">
        <f>NA()</f>
        <v>#N/A</v>
      </c>
      <c r="C2103" t="e">
        <f>NA()</f>
        <v>#N/A</v>
      </c>
      <c r="D2103" t="e">
        <f>NA()</f>
        <v>#N/A</v>
      </c>
      <c r="E2103" t="e">
        <f>NA()</f>
        <v>#N/A</v>
      </c>
      <c r="F2103" t="e">
        <f>NA()</f>
        <v>#N/A</v>
      </c>
      <c r="G2103" t="e">
        <f>NA()</f>
        <v>#N/A</v>
      </c>
      <c r="H2103" t="e">
        <f>NA()</f>
        <v>#N/A</v>
      </c>
      <c r="I2103" t="e">
        <f>NA()</f>
        <v>#N/A</v>
      </c>
      <c r="J2103" t="e">
        <f>NA()</f>
        <v>#N/A</v>
      </c>
      <c r="K2103" t="e">
        <f>NA()</f>
        <v>#N/A</v>
      </c>
      <c r="L2103" t="e">
        <f>NA()</f>
        <v>#N/A</v>
      </c>
      <c r="M2103" t="e">
        <f>NA()</f>
        <v>#N/A</v>
      </c>
      <c r="N2103" t="e">
        <f>NA()</f>
        <v>#N/A</v>
      </c>
      <c r="O2103">
        <f t="shared" si="80"/>
        <v>1.2</v>
      </c>
    </row>
    <row r="2104" spans="1:15" x14ac:dyDescent="0.25">
      <c r="A2104" s="1">
        <v>42968</v>
      </c>
      <c r="B2104" t="e">
        <f>NA()</f>
        <v>#N/A</v>
      </c>
      <c r="C2104" t="e">
        <f>NA()</f>
        <v>#N/A</v>
      </c>
      <c r="D2104" t="e">
        <f>NA()</f>
        <v>#N/A</v>
      </c>
      <c r="E2104" t="e">
        <f>NA()</f>
        <v>#N/A</v>
      </c>
      <c r="F2104" t="e">
        <f>NA()</f>
        <v>#N/A</v>
      </c>
      <c r="G2104" t="e">
        <f>NA()</f>
        <v>#N/A</v>
      </c>
      <c r="H2104" t="e">
        <f>NA()</f>
        <v>#N/A</v>
      </c>
      <c r="I2104" t="e">
        <f>NA()</f>
        <v>#N/A</v>
      </c>
      <c r="J2104" t="e">
        <f>NA()</f>
        <v>#N/A</v>
      </c>
      <c r="K2104" t="e">
        <f>NA()</f>
        <v>#N/A</v>
      </c>
      <c r="L2104" t="e">
        <f>NA()</f>
        <v>#N/A</v>
      </c>
      <c r="M2104" t="e">
        <f>NA()</f>
        <v>#N/A</v>
      </c>
      <c r="N2104" t="e">
        <f>NA()</f>
        <v>#N/A</v>
      </c>
      <c r="O2104">
        <f t="shared" si="80"/>
        <v>1.2</v>
      </c>
    </row>
    <row r="2105" spans="1:15" x14ac:dyDescent="0.25">
      <c r="A2105" s="1">
        <v>42965</v>
      </c>
      <c r="B2105">
        <f>-0.4</f>
        <v>-0.4</v>
      </c>
      <c r="C2105">
        <f>0</f>
        <v>0</v>
      </c>
      <c r="D2105" t="e">
        <f>NA()</f>
        <v>#N/A</v>
      </c>
      <c r="E2105" t="e">
        <f>NA()</f>
        <v>#N/A</v>
      </c>
      <c r="F2105" t="e">
        <f>NA()</f>
        <v>#N/A</v>
      </c>
      <c r="G2105" t="e">
        <f>NA()</f>
        <v>#N/A</v>
      </c>
      <c r="H2105" t="e">
        <f>NA()</f>
        <v>#N/A</v>
      </c>
      <c r="I2105" t="e">
        <f>NA()</f>
        <v>#N/A</v>
      </c>
      <c r="J2105" t="e">
        <f>NA()</f>
        <v>#N/A</v>
      </c>
      <c r="K2105" t="e">
        <f>NA()</f>
        <v>#N/A</v>
      </c>
      <c r="L2105" t="e">
        <f>NA()</f>
        <v>#N/A</v>
      </c>
      <c r="M2105" t="e">
        <f>NA()</f>
        <v>#N/A</v>
      </c>
      <c r="N2105" t="e">
        <f>NA()</f>
        <v>#N/A</v>
      </c>
      <c r="O2105">
        <f t="shared" si="80"/>
        <v>1.2</v>
      </c>
    </row>
    <row r="2106" spans="1:15" x14ac:dyDescent="0.25">
      <c r="A2106" s="1">
        <v>42964</v>
      </c>
      <c r="B2106" t="e">
        <f>NA()</f>
        <v>#N/A</v>
      </c>
      <c r="C2106" t="e">
        <f>NA()</f>
        <v>#N/A</v>
      </c>
      <c r="D2106" t="e">
        <f>NA()</f>
        <v>#N/A</v>
      </c>
      <c r="E2106" t="e">
        <f>NA()</f>
        <v>#N/A</v>
      </c>
      <c r="F2106" t="e">
        <f>NA()</f>
        <v>#N/A</v>
      </c>
      <c r="G2106" t="e">
        <f>NA()</f>
        <v>#N/A</v>
      </c>
      <c r="H2106" t="e">
        <f>NA()</f>
        <v>#N/A</v>
      </c>
      <c r="I2106" t="e">
        <f>NA()</f>
        <v>#N/A</v>
      </c>
      <c r="J2106" t="e">
        <f>NA()</f>
        <v>#N/A</v>
      </c>
      <c r="K2106" t="e">
        <f>NA()</f>
        <v>#N/A</v>
      </c>
      <c r="L2106" t="e">
        <f>NA()</f>
        <v>#N/A</v>
      </c>
      <c r="M2106" t="e">
        <f>NA()</f>
        <v>#N/A</v>
      </c>
      <c r="N2106" t="e">
        <f>NA()</f>
        <v>#N/A</v>
      </c>
      <c r="O2106">
        <f t="shared" si="80"/>
        <v>1.2</v>
      </c>
    </row>
    <row r="2107" spans="1:15" x14ac:dyDescent="0.25">
      <c r="A2107" s="1">
        <v>42963</v>
      </c>
      <c r="B2107" t="e">
        <f>NA()</f>
        <v>#N/A</v>
      </c>
      <c r="C2107" t="e">
        <f>NA()</f>
        <v>#N/A</v>
      </c>
      <c r="D2107" t="e">
        <f>NA()</f>
        <v>#N/A</v>
      </c>
      <c r="E2107" t="e">
        <f>NA()</f>
        <v>#N/A</v>
      </c>
      <c r="F2107" t="e">
        <f>NA()</f>
        <v>#N/A</v>
      </c>
      <c r="G2107" t="e">
        <f>NA()</f>
        <v>#N/A</v>
      </c>
      <c r="H2107" t="e">
        <f>NA()</f>
        <v>#N/A</v>
      </c>
      <c r="I2107" t="e">
        <f>NA()</f>
        <v>#N/A</v>
      </c>
      <c r="J2107" t="e">
        <f>NA()</f>
        <v>#N/A</v>
      </c>
      <c r="K2107" t="e">
        <f>NA()</f>
        <v>#N/A</v>
      </c>
      <c r="L2107" t="e">
        <f>NA()</f>
        <v>#N/A</v>
      </c>
      <c r="M2107" t="e">
        <f>NA()</f>
        <v>#N/A</v>
      </c>
      <c r="N2107" t="e">
        <f>NA()</f>
        <v>#N/A</v>
      </c>
      <c r="O2107">
        <f t="shared" si="80"/>
        <v>1.2</v>
      </c>
    </row>
    <row r="2108" spans="1:15" x14ac:dyDescent="0.25">
      <c r="A2108" s="1">
        <v>42962</v>
      </c>
      <c r="B2108" t="e">
        <f>NA()</f>
        <v>#N/A</v>
      </c>
      <c r="C2108" t="e">
        <f>NA()</f>
        <v>#N/A</v>
      </c>
      <c r="D2108" t="e">
        <f>NA()</f>
        <v>#N/A</v>
      </c>
      <c r="E2108" t="e">
        <f>NA()</f>
        <v>#N/A</v>
      </c>
      <c r="F2108" t="e">
        <f>NA()</f>
        <v>#N/A</v>
      </c>
      <c r="G2108" t="e">
        <f>NA()</f>
        <v>#N/A</v>
      </c>
      <c r="H2108" t="e">
        <f>NA()</f>
        <v>#N/A</v>
      </c>
      <c r="I2108" t="e">
        <f>NA()</f>
        <v>#N/A</v>
      </c>
      <c r="J2108" t="e">
        <f>NA()</f>
        <v>#N/A</v>
      </c>
      <c r="K2108" t="e">
        <f>NA()</f>
        <v>#N/A</v>
      </c>
      <c r="L2108" t="e">
        <f>NA()</f>
        <v>#N/A</v>
      </c>
      <c r="M2108" t="e">
        <f>NA()</f>
        <v>#N/A</v>
      </c>
      <c r="N2108" t="e">
        <f>NA()</f>
        <v>#N/A</v>
      </c>
      <c r="O2108">
        <f t="shared" si="80"/>
        <v>1.2</v>
      </c>
    </row>
    <row r="2109" spans="1:15" x14ac:dyDescent="0.25">
      <c r="A2109" s="1">
        <v>42961</v>
      </c>
      <c r="B2109" t="e">
        <f>NA()</f>
        <v>#N/A</v>
      </c>
      <c r="C2109" t="e">
        <f>NA()</f>
        <v>#N/A</v>
      </c>
      <c r="D2109" t="e">
        <f>NA()</f>
        <v>#N/A</v>
      </c>
      <c r="E2109" t="e">
        <f>NA()</f>
        <v>#N/A</v>
      </c>
      <c r="F2109" t="e">
        <f>NA()</f>
        <v>#N/A</v>
      </c>
      <c r="G2109" t="e">
        <f>NA()</f>
        <v>#N/A</v>
      </c>
      <c r="H2109" t="e">
        <f>NA()</f>
        <v>#N/A</v>
      </c>
      <c r="I2109" t="e">
        <f>NA()</f>
        <v>#N/A</v>
      </c>
      <c r="J2109" t="e">
        <f>NA()</f>
        <v>#N/A</v>
      </c>
      <c r="K2109" t="e">
        <f>NA()</f>
        <v>#N/A</v>
      </c>
      <c r="L2109" t="e">
        <f>NA()</f>
        <v>#N/A</v>
      </c>
      <c r="M2109" t="e">
        <f>NA()</f>
        <v>#N/A</v>
      </c>
      <c r="N2109" t="e">
        <f>NA()</f>
        <v>#N/A</v>
      </c>
      <c r="O2109">
        <f t="shared" si="80"/>
        <v>1.2</v>
      </c>
    </row>
    <row r="2110" spans="1:15" x14ac:dyDescent="0.25">
      <c r="A2110" s="1">
        <v>42958</v>
      </c>
      <c r="B2110">
        <f>-0.5</f>
        <v>-0.5</v>
      </c>
      <c r="C2110">
        <f>0</f>
        <v>0</v>
      </c>
      <c r="D2110" t="e">
        <f>NA()</f>
        <v>#N/A</v>
      </c>
      <c r="E2110" t="e">
        <f>NA()</f>
        <v>#N/A</v>
      </c>
      <c r="F2110" t="e">
        <f>NA()</f>
        <v>#N/A</v>
      </c>
      <c r="G2110" t="e">
        <f>NA()</f>
        <v>#N/A</v>
      </c>
      <c r="H2110" t="e">
        <f>NA()</f>
        <v>#N/A</v>
      </c>
      <c r="I2110" t="e">
        <f>NA()</f>
        <v>#N/A</v>
      </c>
      <c r="J2110" t="e">
        <f>NA()</f>
        <v>#N/A</v>
      </c>
      <c r="K2110" t="e">
        <f>NA()</f>
        <v>#N/A</v>
      </c>
      <c r="L2110" t="e">
        <f>NA()</f>
        <v>#N/A</v>
      </c>
      <c r="M2110" t="e">
        <f>NA()</f>
        <v>#N/A</v>
      </c>
      <c r="N2110" t="e">
        <f>NA()</f>
        <v>#N/A</v>
      </c>
      <c r="O2110">
        <f t="shared" si="80"/>
        <v>1.2</v>
      </c>
    </row>
    <row r="2111" spans="1:15" x14ac:dyDescent="0.25">
      <c r="A2111" s="1">
        <v>42957</v>
      </c>
      <c r="B2111" t="e">
        <f>NA()</f>
        <v>#N/A</v>
      </c>
      <c r="C2111" t="e">
        <f>NA()</f>
        <v>#N/A</v>
      </c>
      <c r="D2111" t="e">
        <f>NA()</f>
        <v>#N/A</v>
      </c>
      <c r="E2111" t="e">
        <f>NA()</f>
        <v>#N/A</v>
      </c>
      <c r="F2111" t="e">
        <f>NA()</f>
        <v>#N/A</v>
      </c>
      <c r="G2111" t="e">
        <f>NA()</f>
        <v>#N/A</v>
      </c>
      <c r="H2111" t="e">
        <f>NA()</f>
        <v>#N/A</v>
      </c>
      <c r="I2111" t="e">
        <f>NA()</f>
        <v>#N/A</v>
      </c>
      <c r="J2111" t="e">
        <f>NA()</f>
        <v>#N/A</v>
      </c>
      <c r="K2111" t="e">
        <f>NA()</f>
        <v>#N/A</v>
      </c>
      <c r="L2111" t="e">
        <f>NA()</f>
        <v>#N/A</v>
      </c>
      <c r="M2111" t="e">
        <f>NA()</f>
        <v>#N/A</v>
      </c>
      <c r="N2111" t="e">
        <f>NA()</f>
        <v>#N/A</v>
      </c>
      <c r="O2111">
        <f t="shared" si="80"/>
        <v>1.2</v>
      </c>
    </row>
    <row r="2112" spans="1:15" x14ac:dyDescent="0.25">
      <c r="A2112" s="1">
        <v>42956</v>
      </c>
      <c r="B2112" t="e">
        <f>NA()</f>
        <v>#N/A</v>
      </c>
      <c r="C2112" t="e">
        <f>NA()</f>
        <v>#N/A</v>
      </c>
      <c r="D2112" t="e">
        <f>NA()</f>
        <v>#N/A</v>
      </c>
      <c r="E2112" t="e">
        <f>NA()</f>
        <v>#N/A</v>
      </c>
      <c r="F2112" t="e">
        <f>NA()</f>
        <v>#N/A</v>
      </c>
      <c r="G2112" t="e">
        <f>NA()</f>
        <v>#N/A</v>
      </c>
      <c r="H2112" t="e">
        <f>NA()</f>
        <v>#N/A</v>
      </c>
      <c r="I2112" t="e">
        <f>NA()</f>
        <v>#N/A</v>
      </c>
      <c r="J2112" t="e">
        <f>NA()</f>
        <v>#N/A</v>
      </c>
      <c r="K2112" t="e">
        <f>NA()</f>
        <v>#N/A</v>
      </c>
      <c r="L2112" t="e">
        <f>NA()</f>
        <v>#N/A</v>
      </c>
      <c r="M2112" t="e">
        <f>NA()</f>
        <v>#N/A</v>
      </c>
      <c r="N2112" t="e">
        <f>NA()</f>
        <v>#N/A</v>
      </c>
      <c r="O2112">
        <f t="shared" si="80"/>
        <v>1.2</v>
      </c>
    </row>
    <row r="2113" spans="1:15" x14ac:dyDescent="0.25">
      <c r="A2113" s="1">
        <v>42955</v>
      </c>
      <c r="B2113" t="e">
        <f>NA()</f>
        <v>#N/A</v>
      </c>
      <c r="C2113" t="e">
        <f>NA()</f>
        <v>#N/A</v>
      </c>
      <c r="D2113" t="e">
        <f>NA()</f>
        <v>#N/A</v>
      </c>
      <c r="E2113" t="e">
        <f>NA()</f>
        <v>#N/A</v>
      </c>
      <c r="F2113" t="e">
        <f>NA()</f>
        <v>#N/A</v>
      </c>
      <c r="G2113" t="e">
        <f>NA()</f>
        <v>#N/A</v>
      </c>
      <c r="H2113" t="e">
        <f>NA()</f>
        <v>#N/A</v>
      </c>
      <c r="I2113" t="e">
        <f>NA()</f>
        <v>#N/A</v>
      </c>
      <c r="J2113" t="e">
        <f>NA()</f>
        <v>#N/A</v>
      </c>
      <c r="K2113" t="e">
        <f>NA()</f>
        <v>#N/A</v>
      </c>
      <c r="L2113" t="e">
        <f>NA()</f>
        <v>#N/A</v>
      </c>
      <c r="M2113" t="e">
        <f>NA()</f>
        <v>#N/A</v>
      </c>
      <c r="N2113" t="e">
        <f>NA()</f>
        <v>#N/A</v>
      </c>
      <c r="O2113">
        <f t="shared" si="80"/>
        <v>1.2</v>
      </c>
    </row>
    <row r="2114" spans="1:15" x14ac:dyDescent="0.25">
      <c r="A2114" s="1">
        <v>42954</v>
      </c>
      <c r="B2114" t="e">
        <f>NA()</f>
        <v>#N/A</v>
      </c>
      <c r="C2114" t="e">
        <f>NA()</f>
        <v>#N/A</v>
      </c>
      <c r="D2114" t="e">
        <f>NA()</f>
        <v>#N/A</v>
      </c>
      <c r="E2114" t="e">
        <f>NA()</f>
        <v>#N/A</v>
      </c>
      <c r="F2114" t="e">
        <f>NA()</f>
        <v>#N/A</v>
      </c>
      <c r="G2114" t="e">
        <f>NA()</f>
        <v>#N/A</v>
      </c>
      <c r="H2114" t="e">
        <f>NA()</f>
        <v>#N/A</v>
      </c>
      <c r="I2114" t="e">
        <f>NA()</f>
        <v>#N/A</v>
      </c>
      <c r="J2114" t="e">
        <f>NA()</f>
        <v>#N/A</v>
      </c>
      <c r="K2114" t="e">
        <f>NA()</f>
        <v>#N/A</v>
      </c>
      <c r="L2114" t="e">
        <f>NA()</f>
        <v>#N/A</v>
      </c>
      <c r="M2114" t="e">
        <f>NA()</f>
        <v>#N/A</v>
      </c>
      <c r="N2114" t="e">
        <f>NA()</f>
        <v>#N/A</v>
      </c>
      <c r="O2114">
        <f t="shared" si="80"/>
        <v>1.2</v>
      </c>
    </row>
    <row r="2115" spans="1:15" x14ac:dyDescent="0.25">
      <c r="A2115" s="1">
        <v>42951</v>
      </c>
      <c r="B2115">
        <f>-0.6</f>
        <v>-0.6</v>
      </c>
      <c r="C2115">
        <f>0</f>
        <v>0</v>
      </c>
      <c r="D2115" t="e">
        <f>NA()</f>
        <v>#N/A</v>
      </c>
      <c r="E2115" t="e">
        <f>NA()</f>
        <v>#N/A</v>
      </c>
      <c r="F2115" t="e">
        <f>NA()</f>
        <v>#N/A</v>
      </c>
      <c r="G2115" t="e">
        <f>NA()</f>
        <v>#N/A</v>
      </c>
      <c r="H2115" t="e">
        <f>NA()</f>
        <v>#N/A</v>
      </c>
      <c r="I2115" t="e">
        <f>NA()</f>
        <v>#N/A</v>
      </c>
      <c r="J2115" t="e">
        <f>NA()</f>
        <v>#N/A</v>
      </c>
      <c r="K2115" t="e">
        <f>NA()</f>
        <v>#N/A</v>
      </c>
      <c r="L2115" t="e">
        <f>NA()</f>
        <v>#N/A</v>
      </c>
      <c r="M2115" t="e">
        <f>NA()</f>
        <v>#N/A</v>
      </c>
      <c r="N2115" t="e">
        <f>NA()</f>
        <v>#N/A</v>
      </c>
      <c r="O2115">
        <f t="shared" si="80"/>
        <v>1.2</v>
      </c>
    </row>
    <row r="2116" spans="1:15" x14ac:dyDescent="0.25">
      <c r="A2116" s="1">
        <v>42950</v>
      </c>
      <c r="B2116" t="e">
        <f>NA()</f>
        <v>#N/A</v>
      </c>
      <c r="C2116" t="e">
        <f>NA()</f>
        <v>#N/A</v>
      </c>
      <c r="D2116" t="e">
        <f>NA()</f>
        <v>#N/A</v>
      </c>
      <c r="E2116" t="e">
        <f>NA()</f>
        <v>#N/A</v>
      </c>
      <c r="F2116" t="e">
        <f>NA()</f>
        <v>#N/A</v>
      </c>
      <c r="G2116" t="e">
        <f>NA()</f>
        <v>#N/A</v>
      </c>
      <c r="H2116" t="e">
        <f>NA()</f>
        <v>#N/A</v>
      </c>
      <c r="I2116" t="e">
        <f>NA()</f>
        <v>#N/A</v>
      </c>
      <c r="J2116" t="e">
        <f>NA()</f>
        <v>#N/A</v>
      </c>
      <c r="K2116" t="e">
        <f>NA()</f>
        <v>#N/A</v>
      </c>
      <c r="L2116" t="e">
        <f>NA()</f>
        <v>#N/A</v>
      </c>
      <c r="M2116" t="e">
        <f>NA()</f>
        <v>#N/A</v>
      </c>
      <c r="N2116" t="e">
        <f>NA()</f>
        <v>#N/A</v>
      </c>
      <c r="O2116">
        <f t="shared" si="80"/>
        <v>1.2</v>
      </c>
    </row>
    <row r="2117" spans="1:15" x14ac:dyDescent="0.25">
      <c r="A2117" s="1">
        <v>42949</v>
      </c>
      <c r="B2117" t="e">
        <f>NA()</f>
        <v>#N/A</v>
      </c>
      <c r="C2117" t="e">
        <f>NA()</f>
        <v>#N/A</v>
      </c>
      <c r="D2117" t="e">
        <f>NA()</f>
        <v>#N/A</v>
      </c>
      <c r="E2117" t="e">
        <f>NA()</f>
        <v>#N/A</v>
      </c>
      <c r="F2117" t="e">
        <f>NA()</f>
        <v>#N/A</v>
      </c>
      <c r="G2117" t="e">
        <f>NA()</f>
        <v>#N/A</v>
      </c>
      <c r="H2117" t="e">
        <f>NA()</f>
        <v>#N/A</v>
      </c>
      <c r="I2117" t="e">
        <f>NA()</f>
        <v>#N/A</v>
      </c>
      <c r="J2117" t="e">
        <f>NA()</f>
        <v>#N/A</v>
      </c>
      <c r="K2117" t="e">
        <f>NA()</f>
        <v>#N/A</v>
      </c>
      <c r="L2117" t="e">
        <f>NA()</f>
        <v>#N/A</v>
      </c>
      <c r="M2117" t="e">
        <f>NA()</f>
        <v>#N/A</v>
      </c>
      <c r="N2117" t="e">
        <f>NA()</f>
        <v>#N/A</v>
      </c>
      <c r="O2117">
        <f t="shared" si="80"/>
        <v>1.2</v>
      </c>
    </row>
    <row r="2118" spans="1:15" x14ac:dyDescent="0.25">
      <c r="A2118" s="1">
        <v>42948</v>
      </c>
      <c r="B2118" t="e">
        <f>NA()</f>
        <v>#N/A</v>
      </c>
      <c r="C2118" t="e">
        <f>NA()</f>
        <v>#N/A</v>
      </c>
      <c r="D2118" t="e">
        <f>NA()</f>
        <v>#N/A</v>
      </c>
      <c r="E2118" t="e">
        <f>NA()</f>
        <v>#N/A</v>
      </c>
      <c r="F2118" t="e">
        <f>NA()</f>
        <v>#N/A</v>
      </c>
      <c r="G2118" t="e">
        <f>NA()</f>
        <v>#N/A</v>
      </c>
      <c r="H2118" t="e">
        <f>NA()</f>
        <v>#N/A</v>
      </c>
      <c r="I2118" t="e">
        <f>NA()</f>
        <v>#N/A</v>
      </c>
      <c r="J2118" t="e">
        <f>NA()</f>
        <v>#N/A</v>
      </c>
      <c r="K2118" t="e">
        <f>NA()</f>
        <v>#N/A</v>
      </c>
      <c r="L2118" t="e">
        <f>NA()</f>
        <v>#N/A</v>
      </c>
      <c r="M2118" t="e">
        <f>NA()</f>
        <v>#N/A</v>
      </c>
      <c r="N2118" t="e">
        <f>NA()</f>
        <v>#N/A</v>
      </c>
      <c r="O2118">
        <f t="shared" si="80"/>
        <v>1.2</v>
      </c>
    </row>
    <row r="2119" spans="1:15" x14ac:dyDescent="0.25">
      <c r="A2119" s="1">
        <v>42947</v>
      </c>
      <c r="B2119" t="e">
        <f>NA()</f>
        <v>#N/A</v>
      </c>
      <c r="C2119" t="e">
        <f>NA()</f>
        <v>#N/A</v>
      </c>
      <c r="D2119">
        <f>0.3</f>
        <v>0.3</v>
      </c>
      <c r="E2119">
        <f>0.8</f>
        <v>0.8</v>
      </c>
      <c r="F2119">
        <f>6238</f>
        <v>6238</v>
      </c>
      <c r="G2119">
        <f>62.9</f>
        <v>62.9</v>
      </c>
      <c r="H2119">
        <f>4</f>
        <v>4</v>
      </c>
      <c r="I2119">
        <f>244.8</f>
        <v>244.8</v>
      </c>
      <c r="J2119">
        <f>1.7</f>
        <v>1.7</v>
      </c>
      <c r="K2119">
        <f>56.5</f>
        <v>56.5</v>
      </c>
      <c r="L2119">
        <f>-0.2</f>
        <v>-0.2</v>
      </c>
      <c r="M2119" t="e">
        <f>NA()</f>
        <v>#N/A</v>
      </c>
      <c r="N2119">
        <f>4.3</f>
        <v>4.3</v>
      </c>
      <c r="O2119">
        <f>1.1</f>
        <v>1.1000000000000001</v>
      </c>
    </row>
    <row r="2120" spans="1:15" x14ac:dyDescent="0.25">
      <c r="A2120" s="1">
        <v>42944</v>
      </c>
      <c r="B2120">
        <f>-0.7</f>
        <v>-0.7</v>
      </c>
      <c r="C2120">
        <f>0</f>
        <v>0</v>
      </c>
      <c r="D2120" t="e">
        <f>NA()</f>
        <v>#N/A</v>
      </c>
      <c r="E2120" t="e">
        <f>NA()</f>
        <v>#N/A</v>
      </c>
      <c r="F2120" t="e">
        <f>NA()</f>
        <v>#N/A</v>
      </c>
      <c r="G2120" t="e">
        <f>NA()</f>
        <v>#N/A</v>
      </c>
      <c r="H2120" t="e">
        <f>NA()</f>
        <v>#N/A</v>
      </c>
      <c r="I2120" t="e">
        <f>NA()</f>
        <v>#N/A</v>
      </c>
      <c r="J2120" t="e">
        <f>NA()</f>
        <v>#N/A</v>
      </c>
      <c r="K2120" t="e">
        <f>NA()</f>
        <v>#N/A</v>
      </c>
      <c r="L2120" t="e">
        <f>NA()</f>
        <v>#N/A</v>
      </c>
      <c r="M2120" t="e">
        <f>NA()</f>
        <v>#N/A</v>
      </c>
      <c r="N2120" t="e">
        <f>NA()</f>
        <v>#N/A</v>
      </c>
      <c r="O2120">
        <f t="shared" ref="O2120:O2138" si="81">1.2</f>
        <v>1.2</v>
      </c>
    </row>
    <row r="2121" spans="1:15" x14ac:dyDescent="0.25">
      <c r="A2121" s="1">
        <v>42943</v>
      </c>
      <c r="B2121" t="e">
        <f>NA()</f>
        <v>#N/A</v>
      </c>
      <c r="C2121" t="e">
        <f>NA()</f>
        <v>#N/A</v>
      </c>
      <c r="D2121" t="e">
        <f>NA()</f>
        <v>#N/A</v>
      </c>
      <c r="E2121" t="e">
        <f>NA()</f>
        <v>#N/A</v>
      </c>
      <c r="F2121" t="e">
        <f>NA()</f>
        <v>#N/A</v>
      </c>
      <c r="G2121" t="e">
        <f>NA()</f>
        <v>#N/A</v>
      </c>
      <c r="H2121" t="e">
        <f>NA()</f>
        <v>#N/A</v>
      </c>
      <c r="I2121" t="e">
        <f>NA()</f>
        <v>#N/A</v>
      </c>
      <c r="J2121" t="e">
        <f>NA()</f>
        <v>#N/A</v>
      </c>
      <c r="K2121" t="e">
        <f>NA()</f>
        <v>#N/A</v>
      </c>
      <c r="L2121" t="e">
        <f>NA()</f>
        <v>#N/A</v>
      </c>
      <c r="M2121" t="e">
        <f>NA()</f>
        <v>#N/A</v>
      </c>
      <c r="N2121" t="e">
        <f>NA()</f>
        <v>#N/A</v>
      </c>
      <c r="O2121">
        <f t="shared" si="81"/>
        <v>1.2</v>
      </c>
    </row>
    <row r="2122" spans="1:15" x14ac:dyDescent="0.25">
      <c r="A2122" s="1">
        <v>42942</v>
      </c>
      <c r="B2122" t="e">
        <f>NA()</f>
        <v>#N/A</v>
      </c>
      <c r="C2122" t="e">
        <f>NA()</f>
        <v>#N/A</v>
      </c>
      <c r="D2122" t="e">
        <f>NA()</f>
        <v>#N/A</v>
      </c>
      <c r="E2122" t="e">
        <f>NA()</f>
        <v>#N/A</v>
      </c>
      <c r="F2122" t="e">
        <f>NA()</f>
        <v>#N/A</v>
      </c>
      <c r="G2122" t="e">
        <f>NA()</f>
        <v>#N/A</v>
      </c>
      <c r="H2122" t="e">
        <f>NA()</f>
        <v>#N/A</v>
      </c>
      <c r="I2122" t="e">
        <f>NA()</f>
        <v>#N/A</v>
      </c>
      <c r="J2122" t="e">
        <f>NA()</f>
        <v>#N/A</v>
      </c>
      <c r="K2122" t="e">
        <f>NA()</f>
        <v>#N/A</v>
      </c>
      <c r="L2122" t="e">
        <f>NA()</f>
        <v>#N/A</v>
      </c>
      <c r="M2122" t="e">
        <f>NA()</f>
        <v>#N/A</v>
      </c>
      <c r="N2122" t="e">
        <f>NA()</f>
        <v>#N/A</v>
      </c>
      <c r="O2122">
        <f t="shared" si="81"/>
        <v>1.2</v>
      </c>
    </row>
    <row r="2123" spans="1:15" x14ac:dyDescent="0.25">
      <c r="A2123" s="1">
        <v>42941</v>
      </c>
      <c r="B2123" t="e">
        <f>NA()</f>
        <v>#N/A</v>
      </c>
      <c r="C2123" t="e">
        <f>NA()</f>
        <v>#N/A</v>
      </c>
      <c r="D2123" t="e">
        <f>NA()</f>
        <v>#N/A</v>
      </c>
      <c r="E2123" t="e">
        <f>NA()</f>
        <v>#N/A</v>
      </c>
      <c r="F2123" t="e">
        <f>NA()</f>
        <v>#N/A</v>
      </c>
      <c r="G2123" t="e">
        <f>NA()</f>
        <v>#N/A</v>
      </c>
      <c r="H2123" t="e">
        <f>NA()</f>
        <v>#N/A</v>
      </c>
      <c r="I2123" t="e">
        <f>NA()</f>
        <v>#N/A</v>
      </c>
      <c r="J2123" t="e">
        <f>NA()</f>
        <v>#N/A</v>
      </c>
      <c r="K2123" t="e">
        <f>NA()</f>
        <v>#N/A</v>
      </c>
      <c r="L2123" t="e">
        <f>NA()</f>
        <v>#N/A</v>
      </c>
      <c r="M2123" t="e">
        <f>NA()</f>
        <v>#N/A</v>
      </c>
      <c r="N2123" t="e">
        <f>NA()</f>
        <v>#N/A</v>
      </c>
      <c r="O2123">
        <f t="shared" si="81"/>
        <v>1.2</v>
      </c>
    </row>
    <row r="2124" spans="1:15" x14ac:dyDescent="0.25">
      <c r="A2124" s="1">
        <v>42940</v>
      </c>
      <c r="B2124" t="e">
        <f>NA()</f>
        <v>#N/A</v>
      </c>
      <c r="C2124" t="e">
        <f>NA()</f>
        <v>#N/A</v>
      </c>
      <c r="D2124" t="e">
        <f>NA()</f>
        <v>#N/A</v>
      </c>
      <c r="E2124" t="e">
        <f>NA()</f>
        <v>#N/A</v>
      </c>
      <c r="F2124" t="e">
        <f>NA()</f>
        <v>#N/A</v>
      </c>
      <c r="G2124" t="e">
        <f>NA()</f>
        <v>#N/A</v>
      </c>
      <c r="H2124" t="e">
        <f>NA()</f>
        <v>#N/A</v>
      </c>
      <c r="I2124" t="e">
        <f>NA()</f>
        <v>#N/A</v>
      </c>
      <c r="J2124" t="e">
        <f>NA()</f>
        <v>#N/A</v>
      </c>
      <c r="K2124" t="e">
        <f>NA()</f>
        <v>#N/A</v>
      </c>
      <c r="L2124" t="e">
        <f>NA()</f>
        <v>#N/A</v>
      </c>
      <c r="M2124" t="e">
        <f>NA()</f>
        <v>#N/A</v>
      </c>
      <c r="N2124" t="e">
        <f>NA()</f>
        <v>#N/A</v>
      </c>
      <c r="O2124">
        <f t="shared" si="81"/>
        <v>1.2</v>
      </c>
    </row>
    <row r="2125" spans="1:15" x14ac:dyDescent="0.25">
      <c r="A2125" s="1">
        <v>42937</v>
      </c>
      <c r="B2125">
        <f>-0.7</f>
        <v>-0.7</v>
      </c>
      <c r="C2125">
        <f>0</f>
        <v>0</v>
      </c>
      <c r="D2125" t="e">
        <f>NA()</f>
        <v>#N/A</v>
      </c>
      <c r="E2125" t="e">
        <f>NA()</f>
        <v>#N/A</v>
      </c>
      <c r="F2125" t="e">
        <f>NA()</f>
        <v>#N/A</v>
      </c>
      <c r="G2125" t="e">
        <f>NA()</f>
        <v>#N/A</v>
      </c>
      <c r="H2125" t="e">
        <f>NA()</f>
        <v>#N/A</v>
      </c>
      <c r="I2125" t="e">
        <f>NA()</f>
        <v>#N/A</v>
      </c>
      <c r="J2125" t="e">
        <f>NA()</f>
        <v>#N/A</v>
      </c>
      <c r="K2125" t="e">
        <f>NA()</f>
        <v>#N/A</v>
      </c>
      <c r="L2125" t="e">
        <f>NA()</f>
        <v>#N/A</v>
      </c>
      <c r="M2125" t="e">
        <f>NA()</f>
        <v>#N/A</v>
      </c>
      <c r="N2125" t="e">
        <f>NA()</f>
        <v>#N/A</v>
      </c>
      <c r="O2125">
        <f t="shared" si="81"/>
        <v>1.2</v>
      </c>
    </row>
    <row r="2126" spans="1:15" x14ac:dyDescent="0.25">
      <c r="A2126" s="1">
        <v>42936</v>
      </c>
      <c r="B2126" t="e">
        <f>NA()</f>
        <v>#N/A</v>
      </c>
      <c r="C2126" t="e">
        <f>NA()</f>
        <v>#N/A</v>
      </c>
      <c r="D2126" t="e">
        <f>NA()</f>
        <v>#N/A</v>
      </c>
      <c r="E2126" t="e">
        <f>NA()</f>
        <v>#N/A</v>
      </c>
      <c r="F2126" t="e">
        <f>NA()</f>
        <v>#N/A</v>
      </c>
      <c r="G2126" t="e">
        <f>NA()</f>
        <v>#N/A</v>
      </c>
      <c r="H2126" t="e">
        <f>NA()</f>
        <v>#N/A</v>
      </c>
      <c r="I2126" t="e">
        <f>NA()</f>
        <v>#N/A</v>
      </c>
      <c r="J2126" t="e">
        <f>NA()</f>
        <v>#N/A</v>
      </c>
      <c r="K2126" t="e">
        <f>NA()</f>
        <v>#N/A</v>
      </c>
      <c r="L2126" t="e">
        <f>NA()</f>
        <v>#N/A</v>
      </c>
      <c r="M2126" t="e">
        <f>NA()</f>
        <v>#N/A</v>
      </c>
      <c r="N2126" t="e">
        <f>NA()</f>
        <v>#N/A</v>
      </c>
      <c r="O2126">
        <f t="shared" si="81"/>
        <v>1.2</v>
      </c>
    </row>
    <row r="2127" spans="1:15" x14ac:dyDescent="0.25">
      <c r="A2127" s="1">
        <v>42935</v>
      </c>
      <c r="B2127" t="e">
        <f>NA()</f>
        <v>#N/A</v>
      </c>
      <c r="C2127" t="e">
        <f>NA()</f>
        <v>#N/A</v>
      </c>
      <c r="D2127" t="e">
        <f>NA()</f>
        <v>#N/A</v>
      </c>
      <c r="E2127" t="e">
        <f>NA()</f>
        <v>#N/A</v>
      </c>
      <c r="F2127" t="e">
        <f>NA()</f>
        <v>#N/A</v>
      </c>
      <c r="G2127" t="e">
        <f>NA()</f>
        <v>#N/A</v>
      </c>
      <c r="H2127" t="e">
        <f>NA()</f>
        <v>#N/A</v>
      </c>
      <c r="I2127" t="e">
        <f>NA()</f>
        <v>#N/A</v>
      </c>
      <c r="J2127" t="e">
        <f>NA()</f>
        <v>#N/A</v>
      </c>
      <c r="K2127" t="e">
        <f>NA()</f>
        <v>#N/A</v>
      </c>
      <c r="L2127" t="e">
        <f>NA()</f>
        <v>#N/A</v>
      </c>
      <c r="M2127" t="e">
        <f>NA()</f>
        <v>#N/A</v>
      </c>
      <c r="N2127" t="e">
        <f>NA()</f>
        <v>#N/A</v>
      </c>
      <c r="O2127">
        <f t="shared" si="81"/>
        <v>1.2</v>
      </c>
    </row>
    <row r="2128" spans="1:15" x14ac:dyDescent="0.25">
      <c r="A2128" s="1">
        <v>42934</v>
      </c>
      <c r="B2128" t="e">
        <f>NA()</f>
        <v>#N/A</v>
      </c>
      <c r="C2128" t="e">
        <f>NA()</f>
        <v>#N/A</v>
      </c>
      <c r="D2128" t="e">
        <f>NA()</f>
        <v>#N/A</v>
      </c>
      <c r="E2128" t="e">
        <f>NA()</f>
        <v>#N/A</v>
      </c>
      <c r="F2128" t="e">
        <f>NA()</f>
        <v>#N/A</v>
      </c>
      <c r="G2128" t="e">
        <f>NA()</f>
        <v>#N/A</v>
      </c>
      <c r="H2128" t="e">
        <f>NA()</f>
        <v>#N/A</v>
      </c>
      <c r="I2128" t="e">
        <f>NA()</f>
        <v>#N/A</v>
      </c>
      <c r="J2128" t="e">
        <f>NA()</f>
        <v>#N/A</v>
      </c>
      <c r="K2128" t="e">
        <f>NA()</f>
        <v>#N/A</v>
      </c>
      <c r="L2128" t="e">
        <f>NA()</f>
        <v>#N/A</v>
      </c>
      <c r="M2128" t="e">
        <f>NA()</f>
        <v>#N/A</v>
      </c>
      <c r="N2128" t="e">
        <f>NA()</f>
        <v>#N/A</v>
      </c>
      <c r="O2128">
        <f t="shared" si="81"/>
        <v>1.2</v>
      </c>
    </row>
    <row r="2129" spans="1:15" x14ac:dyDescent="0.25">
      <c r="A2129" s="1">
        <v>42933</v>
      </c>
      <c r="B2129" t="e">
        <f>NA()</f>
        <v>#N/A</v>
      </c>
      <c r="C2129" t="e">
        <f>NA()</f>
        <v>#N/A</v>
      </c>
      <c r="D2129" t="e">
        <f>NA()</f>
        <v>#N/A</v>
      </c>
      <c r="E2129" t="e">
        <f>NA()</f>
        <v>#N/A</v>
      </c>
      <c r="F2129" t="e">
        <f>NA()</f>
        <v>#N/A</v>
      </c>
      <c r="G2129" t="e">
        <f>NA()</f>
        <v>#N/A</v>
      </c>
      <c r="H2129" t="e">
        <f>NA()</f>
        <v>#N/A</v>
      </c>
      <c r="I2129" t="e">
        <f>NA()</f>
        <v>#N/A</v>
      </c>
      <c r="J2129" t="e">
        <f>NA()</f>
        <v>#N/A</v>
      </c>
      <c r="K2129" t="e">
        <f>NA()</f>
        <v>#N/A</v>
      </c>
      <c r="L2129" t="e">
        <f>NA()</f>
        <v>#N/A</v>
      </c>
      <c r="M2129" t="e">
        <f>NA()</f>
        <v>#N/A</v>
      </c>
      <c r="N2129" t="e">
        <f>NA()</f>
        <v>#N/A</v>
      </c>
      <c r="O2129">
        <f t="shared" si="81"/>
        <v>1.2</v>
      </c>
    </row>
    <row r="2130" spans="1:15" x14ac:dyDescent="0.25">
      <c r="A2130" s="1">
        <v>42930</v>
      </c>
      <c r="B2130">
        <f>-0.6</f>
        <v>-0.6</v>
      </c>
      <c r="C2130">
        <f>0</f>
        <v>0</v>
      </c>
      <c r="D2130" t="e">
        <f>NA()</f>
        <v>#N/A</v>
      </c>
      <c r="E2130" t="e">
        <f>NA()</f>
        <v>#N/A</v>
      </c>
      <c r="F2130" t="e">
        <f>NA()</f>
        <v>#N/A</v>
      </c>
      <c r="G2130" t="e">
        <f>NA()</f>
        <v>#N/A</v>
      </c>
      <c r="H2130" t="e">
        <f>NA()</f>
        <v>#N/A</v>
      </c>
      <c r="I2130" t="e">
        <f>NA()</f>
        <v>#N/A</v>
      </c>
      <c r="J2130" t="e">
        <f>NA()</f>
        <v>#N/A</v>
      </c>
      <c r="K2130" t="e">
        <f>NA()</f>
        <v>#N/A</v>
      </c>
      <c r="L2130" t="e">
        <f>NA()</f>
        <v>#N/A</v>
      </c>
      <c r="M2130" t="e">
        <f>NA()</f>
        <v>#N/A</v>
      </c>
      <c r="N2130" t="e">
        <f>NA()</f>
        <v>#N/A</v>
      </c>
      <c r="O2130">
        <f t="shared" si="81"/>
        <v>1.2</v>
      </c>
    </row>
    <row r="2131" spans="1:15" x14ac:dyDescent="0.25">
      <c r="A2131" s="1">
        <v>42929</v>
      </c>
      <c r="B2131" t="e">
        <f>NA()</f>
        <v>#N/A</v>
      </c>
      <c r="C2131" t="e">
        <f>NA()</f>
        <v>#N/A</v>
      </c>
      <c r="D2131" t="e">
        <f>NA()</f>
        <v>#N/A</v>
      </c>
      <c r="E2131" t="e">
        <f>NA()</f>
        <v>#N/A</v>
      </c>
      <c r="F2131" t="e">
        <f>NA()</f>
        <v>#N/A</v>
      </c>
      <c r="G2131" t="e">
        <f>NA()</f>
        <v>#N/A</v>
      </c>
      <c r="H2131" t="e">
        <f>NA()</f>
        <v>#N/A</v>
      </c>
      <c r="I2131" t="e">
        <f>NA()</f>
        <v>#N/A</v>
      </c>
      <c r="J2131" t="e">
        <f>NA()</f>
        <v>#N/A</v>
      </c>
      <c r="K2131" t="e">
        <f>NA()</f>
        <v>#N/A</v>
      </c>
      <c r="L2131" t="e">
        <f>NA()</f>
        <v>#N/A</v>
      </c>
      <c r="M2131" t="e">
        <f>NA()</f>
        <v>#N/A</v>
      </c>
      <c r="N2131" t="e">
        <f>NA()</f>
        <v>#N/A</v>
      </c>
      <c r="O2131">
        <f t="shared" si="81"/>
        <v>1.2</v>
      </c>
    </row>
    <row r="2132" spans="1:15" x14ac:dyDescent="0.25">
      <c r="A2132" s="1">
        <v>42928</v>
      </c>
      <c r="B2132" t="e">
        <f>NA()</f>
        <v>#N/A</v>
      </c>
      <c r="C2132" t="e">
        <f>NA()</f>
        <v>#N/A</v>
      </c>
      <c r="D2132" t="e">
        <f>NA()</f>
        <v>#N/A</v>
      </c>
      <c r="E2132" t="e">
        <f>NA()</f>
        <v>#N/A</v>
      </c>
      <c r="F2132" t="e">
        <f>NA()</f>
        <v>#N/A</v>
      </c>
      <c r="G2132" t="e">
        <f>NA()</f>
        <v>#N/A</v>
      </c>
      <c r="H2132" t="e">
        <f>NA()</f>
        <v>#N/A</v>
      </c>
      <c r="I2132" t="e">
        <f>NA()</f>
        <v>#N/A</v>
      </c>
      <c r="J2132" t="e">
        <f>NA()</f>
        <v>#N/A</v>
      </c>
      <c r="K2132" t="e">
        <f>NA()</f>
        <v>#N/A</v>
      </c>
      <c r="L2132" t="e">
        <f>NA()</f>
        <v>#N/A</v>
      </c>
      <c r="M2132" t="e">
        <f>NA()</f>
        <v>#N/A</v>
      </c>
      <c r="N2132" t="e">
        <f>NA()</f>
        <v>#N/A</v>
      </c>
      <c r="O2132">
        <f t="shared" si="81"/>
        <v>1.2</v>
      </c>
    </row>
    <row r="2133" spans="1:15" x14ac:dyDescent="0.25">
      <c r="A2133" s="1">
        <v>42927</v>
      </c>
      <c r="B2133" t="e">
        <f>NA()</f>
        <v>#N/A</v>
      </c>
      <c r="C2133" t="e">
        <f>NA()</f>
        <v>#N/A</v>
      </c>
      <c r="D2133" t="e">
        <f>NA()</f>
        <v>#N/A</v>
      </c>
      <c r="E2133" t="e">
        <f>NA()</f>
        <v>#N/A</v>
      </c>
      <c r="F2133" t="e">
        <f>NA()</f>
        <v>#N/A</v>
      </c>
      <c r="G2133" t="e">
        <f>NA()</f>
        <v>#N/A</v>
      </c>
      <c r="H2133" t="e">
        <f>NA()</f>
        <v>#N/A</v>
      </c>
      <c r="I2133" t="e">
        <f>NA()</f>
        <v>#N/A</v>
      </c>
      <c r="J2133" t="e">
        <f>NA()</f>
        <v>#N/A</v>
      </c>
      <c r="K2133" t="e">
        <f>NA()</f>
        <v>#N/A</v>
      </c>
      <c r="L2133" t="e">
        <f>NA()</f>
        <v>#N/A</v>
      </c>
      <c r="M2133" t="e">
        <f>NA()</f>
        <v>#N/A</v>
      </c>
      <c r="N2133" t="e">
        <f>NA()</f>
        <v>#N/A</v>
      </c>
      <c r="O2133">
        <f t="shared" si="81"/>
        <v>1.2</v>
      </c>
    </row>
    <row r="2134" spans="1:15" x14ac:dyDescent="0.25">
      <c r="A2134" s="1">
        <v>42926</v>
      </c>
      <c r="B2134" t="e">
        <f>NA()</f>
        <v>#N/A</v>
      </c>
      <c r="C2134" t="e">
        <f>NA()</f>
        <v>#N/A</v>
      </c>
      <c r="D2134" t="e">
        <f>NA()</f>
        <v>#N/A</v>
      </c>
      <c r="E2134" t="e">
        <f>NA()</f>
        <v>#N/A</v>
      </c>
      <c r="F2134" t="e">
        <f>NA()</f>
        <v>#N/A</v>
      </c>
      <c r="G2134" t="e">
        <f>NA()</f>
        <v>#N/A</v>
      </c>
      <c r="H2134" t="e">
        <f>NA()</f>
        <v>#N/A</v>
      </c>
      <c r="I2134" t="e">
        <f>NA()</f>
        <v>#N/A</v>
      </c>
      <c r="J2134" t="e">
        <f>NA()</f>
        <v>#N/A</v>
      </c>
      <c r="K2134" t="e">
        <f>NA()</f>
        <v>#N/A</v>
      </c>
      <c r="L2134" t="e">
        <f>NA()</f>
        <v>#N/A</v>
      </c>
      <c r="M2134" t="e">
        <f>NA()</f>
        <v>#N/A</v>
      </c>
      <c r="N2134" t="e">
        <f>NA()</f>
        <v>#N/A</v>
      </c>
      <c r="O2134">
        <f t="shared" si="81"/>
        <v>1.2</v>
      </c>
    </row>
    <row r="2135" spans="1:15" x14ac:dyDescent="0.25">
      <c r="A2135" s="1">
        <v>42923</v>
      </c>
      <c r="B2135">
        <f>-0.6</f>
        <v>-0.6</v>
      </c>
      <c r="C2135">
        <f>0</f>
        <v>0</v>
      </c>
      <c r="D2135" t="e">
        <f>NA()</f>
        <v>#N/A</v>
      </c>
      <c r="E2135" t="e">
        <f>NA()</f>
        <v>#N/A</v>
      </c>
      <c r="F2135" t="e">
        <f>NA()</f>
        <v>#N/A</v>
      </c>
      <c r="G2135" t="e">
        <f>NA()</f>
        <v>#N/A</v>
      </c>
      <c r="H2135" t="e">
        <f>NA()</f>
        <v>#N/A</v>
      </c>
      <c r="I2135" t="e">
        <f>NA()</f>
        <v>#N/A</v>
      </c>
      <c r="J2135" t="e">
        <f>NA()</f>
        <v>#N/A</v>
      </c>
      <c r="K2135" t="e">
        <f>NA()</f>
        <v>#N/A</v>
      </c>
      <c r="L2135" t="e">
        <f>NA()</f>
        <v>#N/A</v>
      </c>
      <c r="M2135" t="e">
        <f>NA()</f>
        <v>#N/A</v>
      </c>
      <c r="N2135" t="e">
        <f>NA()</f>
        <v>#N/A</v>
      </c>
      <c r="O2135">
        <f t="shared" si="81"/>
        <v>1.2</v>
      </c>
    </row>
    <row r="2136" spans="1:15" x14ac:dyDescent="0.25">
      <c r="A2136" s="1">
        <v>42922</v>
      </c>
      <c r="B2136" t="e">
        <f>NA()</f>
        <v>#N/A</v>
      </c>
      <c r="C2136" t="e">
        <f>NA()</f>
        <v>#N/A</v>
      </c>
      <c r="D2136" t="e">
        <f>NA()</f>
        <v>#N/A</v>
      </c>
      <c r="E2136" t="e">
        <f>NA()</f>
        <v>#N/A</v>
      </c>
      <c r="F2136" t="e">
        <f>NA()</f>
        <v>#N/A</v>
      </c>
      <c r="G2136" t="e">
        <f>NA()</f>
        <v>#N/A</v>
      </c>
      <c r="H2136" t="e">
        <f>NA()</f>
        <v>#N/A</v>
      </c>
      <c r="I2136" t="e">
        <f>NA()</f>
        <v>#N/A</v>
      </c>
      <c r="J2136" t="e">
        <f>NA()</f>
        <v>#N/A</v>
      </c>
      <c r="K2136" t="e">
        <f>NA()</f>
        <v>#N/A</v>
      </c>
      <c r="L2136" t="e">
        <f>NA()</f>
        <v>#N/A</v>
      </c>
      <c r="M2136" t="e">
        <f>NA()</f>
        <v>#N/A</v>
      </c>
      <c r="N2136" t="e">
        <f>NA()</f>
        <v>#N/A</v>
      </c>
      <c r="O2136">
        <f t="shared" si="81"/>
        <v>1.2</v>
      </c>
    </row>
    <row r="2137" spans="1:15" x14ac:dyDescent="0.25">
      <c r="A2137" s="1">
        <v>42921</v>
      </c>
      <c r="B2137" t="e">
        <f>NA()</f>
        <v>#N/A</v>
      </c>
      <c r="C2137" t="e">
        <f>NA()</f>
        <v>#N/A</v>
      </c>
      <c r="D2137" t="e">
        <f>NA()</f>
        <v>#N/A</v>
      </c>
      <c r="E2137" t="e">
        <f>NA()</f>
        <v>#N/A</v>
      </c>
      <c r="F2137" t="e">
        <f>NA()</f>
        <v>#N/A</v>
      </c>
      <c r="G2137" t="e">
        <f>NA()</f>
        <v>#N/A</v>
      </c>
      <c r="H2137" t="e">
        <f>NA()</f>
        <v>#N/A</v>
      </c>
      <c r="I2137" t="e">
        <f>NA()</f>
        <v>#N/A</v>
      </c>
      <c r="J2137" t="e">
        <f>NA()</f>
        <v>#N/A</v>
      </c>
      <c r="K2137" t="e">
        <f>NA()</f>
        <v>#N/A</v>
      </c>
      <c r="L2137" t="e">
        <f>NA()</f>
        <v>#N/A</v>
      </c>
      <c r="M2137" t="e">
        <f>NA()</f>
        <v>#N/A</v>
      </c>
      <c r="N2137" t="e">
        <f>NA()</f>
        <v>#N/A</v>
      </c>
      <c r="O2137">
        <f t="shared" si="81"/>
        <v>1.2</v>
      </c>
    </row>
    <row r="2138" spans="1:15" x14ac:dyDescent="0.25">
      <c r="A2138" s="1">
        <v>42919</v>
      </c>
      <c r="B2138" t="e">
        <f>NA()</f>
        <v>#N/A</v>
      </c>
      <c r="C2138" t="e">
        <f>NA()</f>
        <v>#N/A</v>
      </c>
      <c r="D2138" t="e">
        <f>NA()</f>
        <v>#N/A</v>
      </c>
      <c r="E2138" t="e">
        <f>NA()</f>
        <v>#N/A</v>
      </c>
      <c r="F2138" t="e">
        <f>NA()</f>
        <v>#N/A</v>
      </c>
      <c r="G2138" t="e">
        <f>NA()</f>
        <v>#N/A</v>
      </c>
      <c r="H2138" t="e">
        <f>NA()</f>
        <v>#N/A</v>
      </c>
      <c r="I2138" t="e">
        <f>NA()</f>
        <v>#N/A</v>
      </c>
      <c r="J2138" t="e">
        <f>NA()</f>
        <v>#N/A</v>
      </c>
      <c r="K2138" t="e">
        <f>NA()</f>
        <v>#N/A</v>
      </c>
      <c r="L2138" t="e">
        <f>NA()</f>
        <v>#N/A</v>
      </c>
      <c r="M2138" t="e">
        <f>NA()</f>
        <v>#N/A</v>
      </c>
      <c r="N2138" t="e">
        <f>NA()</f>
        <v>#N/A</v>
      </c>
      <c r="O2138">
        <f t="shared" si="81"/>
        <v>1.2</v>
      </c>
    </row>
    <row r="2139" spans="1:15" x14ac:dyDescent="0.25">
      <c r="A2139" s="1">
        <v>42916</v>
      </c>
      <c r="B2139">
        <f>-0.6</f>
        <v>-0.6</v>
      </c>
      <c r="C2139">
        <f>0</f>
        <v>0</v>
      </c>
      <c r="D2139">
        <f>0.2</f>
        <v>0.2</v>
      </c>
      <c r="E2139">
        <f>0.8</f>
        <v>0.8</v>
      </c>
      <c r="F2139">
        <f>6305</f>
        <v>6305</v>
      </c>
      <c r="G2139">
        <f>62.8</f>
        <v>62.8</v>
      </c>
      <c r="H2139">
        <f>3.9</f>
        <v>3.9</v>
      </c>
      <c r="I2139">
        <f>245</f>
        <v>245</v>
      </c>
      <c r="J2139">
        <f>1.6</f>
        <v>1.6</v>
      </c>
      <c r="K2139">
        <f>56.2</f>
        <v>56.2</v>
      </c>
      <c r="L2139">
        <f>0.2</f>
        <v>0.2</v>
      </c>
      <c r="M2139">
        <f>2.3</f>
        <v>2.2999999999999998</v>
      </c>
      <c r="N2139">
        <f>4.3</f>
        <v>4.3</v>
      </c>
      <c r="O2139">
        <f>1.1</f>
        <v>1.1000000000000001</v>
      </c>
    </row>
    <row r="2140" spans="1:15" x14ac:dyDescent="0.25">
      <c r="A2140" s="1">
        <v>42915</v>
      </c>
      <c r="B2140" t="e">
        <f>NA()</f>
        <v>#N/A</v>
      </c>
      <c r="C2140" t="e">
        <f>NA()</f>
        <v>#N/A</v>
      </c>
      <c r="D2140" t="e">
        <f>NA()</f>
        <v>#N/A</v>
      </c>
      <c r="E2140" t="e">
        <f>NA()</f>
        <v>#N/A</v>
      </c>
      <c r="F2140" t="e">
        <f>NA()</f>
        <v>#N/A</v>
      </c>
      <c r="G2140" t="e">
        <f>NA()</f>
        <v>#N/A</v>
      </c>
      <c r="H2140" t="e">
        <f>NA()</f>
        <v>#N/A</v>
      </c>
      <c r="I2140" t="e">
        <f>NA()</f>
        <v>#N/A</v>
      </c>
      <c r="J2140" t="e">
        <f>NA()</f>
        <v>#N/A</v>
      </c>
      <c r="K2140" t="e">
        <f>NA()</f>
        <v>#N/A</v>
      </c>
      <c r="L2140" t="e">
        <f>NA()</f>
        <v>#N/A</v>
      </c>
      <c r="M2140" t="e">
        <f>NA()</f>
        <v>#N/A</v>
      </c>
      <c r="N2140" t="e">
        <f>NA()</f>
        <v>#N/A</v>
      </c>
      <c r="O2140">
        <f t="shared" ref="O2140:O2150" si="82">1.2</f>
        <v>1.2</v>
      </c>
    </row>
    <row r="2141" spans="1:15" x14ac:dyDescent="0.25">
      <c r="A2141" s="1">
        <v>42914</v>
      </c>
      <c r="B2141" t="e">
        <f>NA()</f>
        <v>#N/A</v>
      </c>
      <c r="C2141" t="e">
        <f>NA()</f>
        <v>#N/A</v>
      </c>
      <c r="D2141" t="e">
        <f>NA()</f>
        <v>#N/A</v>
      </c>
      <c r="E2141" t="e">
        <f>NA()</f>
        <v>#N/A</v>
      </c>
      <c r="F2141" t="e">
        <f>NA()</f>
        <v>#N/A</v>
      </c>
      <c r="G2141" t="e">
        <f>NA()</f>
        <v>#N/A</v>
      </c>
      <c r="H2141" t="e">
        <f>NA()</f>
        <v>#N/A</v>
      </c>
      <c r="I2141" t="e">
        <f>NA()</f>
        <v>#N/A</v>
      </c>
      <c r="J2141" t="e">
        <f>NA()</f>
        <v>#N/A</v>
      </c>
      <c r="K2141" t="e">
        <f>NA()</f>
        <v>#N/A</v>
      </c>
      <c r="L2141" t="e">
        <f>NA()</f>
        <v>#N/A</v>
      </c>
      <c r="M2141" t="e">
        <f>NA()</f>
        <v>#N/A</v>
      </c>
      <c r="N2141" t="e">
        <f>NA()</f>
        <v>#N/A</v>
      </c>
      <c r="O2141">
        <f t="shared" si="82"/>
        <v>1.2</v>
      </c>
    </row>
    <row r="2142" spans="1:15" x14ac:dyDescent="0.25">
      <c r="A2142" s="1">
        <v>42913</v>
      </c>
      <c r="B2142" t="e">
        <f>NA()</f>
        <v>#N/A</v>
      </c>
      <c r="C2142" t="e">
        <f>NA()</f>
        <v>#N/A</v>
      </c>
      <c r="D2142" t="e">
        <f>NA()</f>
        <v>#N/A</v>
      </c>
      <c r="E2142" t="e">
        <f>NA()</f>
        <v>#N/A</v>
      </c>
      <c r="F2142" t="e">
        <f>NA()</f>
        <v>#N/A</v>
      </c>
      <c r="G2142" t="e">
        <f>NA()</f>
        <v>#N/A</v>
      </c>
      <c r="H2142" t="e">
        <f>NA()</f>
        <v>#N/A</v>
      </c>
      <c r="I2142" t="e">
        <f>NA()</f>
        <v>#N/A</v>
      </c>
      <c r="J2142" t="e">
        <f>NA()</f>
        <v>#N/A</v>
      </c>
      <c r="K2142" t="e">
        <f>NA()</f>
        <v>#N/A</v>
      </c>
      <c r="L2142" t="e">
        <f>NA()</f>
        <v>#N/A</v>
      </c>
      <c r="M2142" t="e">
        <f>NA()</f>
        <v>#N/A</v>
      </c>
      <c r="N2142" t="e">
        <f>NA()</f>
        <v>#N/A</v>
      </c>
      <c r="O2142">
        <f t="shared" si="82"/>
        <v>1.2</v>
      </c>
    </row>
    <row r="2143" spans="1:15" x14ac:dyDescent="0.25">
      <c r="A2143" s="1">
        <v>42912</v>
      </c>
      <c r="B2143" t="e">
        <f>NA()</f>
        <v>#N/A</v>
      </c>
      <c r="C2143" t="e">
        <f>NA()</f>
        <v>#N/A</v>
      </c>
      <c r="D2143" t="e">
        <f>NA()</f>
        <v>#N/A</v>
      </c>
      <c r="E2143" t="e">
        <f>NA()</f>
        <v>#N/A</v>
      </c>
      <c r="F2143" t="e">
        <f>NA()</f>
        <v>#N/A</v>
      </c>
      <c r="G2143" t="e">
        <f>NA()</f>
        <v>#N/A</v>
      </c>
      <c r="H2143" t="e">
        <f>NA()</f>
        <v>#N/A</v>
      </c>
      <c r="I2143" t="e">
        <f>NA()</f>
        <v>#N/A</v>
      </c>
      <c r="J2143" t="e">
        <f>NA()</f>
        <v>#N/A</v>
      </c>
      <c r="K2143" t="e">
        <f>NA()</f>
        <v>#N/A</v>
      </c>
      <c r="L2143" t="e">
        <f>NA()</f>
        <v>#N/A</v>
      </c>
      <c r="M2143" t="e">
        <f>NA()</f>
        <v>#N/A</v>
      </c>
      <c r="N2143" t="e">
        <f>NA()</f>
        <v>#N/A</v>
      </c>
      <c r="O2143">
        <f t="shared" si="82"/>
        <v>1.2</v>
      </c>
    </row>
    <row r="2144" spans="1:15" x14ac:dyDescent="0.25">
      <c r="A2144" s="1">
        <v>42909</v>
      </c>
      <c r="B2144">
        <f>-0.5</f>
        <v>-0.5</v>
      </c>
      <c r="C2144">
        <f>0</f>
        <v>0</v>
      </c>
      <c r="D2144" t="e">
        <f>NA()</f>
        <v>#N/A</v>
      </c>
      <c r="E2144" t="e">
        <f>NA()</f>
        <v>#N/A</v>
      </c>
      <c r="F2144" t="e">
        <f>NA()</f>
        <v>#N/A</v>
      </c>
      <c r="G2144" t="e">
        <f>NA()</f>
        <v>#N/A</v>
      </c>
      <c r="H2144" t="e">
        <f>NA()</f>
        <v>#N/A</v>
      </c>
      <c r="I2144" t="e">
        <f>NA()</f>
        <v>#N/A</v>
      </c>
      <c r="J2144" t="e">
        <f>NA()</f>
        <v>#N/A</v>
      </c>
      <c r="K2144" t="e">
        <f>NA()</f>
        <v>#N/A</v>
      </c>
      <c r="L2144" t="e">
        <f>NA()</f>
        <v>#N/A</v>
      </c>
      <c r="M2144" t="e">
        <f>NA()</f>
        <v>#N/A</v>
      </c>
      <c r="N2144" t="e">
        <f>NA()</f>
        <v>#N/A</v>
      </c>
      <c r="O2144">
        <f t="shared" si="82"/>
        <v>1.2</v>
      </c>
    </row>
    <row r="2145" spans="1:15" x14ac:dyDescent="0.25">
      <c r="A2145" s="1">
        <v>42908</v>
      </c>
      <c r="B2145" t="e">
        <f>NA()</f>
        <v>#N/A</v>
      </c>
      <c r="C2145" t="e">
        <f>NA()</f>
        <v>#N/A</v>
      </c>
      <c r="D2145" t="e">
        <f>NA()</f>
        <v>#N/A</v>
      </c>
      <c r="E2145" t="e">
        <f>NA()</f>
        <v>#N/A</v>
      </c>
      <c r="F2145" t="e">
        <f>NA()</f>
        <v>#N/A</v>
      </c>
      <c r="G2145" t="e">
        <f>NA()</f>
        <v>#N/A</v>
      </c>
      <c r="H2145" t="e">
        <f>NA()</f>
        <v>#N/A</v>
      </c>
      <c r="I2145" t="e">
        <f>NA()</f>
        <v>#N/A</v>
      </c>
      <c r="J2145" t="e">
        <f>NA()</f>
        <v>#N/A</v>
      </c>
      <c r="K2145" t="e">
        <f>NA()</f>
        <v>#N/A</v>
      </c>
      <c r="L2145" t="e">
        <f>NA()</f>
        <v>#N/A</v>
      </c>
      <c r="M2145" t="e">
        <f>NA()</f>
        <v>#N/A</v>
      </c>
      <c r="N2145" t="e">
        <f>NA()</f>
        <v>#N/A</v>
      </c>
      <c r="O2145">
        <f t="shared" si="82"/>
        <v>1.2</v>
      </c>
    </row>
    <row r="2146" spans="1:15" x14ac:dyDescent="0.25">
      <c r="A2146" s="1">
        <v>42907</v>
      </c>
      <c r="B2146" t="e">
        <f>NA()</f>
        <v>#N/A</v>
      </c>
      <c r="C2146" t="e">
        <f>NA()</f>
        <v>#N/A</v>
      </c>
      <c r="D2146" t="e">
        <f>NA()</f>
        <v>#N/A</v>
      </c>
      <c r="E2146" t="e">
        <f>NA()</f>
        <v>#N/A</v>
      </c>
      <c r="F2146" t="e">
        <f>NA()</f>
        <v>#N/A</v>
      </c>
      <c r="G2146" t="e">
        <f>NA()</f>
        <v>#N/A</v>
      </c>
      <c r="H2146" t="e">
        <f>NA()</f>
        <v>#N/A</v>
      </c>
      <c r="I2146" t="e">
        <f>NA()</f>
        <v>#N/A</v>
      </c>
      <c r="J2146" t="e">
        <f>NA()</f>
        <v>#N/A</v>
      </c>
      <c r="K2146" t="e">
        <f>NA()</f>
        <v>#N/A</v>
      </c>
      <c r="L2146" t="e">
        <f>NA()</f>
        <v>#N/A</v>
      </c>
      <c r="M2146" t="e">
        <f>NA()</f>
        <v>#N/A</v>
      </c>
      <c r="N2146" t="e">
        <f>NA()</f>
        <v>#N/A</v>
      </c>
      <c r="O2146">
        <f t="shared" si="82"/>
        <v>1.2</v>
      </c>
    </row>
    <row r="2147" spans="1:15" x14ac:dyDescent="0.25">
      <c r="A2147" s="1">
        <v>42906</v>
      </c>
      <c r="B2147" t="e">
        <f>NA()</f>
        <v>#N/A</v>
      </c>
      <c r="C2147" t="e">
        <f>NA()</f>
        <v>#N/A</v>
      </c>
      <c r="D2147" t="e">
        <f>NA()</f>
        <v>#N/A</v>
      </c>
      <c r="E2147" t="e">
        <f>NA()</f>
        <v>#N/A</v>
      </c>
      <c r="F2147" t="e">
        <f>NA()</f>
        <v>#N/A</v>
      </c>
      <c r="G2147" t="e">
        <f>NA()</f>
        <v>#N/A</v>
      </c>
      <c r="H2147" t="e">
        <f>NA()</f>
        <v>#N/A</v>
      </c>
      <c r="I2147" t="e">
        <f>NA()</f>
        <v>#N/A</v>
      </c>
      <c r="J2147" t="e">
        <f>NA()</f>
        <v>#N/A</v>
      </c>
      <c r="K2147" t="e">
        <f>NA()</f>
        <v>#N/A</v>
      </c>
      <c r="L2147" t="e">
        <f>NA()</f>
        <v>#N/A</v>
      </c>
      <c r="M2147" t="e">
        <f>NA()</f>
        <v>#N/A</v>
      </c>
      <c r="N2147" t="e">
        <f>NA()</f>
        <v>#N/A</v>
      </c>
      <c r="O2147">
        <f t="shared" si="82"/>
        <v>1.2</v>
      </c>
    </row>
    <row r="2148" spans="1:15" x14ac:dyDescent="0.25">
      <c r="A2148" s="1">
        <v>42905</v>
      </c>
      <c r="B2148" t="e">
        <f>NA()</f>
        <v>#N/A</v>
      </c>
      <c r="C2148" t="e">
        <f>NA()</f>
        <v>#N/A</v>
      </c>
      <c r="D2148" t="e">
        <f>NA()</f>
        <v>#N/A</v>
      </c>
      <c r="E2148" t="e">
        <f>NA()</f>
        <v>#N/A</v>
      </c>
      <c r="F2148" t="e">
        <f>NA()</f>
        <v>#N/A</v>
      </c>
      <c r="G2148" t="e">
        <f>NA()</f>
        <v>#N/A</v>
      </c>
      <c r="H2148" t="e">
        <f>NA()</f>
        <v>#N/A</v>
      </c>
      <c r="I2148" t="e">
        <f>NA()</f>
        <v>#N/A</v>
      </c>
      <c r="J2148" t="e">
        <f>NA()</f>
        <v>#N/A</v>
      </c>
      <c r="K2148" t="e">
        <f>NA()</f>
        <v>#N/A</v>
      </c>
      <c r="L2148" t="e">
        <f>NA()</f>
        <v>#N/A</v>
      </c>
      <c r="M2148" t="e">
        <f>NA()</f>
        <v>#N/A</v>
      </c>
      <c r="N2148" t="e">
        <f>NA()</f>
        <v>#N/A</v>
      </c>
      <c r="O2148">
        <f t="shared" si="82"/>
        <v>1.2</v>
      </c>
    </row>
    <row r="2149" spans="1:15" x14ac:dyDescent="0.25">
      <c r="A2149" s="1">
        <v>42902</v>
      </c>
      <c r="B2149">
        <f>-0.7</f>
        <v>-0.7</v>
      </c>
      <c r="C2149">
        <f>0</f>
        <v>0</v>
      </c>
      <c r="D2149" t="e">
        <f>NA()</f>
        <v>#N/A</v>
      </c>
      <c r="E2149" t="e">
        <f>NA()</f>
        <v>#N/A</v>
      </c>
      <c r="F2149" t="e">
        <f>NA()</f>
        <v>#N/A</v>
      </c>
      <c r="G2149" t="e">
        <f>NA()</f>
        <v>#N/A</v>
      </c>
      <c r="H2149" t="e">
        <f>NA()</f>
        <v>#N/A</v>
      </c>
      <c r="I2149" t="e">
        <f>NA()</f>
        <v>#N/A</v>
      </c>
      <c r="J2149" t="e">
        <f>NA()</f>
        <v>#N/A</v>
      </c>
      <c r="K2149" t="e">
        <f>NA()</f>
        <v>#N/A</v>
      </c>
      <c r="L2149" t="e">
        <f>NA()</f>
        <v>#N/A</v>
      </c>
      <c r="M2149" t="e">
        <f>NA()</f>
        <v>#N/A</v>
      </c>
      <c r="N2149" t="e">
        <f>NA()</f>
        <v>#N/A</v>
      </c>
      <c r="O2149">
        <f t="shared" si="82"/>
        <v>1.2</v>
      </c>
    </row>
    <row r="2150" spans="1:15" x14ac:dyDescent="0.25">
      <c r="A2150" s="1">
        <v>42901</v>
      </c>
      <c r="B2150" t="e">
        <f>NA()</f>
        <v>#N/A</v>
      </c>
      <c r="C2150" t="e">
        <f>NA()</f>
        <v>#N/A</v>
      </c>
      <c r="D2150" t="e">
        <f>NA()</f>
        <v>#N/A</v>
      </c>
      <c r="E2150" t="e">
        <f>NA()</f>
        <v>#N/A</v>
      </c>
      <c r="F2150" t="e">
        <f>NA()</f>
        <v>#N/A</v>
      </c>
      <c r="G2150" t="e">
        <f>NA()</f>
        <v>#N/A</v>
      </c>
      <c r="H2150" t="e">
        <f>NA()</f>
        <v>#N/A</v>
      </c>
      <c r="I2150" t="e">
        <f>NA()</f>
        <v>#N/A</v>
      </c>
      <c r="J2150" t="e">
        <f>NA()</f>
        <v>#N/A</v>
      </c>
      <c r="K2150" t="e">
        <f>NA()</f>
        <v>#N/A</v>
      </c>
      <c r="L2150" t="e">
        <f>NA()</f>
        <v>#N/A</v>
      </c>
      <c r="M2150" t="e">
        <f>NA()</f>
        <v>#N/A</v>
      </c>
      <c r="N2150" t="e">
        <f>NA()</f>
        <v>#N/A</v>
      </c>
      <c r="O2150">
        <f t="shared" si="82"/>
        <v>1.2</v>
      </c>
    </row>
    <row r="2151" spans="1:15" x14ac:dyDescent="0.25">
      <c r="A2151" s="1">
        <v>42900</v>
      </c>
      <c r="B2151" t="e">
        <f>NA()</f>
        <v>#N/A</v>
      </c>
      <c r="C2151" t="e">
        <f>NA()</f>
        <v>#N/A</v>
      </c>
      <c r="D2151" t="e">
        <f>NA()</f>
        <v>#N/A</v>
      </c>
      <c r="E2151" t="e">
        <f>NA()</f>
        <v>#N/A</v>
      </c>
      <c r="F2151" t="e">
        <f>NA()</f>
        <v>#N/A</v>
      </c>
      <c r="G2151" t="e">
        <f>NA()</f>
        <v>#N/A</v>
      </c>
      <c r="H2151" t="e">
        <f>NA()</f>
        <v>#N/A</v>
      </c>
      <c r="I2151" t="e">
        <f>NA()</f>
        <v>#N/A</v>
      </c>
      <c r="J2151" t="e">
        <f>NA()</f>
        <v>#N/A</v>
      </c>
      <c r="K2151" t="e">
        <f>NA()</f>
        <v>#N/A</v>
      </c>
      <c r="L2151" t="e">
        <f>NA()</f>
        <v>#N/A</v>
      </c>
      <c r="M2151" t="e">
        <f>NA()</f>
        <v>#N/A</v>
      </c>
      <c r="N2151" t="e">
        <f>NA()</f>
        <v>#N/A</v>
      </c>
      <c r="O2151">
        <f t="shared" ref="O2151:O2160" si="83">0.9</f>
        <v>0.9</v>
      </c>
    </row>
    <row r="2152" spans="1:15" x14ac:dyDescent="0.25">
      <c r="A2152" s="1">
        <v>42899</v>
      </c>
      <c r="B2152" t="e">
        <f>NA()</f>
        <v>#N/A</v>
      </c>
      <c r="C2152" t="e">
        <f>NA()</f>
        <v>#N/A</v>
      </c>
      <c r="D2152" t="e">
        <f>NA()</f>
        <v>#N/A</v>
      </c>
      <c r="E2152" t="e">
        <f>NA()</f>
        <v>#N/A</v>
      </c>
      <c r="F2152" t="e">
        <f>NA()</f>
        <v>#N/A</v>
      </c>
      <c r="G2152" t="e">
        <f>NA()</f>
        <v>#N/A</v>
      </c>
      <c r="H2152" t="e">
        <f>NA()</f>
        <v>#N/A</v>
      </c>
      <c r="I2152" t="e">
        <f>NA()</f>
        <v>#N/A</v>
      </c>
      <c r="J2152" t="e">
        <f>NA()</f>
        <v>#N/A</v>
      </c>
      <c r="K2152" t="e">
        <f>NA()</f>
        <v>#N/A</v>
      </c>
      <c r="L2152" t="e">
        <f>NA()</f>
        <v>#N/A</v>
      </c>
      <c r="M2152" t="e">
        <f>NA()</f>
        <v>#N/A</v>
      </c>
      <c r="N2152" t="e">
        <f>NA()</f>
        <v>#N/A</v>
      </c>
      <c r="O2152">
        <f t="shared" si="83"/>
        <v>0.9</v>
      </c>
    </row>
    <row r="2153" spans="1:15" x14ac:dyDescent="0.25">
      <c r="A2153" s="1">
        <v>42898</v>
      </c>
      <c r="B2153" t="e">
        <f>NA()</f>
        <v>#N/A</v>
      </c>
      <c r="C2153" t="e">
        <f>NA()</f>
        <v>#N/A</v>
      </c>
      <c r="D2153" t="e">
        <f>NA()</f>
        <v>#N/A</v>
      </c>
      <c r="E2153" t="e">
        <f>NA()</f>
        <v>#N/A</v>
      </c>
      <c r="F2153" t="e">
        <f>NA()</f>
        <v>#N/A</v>
      </c>
      <c r="G2153" t="e">
        <f>NA()</f>
        <v>#N/A</v>
      </c>
      <c r="H2153" t="e">
        <f>NA()</f>
        <v>#N/A</v>
      </c>
      <c r="I2153" t="e">
        <f>NA()</f>
        <v>#N/A</v>
      </c>
      <c r="J2153" t="e">
        <f>NA()</f>
        <v>#N/A</v>
      </c>
      <c r="K2153" t="e">
        <f>NA()</f>
        <v>#N/A</v>
      </c>
      <c r="L2153" t="e">
        <f>NA()</f>
        <v>#N/A</v>
      </c>
      <c r="M2153" t="e">
        <f>NA()</f>
        <v>#N/A</v>
      </c>
      <c r="N2153" t="e">
        <f>NA()</f>
        <v>#N/A</v>
      </c>
      <c r="O2153">
        <f t="shared" si="83"/>
        <v>0.9</v>
      </c>
    </row>
    <row r="2154" spans="1:15" x14ac:dyDescent="0.25">
      <c r="A2154" s="1">
        <v>42895</v>
      </c>
      <c r="B2154">
        <f>-0.7</f>
        <v>-0.7</v>
      </c>
      <c r="C2154">
        <f>0</f>
        <v>0</v>
      </c>
      <c r="D2154" t="e">
        <f>NA()</f>
        <v>#N/A</v>
      </c>
      <c r="E2154" t="e">
        <f>NA()</f>
        <v>#N/A</v>
      </c>
      <c r="F2154" t="e">
        <f>NA()</f>
        <v>#N/A</v>
      </c>
      <c r="G2154" t="e">
        <f>NA()</f>
        <v>#N/A</v>
      </c>
      <c r="H2154" t="e">
        <f>NA()</f>
        <v>#N/A</v>
      </c>
      <c r="I2154" t="e">
        <f>NA()</f>
        <v>#N/A</v>
      </c>
      <c r="J2154" t="e">
        <f>NA()</f>
        <v>#N/A</v>
      </c>
      <c r="K2154" t="e">
        <f>NA()</f>
        <v>#N/A</v>
      </c>
      <c r="L2154" t="e">
        <f>NA()</f>
        <v>#N/A</v>
      </c>
      <c r="M2154" t="e">
        <f>NA()</f>
        <v>#N/A</v>
      </c>
      <c r="N2154" t="e">
        <f>NA()</f>
        <v>#N/A</v>
      </c>
      <c r="O2154">
        <f t="shared" si="83"/>
        <v>0.9</v>
      </c>
    </row>
    <row r="2155" spans="1:15" x14ac:dyDescent="0.25">
      <c r="A2155" s="1">
        <v>42894</v>
      </c>
      <c r="B2155" t="e">
        <f>NA()</f>
        <v>#N/A</v>
      </c>
      <c r="C2155" t="e">
        <f>NA()</f>
        <v>#N/A</v>
      </c>
      <c r="D2155" t="e">
        <f>NA()</f>
        <v>#N/A</v>
      </c>
      <c r="E2155" t="e">
        <f>NA()</f>
        <v>#N/A</v>
      </c>
      <c r="F2155" t="e">
        <f>NA()</f>
        <v>#N/A</v>
      </c>
      <c r="G2155" t="e">
        <f>NA()</f>
        <v>#N/A</v>
      </c>
      <c r="H2155" t="e">
        <f>NA()</f>
        <v>#N/A</v>
      </c>
      <c r="I2155" t="e">
        <f>NA()</f>
        <v>#N/A</v>
      </c>
      <c r="J2155" t="e">
        <f>NA()</f>
        <v>#N/A</v>
      </c>
      <c r="K2155" t="e">
        <f>NA()</f>
        <v>#N/A</v>
      </c>
      <c r="L2155" t="e">
        <f>NA()</f>
        <v>#N/A</v>
      </c>
      <c r="M2155" t="e">
        <f>NA()</f>
        <v>#N/A</v>
      </c>
      <c r="N2155" t="e">
        <f>NA()</f>
        <v>#N/A</v>
      </c>
      <c r="O2155">
        <f t="shared" si="83"/>
        <v>0.9</v>
      </c>
    </row>
    <row r="2156" spans="1:15" x14ac:dyDescent="0.25">
      <c r="A2156" s="1">
        <v>42893</v>
      </c>
      <c r="B2156" t="e">
        <f>NA()</f>
        <v>#N/A</v>
      </c>
      <c r="C2156" t="e">
        <f>NA()</f>
        <v>#N/A</v>
      </c>
      <c r="D2156" t="e">
        <f>NA()</f>
        <v>#N/A</v>
      </c>
      <c r="E2156" t="e">
        <f>NA()</f>
        <v>#N/A</v>
      </c>
      <c r="F2156" t="e">
        <f>NA()</f>
        <v>#N/A</v>
      </c>
      <c r="G2156" t="e">
        <f>NA()</f>
        <v>#N/A</v>
      </c>
      <c r="H2156" t="e">
        <f>NA()</f>
        <v>#N/A</v>
      </c>
      <c r="I2156" t="e">
        <f>NA()</f>
        <v>#N/A</v>
      </c>
      <c r="J2156" t="e">
        <f>NA()</f>
        <v>#N/A</v>
      </c>
      <c r="K2156" t="e">
        <f>NA()</f>
        <v>#N/A</v>
      </c>
      <c r="L2156" t="e">
        <f>NA()</f>
        <v>#N/A</v>
      </c>
      <c r="M2156" t="e">
        <f>NA()</f>
        <v>#N/A</v>
      </c>
      <c r="N2156" t="e">
        <f>NA()</f>
        <v>#N/A</v>
      </c>
      <c r="O2156">
        <f t="shared" si="83"/>
        <v>0.9</v>
      </c>
    </row>
    <row r="2157" spans="1:15" x14ac:dyDescent="0.25">
      <c r="A2157" s="1">
        <v>42892</v>
      </c>
      <c r="B2157" t="e">
        <f>NA()</f>
        <v>#N/A</v>
      </c>
      <c r="C2157" t="e">
        <f>NA()</f>
        <v>#N/A</v>
      </c>
      <c r="D2157" t="e">
        <f>NA()</f>
        <v>#N/A</v>
      </c>
      <c r="E2157" t="e">
        <f>NA()</f>
        <v>#N/A</v>
      </c>
      <c r="F2157" t="e">
        <f>NA()</f>
        <v>#N/A</v>
      </c>
      <c r="G2157" t="e">
        <f>NA()</f>
        <v>#N/A</v>
      </c>
      <c r="H2157" t="e">
        <f>NA()</f>
        <v>#N/A</v>
      </c>
      <c r="I2157" t="e">
        <f>NA()</f>
        <v>#N/A</v>
      </c>
      <c r="J2157" t="e">
        <f>NA()</f>
        <v>#N/A</v>
      </c>
      <c r="K2157" t="e">
        <f>NA()</f>
        <v>#N/A</v>
      </c>
      <c r="L2157" t="e">
        <f>NA()</f>
        <v>#N/A</v>
      </c>
      <c r="M2157" t="e">
        <f>NA()</f>
        <v>#N/A</v>
      </c>
      <c r="N2157" t="e">
        <f>NA()</f>
        <v>#N/A</v>
      </c>
      <c r="O2157">
        <f t="shared" si="83"/>
        <v>0.9</v>
      </c>
    </row>
    <row r="2158" spans="1:15" x14ac:dyDescent="0.25">
      <c r="A2158" s="1">
        <v>42891</v>
      </c>
      <c r="B2158" t="e">
        <f>NA()</f>
        <v>#N/A</v>
      </c>
      <c r="C2158" t="e">
        <f>NA()</f>
        <v>#N/A</v>
      </c>
      <c r="D2158" t="e">
        <f>NA()</f>
        <v>#N/A</v>
      </c>
      <c r="E2158" t="e">
        <f>NA()</f>
        <v>#N/A</v>
      </c>
      <c r="F2158" t="e">
        <f>NA()</f>
        <v>#N/A</v>
      </c>
      <c r="G2158" t="e">
        <f>NA()</f>
        <v>#N/A</v>
      </c>
      <c r="H2158" t="e">
        <f>NA()</f>
        <v>#N/A</v>
      </c>
      <c r="I2158" t="e">
        <f>NA()</f>
        <v>#N/A</v>
      </c>
      <c r="J2158" t="e">
        <f>NA()</f>
        <v>#N/A</v>
      </c>
      <c r="K2158" t="e">
        <f>NA()</f>
        <v>#N/A</v>
      </c>
      <c r="L2158" t="e">
        <f>NA()</f>
        <v>#N/A</v>
      </c>
      <c r="M2158" t="e">
        <f>NA()</f>
        <v>#N/A</v>
      </c>
      <c r="N2158" t="e">
        <f>NA()</f>
        <v>#N/A</v>
      </c>
      <c r="O2158">
        <f t="shared" si="83"/>
        <v>0.9</v>
      </c>
    </row>
    <row r="2159" spans="1:15" x14ac:dyDescent="0.25">
      <c r="A2159" s="1">
        <v>42888</v>
      </c>
      <c r="B2159">
        <f>-0.6</f>
        <v>-0.6</v>
      </c>
      <c r="C2159">
        <f>0</f>
        <v>0</v>
      </c>
      <c r="D2159" t="e">
        <f>NA()</f>
        <v>#N/A</v>
      </c>
      <c r="E2159" t="e">
        <f>NA()</f>
        <v>#N/A</v>
      </c>
      <c r="F2159" t="e">
        <f>NA()</f>
        <v>#N/A</v>
      </c>
      <c r="G2159" t="e">
        <f>NA()</f>
        <v>#N/A</v>
      </c>
      <c r="H2159" t="e">
        <f>NA()</f>
        <v>#N/A</v>
      </c>
      <c r="I2159" t="e">
        <f>NA()</f>
        <v>#N/A</v>
      </c>
      <c r="J2159" t="e">
        <f>NA()</f>
        <v>#N/A</v>
      </c>
      <c r="K2159" t="e">
        <f>NA()</f>
        <v>#N/A</v>
      </c>
      <c r="L2159" t="e">
        <f>NA()</f>
        <v>#N/A</v>
      </c>
      <c r="M2159" t="e">
        <f>NA()</f>
        <v>#N/A</v>
      </c>
      <c r="N2159" t="e">
        <f>NA()</f>
        <v>#N/A</v>
      </c>
      <c r="O2159">
        <f t="shared" si="83"/>
        <v>0.9</v>
      </c>
    </row>
    <row r="2160" spans="1:15" x14ac:dyDescent="0.25">
      <c r="A2160" s="1">
        <v>42887</v>
      </c>
      <c r="B2160" t="e">
        <f>NA()</f>
        <v>#N/A</v>
      </c>
      <c r="C2160" t="e">
        <f>NA()</f>
        <v>#N/A</v>
      </c>
      <c r="D2160" t="e">
        <f>NA()</f>
        <v>#N/A</v>
      </c>
      <c r="E2160" t="e">
        <f>NA()</f>
        <v>#N/A</v>
      </c>
      <c r="F2160" t="e">
        <f>NA()</f>
        <v>#N/A</v>
      </c>
      <c r="G2160" t="e">
        <f>NA()</f>
        <v>#N/A</v>
      </c>
      <c r="H2160" t="e">
        <f>NA()</f>
        <v>#N/A</v>
      </c>
      <c r="I2160" t="e">
        <f>NA()</f>
        <v>#N/A</v>
      </c>
      <c r="J2160" t="e">
        <f>NA()</f>
        <v>#N/A</v>
      </c>
      <c r="K2160" t="e">
        <f>NA()</f>
        <v>#N/A</v>
      </c>
      <c r="L2160" t="e">
        <f>NA()</f>
        <v>#N/A</v>
      </c>
      <c r="M2160" t="e">
        <f>NA()</f>
        <v>#N/A</v>
      </c>
      <c r="N2160" t="e">
        <f>NA()</f>
        <v>#N/A</v>
      </c>
      <c r="O2160">
        <f t="shared" si="83"/>
        <v>0.9</v>
      </c>
    </row>
    <row r="2161" spans="1:15" x14ac:dyDescent="0.25">
      <c r="A2161" s="1">
        <v>42886</v>
      </c>
      <c r="B2161" t="e">
        <f>NA()</f>
        <v>#N/A</v>
      </c>
      <c r="C2161" t="e">
        <f>NA()</f>
        <v>#N/A</v>
      </c>
      <c r="D2161">
        <f>0.2</f>
        <v>0.2</v>
      </c>
      <c r="E2161">
        <f>0.6</f>
        <v>0.6</v>
      </c>
      <c r="F2161">
        <f>5826</f>
        <v>5826</v>
      </c>
      <c r="G2161">
        <f>62.8</f>
        <v>62.8</v>
      </c>
      <c r="H2161">
        <f>4.1</f>
        <v>4.0999999999999996</v>
      </c>
      <c r="I2161">
        <f>244.7</f>
        <v>244.7</v>
      </c>
      <c r="J2161">
        <f>1.9</f>
        <v>1.9</v>
      </c>
      <c r="K2161">
        <f>56.4</f>
        <v>56.4</v>
      </c>
      <c r="L2161">
        <f>0.1</f>
        <v>0.1</v>
      </c>
      <c r="M2161" t="e">
        <f>NA()</f>
        <v>#N/A</v>
      </c>
      <c r="N2161">
        <f>4.4</f>
        <v>4.4000000000000004</v>
      </c>
      <c r="O2161">
        <f>0.8</f>
        <v>0.8</v>
      </c>
    </row>
    <row r="2162" spans="1:15" x14ac:dyDescent="0.25">
      <c r="A2162" s="1">
        <v>42885</v>
      </c>
      <c r="B2162" t="e">
        <f>NA()</f>
        <v>#N/A</v>
      </c>
      <c r="C2162" t="e">
        <f>NA()</f>
        <v>#N/A</v>
      </c>
      <c r="D2162" t="e">
        <f>NA()</f>
        <v>#N/A</v>
      </c>
      <c r="E2162" t="e">
        <f>NA()</f>
        <v>#N/A</v>
      </c>
      <c r="F2162" t="e">
        <f>NA()</f>
        <v>#N/A</v>
      </c>
      <c r="G2162" t="e">
        <f>NA()</f>
        <v>#N/A</v>
      </c>
      <c r="H2162" t="e">
        <f>NA()</f>
        <v>#N/A</v>
      </c>
      <c r="I2162" t="e">
        <f>NA()</f>
        <v>#N/A</v>
      </c>
      <c r="J2162" t="e">
        <f>NA()</f>
        <v>#N/A</v>
      </c>
      <c r="K2162" t="e">
        <f>NA()</f>
        <v>#N/A</v>
      </c>
      <c r="L2162" t="e">
        <f>NA()</f>
        <v>#N/A</v>
      </c>
      <c r="M2162" t="e">
        <f>NA()</f>
        <v>#N/A</v>
      </c>
      <c r="N2162" t="e">
        <f>NA()</f>
        <v>#N/A</v>
      </c>
      <c r="O2162">
        <f t="shared" ref="O2162:O2182" si="84">0.9</f>
        <v>0.9</v>
      </c>
    </row>
    <row r="2163" spans="1:15" x14ac:dyDescent="0.25">
      <c r="A2163" s="1">
        <v>42881</v>
      </c>
      <c r="B2163">
        <f>-0.7</f>
        <v>-0.7</v>
      </c>
      <c r="C2163">
        <f>0</f>
        <v>0</v>
      </c>
      <c r="D2163" t="e">
        <f>NA()</f>
        <v>#N/A</v>
      </c>
      <c r="E2163" t="e">
        <f>NA()</f>
        <v>#N/A</v>
      </c>
      <c r="F2163" t="e">
        <f>NA()</f>
        <v>#N/A</v>
      </c>
      <c r="G2163" t="e">
        <f>NA()</f>
        <v>#N/A</v>
      </c>
      <c r="H2163" t="e">
        <f>NA()</f>
        <v>#N/A</v>
      </c>
      <c r="I2163" t="e">
        <f>NA()</f>
        <v>#N/A</v>
      </c>
      <c r="J2163" t="e">
        <f>NA()</f>
        <v>#N/A</v>
      </c>
      <c r="K2163" t="e">
        <f>NA()</f>
        <v>#N/A</v>
      </c>
      <c r="L2163" t="e">
        <f>NA()</f>
        <v>#N/A</v>
      </c>
      <c r="M2163" t="e">
        <f>NA()</f>
        <v>#N/A</v>
      </c>
      <c r="N2163" t="e">
        <f>NA()</f>
        <v>#N/A</v>
      </c>
      <c r="O2163">
        <f t="shared" si="84"/>
        <v>0.9</v>
      </c>
    </row>
    <row r="2164" spans="1:15" x14ac:dyDescent="0.25">
      <c r="A2164" s="1">
        <v>42880</v>
      </c>
      <c r="B2164" t="e">
        <f>NA()</f>
        <v>#N/A</v>
      </c>
      <c r="C2164" t="e">
        <f>NA()</f>
        <v>#N/A</v>
      </c>
      <c r="D2164" t="e">
        <f>NA()</f>
        <v>#N/A</v>
      </c>
      <c r="E2164" t="e">
        <f>NA()</f>
        <v>#N/A</v>
      </c>
      <c r="F2164" t="e">
        <f>NA()</f>
        <v>#N/A</v>
      </c>
      <c r="G2164" t="e">
        <f>NA()</f>
        <v>#N/A</v>
      </c>
      <c r="H2164" t="e">
        <f>NA()</f>
        <v>#N/A</v>
      </c>
      <c r="I2164" t="e">
        <f>NA()</f>
        <v>#N/A</v>
      </c>
      <c r="J2164" t="e">
        <f>NA()</f>
        <v>#N/A</v>
      </c>
      <c r="K2164" t="e">
        <f>NA()</f>
        <v>#N/A</v>
      </c>
      <c r="L2164" t="e">
        <f>NA()</f>
        <v>#N/A</v>
      </c>
      <c r="M2164" t="e">
        <f>NA()</f>
        <v>#N/A</v>
      </c>
      <c r="N2164" t="e">
        <f>NA()</f>
        <v>#N/A</v>
      </c>
      <c r="O2164">
        <f t="shared" si="84"/>
        <v>0.9</v>
      </c>
    </row>
    <row r="2165" spans="1:15" x14ac:dyDescent="0.25">
      <c r="A2165" s="1">
        <v>42879</v>
      </c>
      <c r="B2165" t="e">
        <f>NA()</f>
        <v>#N/A</v>
      </c>
      <c r="C2165" t="e">
        <f>NA()</f>
        <v>#N/A</v>
      </c>
      <c r="D2165" t="e">
        <f>NA()</f>
        <v>#N/A</v>
      </c>
      <c r="E2165" t="e">
        <f>NA()</f>
        <v>#N/A</v>
      </c>
      <c r="F2165" t="e">
        <f>NA()</f>
        <v>#N/A</v>
      </c>
      <c r="G2165" t="e">
        <f>NA()</f>
        <v>#N/A</v>
      </c>
      <c r="H2165" t="e">
        <f>NA()</f>
        <v>#N/A</v>
      </c>
      <c r="I2165" t="e">
        <f>NA()</f>
        <v>#N/A</v>
      </c>
      <c r="J2165" t="e">
        <f>NA()</f>
        <v>#N/A</v>
      </c>
      <c r="K2165" t="e">
        <f>NA()</f>
        <v>#N/A</v>
      </c>
      <c r="L2165" t="e">
        <f>NA()</f>
        <v>#N/A</v>
      </c>
      <c r="M2165" t="e">
        <f>NA()</f>
        <v>#N/A</v>
      </c>
      <c r="N2165" t="e">
        <f>NA()</f>
        <v>#N/A</v>
      </c>
      <c r="O2165">
        <f t="shared" si="84"/>
        <v>0.9</v>
      </c>
    </row>
    <row r="2166" spans="1:15" x14ac:dyDescent="0.25">
      <c r="A2166" s="1">
        <v>42878</v>
      </c>
      <c r="B2166" t="e">
        <f>NA()</f>
        <v>#N/A</v>
      </c>
      <c r="C2166" t="e">
        <f>NA()</f>
        <v>#N/A</v>
      </c>
      <c r="D2166" t="e">
        <f>NA()</f>
        <v>#N/A</v>
      </c>
      <c r="E2166" t="e">
        <f>NA()</f>
        <v>#N/A</v>
      </c>
      <c r="F2166" t="e">
        <f>NA()</f>
        <v>#N/A</v>
      </c>
      <c r="G2166" t="e">
        <f>NA()</f>
        <v>#N/A</v>
      </c>
      <c r="H2166" t="e">
        <f>NA()</f>
        <v>#N/A</v>
      </c>
      <c r="I2166" t="e">
        <f>NA()</f>
        <v>#N/A</v>
      </c>
      <c r="J2166" t="e">
        <f>NA()</f>
        <v>#N/A</v>
      </c>
      <c r="K2166" t="e">
        <f>NA()</f>
        <v>#N/A</v>
      </c>
      <c r="L2166" t="e">
        <f>NA()</f>
        <v>#N/A</v>
      </c>
      <c r="M2166" t="e">
        <f>NA()</f>
        <v>#N/A</v>
      </c>
      <c r="N2166" t="e">
        <f>NA()</f>
        <v>#N/A</v>
      </c>
      <c r="O2166">
        <f t="shared" si="84"/>
        <v>0.9</v>
      </c>
    </row>
    <row r="2167" spans="1:15" x14ac:dyDescent="0.25">
      <c r="A2167" s="1">
        <v>42877</v>
      </c>
      <c r="B2167" t="e">
        <f>NA()</f>
        <v>#N/A</v>
      </c>
      <c r="C2167" t="e">
        <f>NA()</f>
        <v>#N/A</v>
      </c>
      <c r="D2167" t="e">
        <f>NA()</f>
        <v>#N/A</v>
      </c>
      <c r="E2167" t="e">
        <f>NA()</f>
        <v>#N/A</v>
      </c>
      <c r="F2167" t="e">
        <f>NA()</f>
        <v>#N/A</v>
      </c>
      <c r="G2167" t="e">
        <f>NA()</f>
        <v>#N/A</v>
      </c>
      <c r="H2167" t="e">
        <f>NA()</f>
        <v>#N/A</v>
      </c>
      <c r="I2167" t="e">
        <f>NA()</f>
        <v>#N/A</v>
      </c>
      <c r="J2167" t="e">
        <f>NA()</f>
        <v>#N/A</v>
      </c>
      <c r="K2167" t="e">
        <f>NA()</f>
        <v>#N/A</v>
      </c>
      <c r="L2167" t="e">
        <f>NA()</f>
        <v>#N/A</v>
      </c>
      <c r="M2167" t="e">
        <f>NA()</f>
        <v>#N/A</v>
      </c>
      <c r="N2167" t="e">
        <f>NA()</f>
        <v>#N/A</v>
      </c>
      <c r="O2167">
        <f t="shared" si="84"/>
        <v>0.9</v>
      </c>
    </row>
    <row r="2168" spans="1:15" x14ac:dyDescent="0.25">
      <c r="A2168" s="1">
        <v>42874</v>
      </c>
      <c r="B2168">
        <f>-0.5</f>
        <v>-0.5</v>
      </c>
      <c r="C2168">
        <f>0</f>
        <v>0</v>
      </c>
      <c r="D2168" t="e">
        <f>NA()</f>
        <v>#N/A</v>
      </c>
      <c r="E2168" t="e">
        <f>NA()</f>
        <v>#N/A</v>
      </c>
      <c r="F2168" t="e">
        <f>NA()</f>
        <v>#N/A</v>
      </c>
      <c r="G2168" t="e">
        <f>NA()</f>
        <v>#N/A</v>
      </c>
      <c r="H2168" t="e">
        <f>NA()</f>
        <v>#N/A</v>
      </c>
      <c r="I2168" t="e">
        <f>NA()</f>
        <v>#N/A</v>
      </c>
      <c r="J2168" t="e">
        <f>NA()</f>
        <v>#N/A</v>
      </c>
      <c r="K2168" t="e">
        <f>NA()</f>
        <v>#N/A</v>
      </c>
      <c r="L2168" t="e">
        <f>NA()</f>
        <v>#N/A</v>
      </c>
      <c r="M2168" t="e">
        <f>NA()</f>
        <v>#N/A</v>
      </c>
      <c r="N2168" t="e">
        <f>NA()</f>
        <v>#N/A</v>
      </c>
      <c r="O2168">
        <f t="shared" si="84"/>
        <v>0.9</v>
      </c>
    </row>
    <row r="2169" spans="1:15" x14ac:dyDescent="0.25">
      <c r="A2169" s="1">
        <v>42873</v>
      </c>
      <c r="B2169" t="e">
        <f>NA()</f>
        <v>#N/A</v>
      </c>
      <c r="C2169" t="e">
        <f>NA()</f>
        <v>#N/A</v>
      </c>
      <c r="D2169" t="e">
        <f>NA()</f>
        <v>#N/A</v>
      </c>
      <c r="E2169" t="e">
        <f>NA()</f>
        <v>#N/A</v>
      </c>
      <c r="F2169" t="e">
        <f>NA()</f>
        <v>#N/A</v>
      </c>
      <c r="G2169" t="e">
        <f>NA()</f>
        <v>#N/A</v>
      </c>
      <c r="H2169" t="e">
        <f>NA()</f>
        <v>#N/A</v>
      </c>
      <c r="I2169" t="e">
        <f>NA()</f>
        <v>#N/A</v>
      </c>
      <c r="J2169" t="e">
        <f>NA()</f>
        <v>#N/A</v>
      </c>
      <c r="K2169" t="e">
        <f>NA()</f>
        <v>#N/A</v>
      </c>
      <c r="L2169" t="e">
        <f>NA()</f>
        <v>#N/A</v>
      </c>
      <c r="M2169" t="e">
        <f>NA()</f>
        <v>#N/A</v>
      </c>
      <c r="N2169" t="e">
        <f>NA()</f>
        <v>#N/A</v>
      </c>
      <c r="O2169">
        <f t="shared" si="84"/>
        <v>0.9</v>
      </c>
    </row>
    <row r="2170" spans="1:15" x14ac:dyDescent="0.25">
      <c r="A2170" s="1">
        <v>42872</v>
      </c>
      <c r="B2170" t="e">
        <f>NA()</f>
        <v>#N/A</v>
      </c>
      <c r="C2170" t="e">
        <f>NA()</f>
        <v>#N/A</v>
      </c>
      <c r="D2170" t="e">
        <f>NA()</f>
        <v>#N/A</v>
      </c>
      <c r="E2170" t="e">
        <f>NA()</f>
        <v>#N/A</v>
      </c>
      <c r="F2170" t="e">
        <f>NA()</f>
        <v>#N/A</v>
      </c>
      <c r="G2170" t="e">
        <f>NA()</f>
        <v>#N/A</v>
      </c>
      <c r="H2170" t="e">
        <f>NA()</f>
        <v>#N/A</v>
      </c>
      <c r="I2170" t="e">
        <f>NA()</f>
        <v>#N/A</v>
      </c>
      <c r="J2170" t="e">
        <f>NA()</f>
        <v>#N/A</v>
      </c>
      <c r="K2170" t="e">
        <f>NA()</f>
        <v>#N/A</v>
      </c>
      <c r="L2170" t="e">
        <f>NA()</f>
        <v>#N/A</v>
      </c>
      <c r="M2170" t="e">
        <f>NA()</f>
        <v>#N/A</v>
      </c>
      <c r="N2170" t="e">
        <f>NA()</f>
        <v>#N/A</v>
      </c>
      <c r="O2170">
        <f t="shared" si="84"/>
        <v>0.9</v>
      </c>
    </row>
    <row r="2171" spans="1:15" x14ac:dyDescent="0.25">
      <c r="A2171" s="1">
        <v>42871</v>
      </c>
      <c r="B2171" t="e">
        <f>NA()</f>
        <v>#N/A</v>
      </c>
      <c r="C2171" t="e">
        <f>NA()</f>
        <v>#N/A</v>
      </c>
      <c r="D2171" t="e">
        <f>NA()</f>
        <v>#N/A</v>
      </c>
      <c r="E2171" t="e">
        <f>NA()</f>
        <v>#N/A</v>
      </c>
      <c r="F2171" t="e">
        <f>NA()</f>
        <v>#N/A</v>
      </c>
      <c r="G2171" t="e">
        <f>NA()</f>
        <v>#N/A</v>
      </c>
      <c r="H2171" t="e">
        <f>NA()</f>
        <v>#N/A</v>
      </c>
      <c r="I2171" t="e">
        <f>NA()</f>
        <v>#N/A</v>
      </c>
      <c r="J2171" t="e">
        <f>NA()</f>
        <v>#N/A</v>
      </c>
      <c r="K2171" t="e">
        <f>NA()</f>
        <v>#N/A</v>
      </c>
      <c r="L2171" t="e">
        <f>NA()</f>
        <v>#N/A</v>
      </c>
      <c r="M2171" t="e">
        <f>NA()</f>
        <v>#N/A</v>
      </c>
      <c r="N2171" t="e">
        <f>NA()</f>
        <v>#N/A</v>
      </c>
      <c r="O2171">
        <f t="shared" si="84"/>
        <v>0.9</v>
      </c>
    </row>
    <row r="2172" spans="1:15" x14ac:dyDescent="0.25">
      <c r="A2172" s="1">
        <v>42870</v>
      </c>
      <c r="B2172" t="e">
        <f>NA()</f>
        <v>#N/A</v>
      </c>
      <c r="C2172" t="e">
        <f>NA()</f>
        <v>#N/A</v>
      </c>
      <c r="D2172" t="e">
        <f>NA()</f>
        <v>#N/A</v>
      </c>
      <c r="E2172" t="e">
        <f>NA()</f>
        <v>#N/A</v>
      </c>
      <c r="F2172" t="e">
        <f>NA()</f>
        <v>#N/A</v>
      </c>
      <c r="G2172" t="e">
        <f>NA()</f>
        <v>#N/A</v>
      </c>
      <c r="H2172" t="e">
        <f>NA()</f>
        <v>#N/A</v>
      </c>
      <c r="I2172" t="e">
        <f>NA()</f>
        <v>#N/A</v>
      </c>
      <c r="J2172" t="e">
        <f>NA()</f>
        <v>#N/A</v>
      </c>
      <c r="K2172" t="e">
        <f>NA()</f>
        <v>#N/A</v>
      </c>
      <c r="L2172" t="e">
        <f>NA()</f>
        <v>#N/A</v>
      </c>
      <c r="M2172" t="e">
        <f>NA()</f>
        <v>#N/A</v>
      </c>
      <c r="N2172" t="e">
        <f>NA()</f>
        <v>#N/A</v>
      </c>
      <c r="O2172">
        <f t="shared" si="84"/>
        <v>0.9</v>
      </c>
    </row>
    <row r="2173" spans="1:15" x14ac:dyDescent="0.25">
      <c r="A2173" s="1">
        <v>42867</v>
      </c>
      <c r="B2173">
        <f>-0.6</f>
        <v>-0.6</v>
      </c>
      <c r="C2173">
        <f>0</f>
        <v>0</v>
      </c>
      <c r="D2173" t="e">
        <f>NA()</f>
        <v>#N/A</v>
      </c>
      <c r="E2173" t="e">
        <f>NA()</f>
        <v>#N/A</v>
      </c>
      <c r="F2173" t="e">
        <f>NA()</f>
        <v>#N/A</v>
      </c>
      <c r="G2173" t="e">
        <f>NA()</f>
        <v>#N/A</v>
      </c>
      <c r="H2173" t="e">
        <f>NA()</f>
        <v>#N/A</v>
      </c>
      <c r="I2173" t="e">
        <f>NA()</f>
        <v>#N/A</v>
      </c>
      <c r="J2173" t="e">
        <f>NA()</f>
        <v>#N/A</v>
      </c>
      <c r="K2173" t="e">
        <f>NA()</f>
        <v>#N/A</v>
      </c>
      <c r="L2173" t="e">
        <f>NA()</f>
        <v>#N/A</v>
      </c>
      <c r="M2173" t="e">
        <f>NA()</f>
        <v>#N/A</v>
      </c>
      <c r="N2173" t="e">
        <f>NA()</f>
        <v>#N/A</v>
      </c>
      <c r="O2173">
        <f t="shared" si="84"/>
        <v>0.9</v>
      </c>
    </row>
    <row r="2174" spans="1:15" x14ac:dyDescent="0.25">
      <c r="A2174" s="1">
        <v>42866</v>
      </c>
      <c r="B2174" t="e">
        <f>NA()</f>
        <v>#N/A</v>
      </c>
      <c r="C2174" t="e">
        <f>NA()</f>
        <v>#N/A</v>
      </c>
      <c r="D2174" t="e">
        <f>NA()</f>
        <v>#N/A</v>
      </c>
      <c r="E2174" t="e">
        <f>NA()</f>
        <v>#N/A</v>
      </c>
      <c r="F2174" t="e">
        <f>NA()</f>
        <v>#N/A</v>
      </c>
      <c r="G2174" t="e">
        <f>NA()</f>
        <v>#N/A</v>
      </c>
      <c r="H2174" t="e">
        <f>NA()</f>
        <v>#N/A</v>
      </c>
      <c r="I2174" t="e">
        <f>NA()</f>
        <v>#N/A</v>
      </c>
      <c r="J2174" t="e">
        <f>NA()</f>
        <v>#N/A</v>
      </c>
      <c r="K2174" t="e">
        <f>NA()</f>
        <v>#N/A</v>
      </c>
      <c r="L2174" t="e">
        <f>NA()</f>
        <v>#N/A</v>
      </c>
      <c r="M2174" t="e">
        <f>NA()</f>
        <v>#N/A</v>
      </c>
      <c r="N2174" t="e">
        <f>NA()</f>
        <v>#N/A</v>
      </c>
      <c r="O2174">
        <f t="shared" si="84"/>
        <v>0.9</v>
      </c>
    </row>
    <row r="2175" spans="1:15" x14ac:dyDescent="0.25">
      <c r="A2175" s="1">
        <v>42865</v>
      </c>
      <c r="B2175" t="e">
        <f>NA()</f>
        <v>#N/A</v>
      </c>
      <c r="C2175" t="e">
        <f>NA()</f>
        <v>#N/A</v>
      </c>
      <c r="D2175" t="e">
        <f>NA()</f>
        <v>#N/A</v>
      </c>
      <c r="E2175" t="e">
        <f>NA()</f>
        <v>#N/A</v>
      </c>
      <c r="F2175" t="e">
        <f>NA()</f>
        <v>#N/A</v>
      </c>
      <c r="G2175" t="e">
        <f>NA()</f>
        <v>#N/A</v>
      </c>
      <c r="H2175" t="e">
        <f>NA()</f>
        <v>#N/A</v>
      </c>
      <c r="I2175" t="e">
        <f>NA()</f>
        <v>#N/A</v>
      </c>
      <c r="J2175" t="e">
        <f>NA()</f>
        <v>#N/A</v>
      </c>
      <c r="K2175" t="e">
        <f>NA()</f>
        <v>#N/A</v>
      </c>
      <c r="L2175" t="e">
        <f>NA()</f>
        <v>#N/A</v>
      </c>
      <c r="M2175" t="e">
        <f>NA()</f>
        <v>#N/A</v>
      </c>
      <c r="N2175" t="e">
        <f>NA()</f>
        <v>#N/A</v>
      </c>
      <c r="O2175">
        <f t="shared" si="84"/>
        <v>0.9</v>
      </c>
    </row>
    <row r="2176" spans="1:15" x14ac:dyDescent="0.25">
      <c r="A2176" s="1">
        <v>42864</v>
      </c>
      <c r="B2176" t="e">
        <f>NA()</f>
        <v>#N/A</v>
      </c>
      <c r="C2176" t="e">
        <f>NA()</f>
        <v>#N/A</v>
      </c>
      <c r="D2176" t="e">
        <f>NA()</f>
        <v>#N/A</v>
      </c>
      <c r="E2176" t="e">
        <f>NA()</f>
        <v>#N/A</v>
      </c>
      <c r="F2176" t="e">
        <f>NA()</f>
        <v>#N/A</v>
      </c>
      <c r="G2176" t="e">
        <f>NA()</f>
        <v>#N/A</v>
      </c>
      <c r="H2176" t="e">
        <f>NA()</f>
        <v>#N/A</v>
      </c>
      <c r="I2176" t="e">
        <f>NA()</f>
        <v>#N/A</v>
      </c>
      <c r="J2176" t="e">
        <f>NA()</f>
        <v>#N/A</v>
      </c>
      <c r="K2176" t="e">
        <f>NA()</f>
        <v>#N/A</v>
      </c>
      <c r="L2176" t="e">
        <f>NA()</f>
        <v>#N/A</v>
      </c>
      <c r="M2176" t="e">
        <f>NA()</f>
        <v>#N/A</v>
      </c>
      <c r="N2176" t="e">
        <f>NA()</f>
        <v>#N/A</v>
      </c>
      <c r="O2176">
        <f t="shared" si="84"/>
        <v>0.9</v>
      </c>
    </row>
    <row r="2177" spans="1:15" x14ac:dyDescent="0.25">
      <c r="A2177" s="1">
        <v>42863</v>
      </c>
      <c r="B2177" t="e">
        <f>NA()</f>
        <v>#N/A</v>
      </c>
      <c r="C2177" t="e">
        <f>NA()</f>
        <v>#N/A</v>
      </c>
      <c r="D2177" t="e">
        <f>NA()</f>
        <v>#N/A</v>
      </c>
      <c r="E2177" t="e">
        <f>NA()</f>
        <v>#N/A</v>
      </c>
      <c r="F2177" t="e">
        <f>NA()</f>
        <v>#N/A</v>
      </c>
      <c r="G2177" t="e">
        <f>NA()</f>
        <v>#N/A</v>
      </c>
      <c r="H2177" t="e">
        <f>NA()</f>
        <v>#N/A</v>
      </c>
      <c r="I2177" t="e">
        <f>NA()</f>
        <v>#N/A</v>
      </c>
      <c r="J2177" t="e">
        <f>NA()</f>
        <v>#N/A</v>
      </c>
      <c r="K2177" t="e">
        <f>NA()</f>
        <v>#N/A</v>
      </c>
      <c r="L2177" t="e">
        <f>NA()</f>
        <v>#N/A</v>
      </c>
      <c r="M2177" t="e">
        <f>NA()</f>
        <v>#N/A</v>
      </c>
      <c r="N2177" t="e">
        <f>NA()</f>
        <v>#N/A</v>
      </c>
      <c r="O2177">
        <f t="shared" si="84"/>
        <v>0.9</v>
      </c>
    </row>
    <row r="2178" spans="1:15" x14ac:dyDescent="0.25">
      <c r="A2178" s="1">
        <v>42860</v>
      </c>
      <c r="B2178">
        <f>-0.5</f>
        <v>-0.5</v>
      </c>
      <c r="C2178">
        <f>0</f>
        <v>0</v>
      </c>
      <c r="D2178" t="e">
        <f>NA()</f>
        <v>#N/A</v>
      </c>
      <c r="E2178" t="e">
        <f>NA()</f>
        <v>#N/A</v>
      </c>
      <c r="F2178" t="e">
        <f>NA()</f>
        <v>#N/A</v>
      </c>
      <c r="G2178" t="e">
        <f>NA()</f>
        <v>#N/A</v>
      </c>
      <c r="H2178" t="e">
        <f>NA()</f>
        <v>#N/A</v>
      </c>
      <c r="I2178" t="e">
        <f>NA()</f>
        <v>#N/A</v>
      </c>
      <c r="J2178" t="e">
        <f>NA()</f>
        <v>#N/A</v>
      </c>
      <c r="K2178" t="e">
        <f>NA()</f>
        <v>#N/A</v>
      </c>
      <c r="L2178" t="e">
        <f>NA()</f>
        <v>#N/A</v>
      </c>
      <c r="M2178" t="e">
        <f>NA()</f>
        <v>#N/A</v>
      </c>
      <c r="N2178" t="e">
        <f>NA()</f>
        <v>#N/A</v>
      </c>
      <c r="O2178">
        <f t="shared" si="84"/>
        <v>0.9</v>
      </c>
    </row>
    <row r="2179" spans="1:15" x14ac:dyDescent="0.25">
      <c r="A2179" s="1">
        <v>42859</v>
      </c>
      <c r="B2179" t="e">
        <f>NA()</f>
        <v>#N/A</v>
      </c>
      <c r="C2179" t="e">
        <f>NA()</f>
        <v>#N/A</v>
      </c>
      <c r="D2179" t="e">
        <f>NA()</f>
        <v>#N/A</v>
      </c>
      <c r="E2179" t="e">
        <f>NA()</f>
        <v>#N/A</v>
      </c>
      <c r="F2179" t="e">
        <f>NA()</f>
        <v>#N/A</v>
      </c>
      <c r="G2179" t="e">
        <f>NA()</f>
        <v>#N/A</v>
      </c>
      <c r="H2179" t="e">
        <f>NA()</f>
        <v>#N/A</v>
      </c>
      <c r="I2179" t="e">
        <f>NA()</f>
        <v>#N/A</v>
      </c>
      <c r="J2179" t="e">
        <f>NA()</f>
        <v>#N/A</v>
      </c>
      <c r="K2179" t="e">
        <f>NA()</f>
        <v>#N/A</v>
      </c>
      <c r="L2179" t="e">
        <f>NA()</f>
        <v>#N/A</v>
      </c>
      <c r="M2179" t="e">
        <f>NA()</f>
        <v>#N/A</v>
      </c>
      <c r="N2179" t="e">
        <f>NA()</f>
        <v>#N/A</v>
      </c>
      <c r="O2179">
        <f t="shared" si="84"/>
        <v>0.9</v>
      </c>
    </row>
    <row r="2180" spans="1:15" x14ac:dyDescent="0.25">
      <c r="A2180" s="1">
        <v>42858</v>
      </c>
      <c r="B2180" t="e">
        <f>NA()</f>
        <v>#N/A</v>
      </c>
      <c r="C2180" t="e">
        <f>NA()</f>
        <v>#N/A</v>
      </c>
      <c r="D2180" t="e">
        <f>NA()</f>
        <v>#N/A</v>
      </c>
      <c r="E2180" t="e">
        <f>NA()</f>
        <v>#N/A</v>
      </c>
      <c r="F2180" t="e">
        <f>NA()</f>
        <v>#N/A</v>
      </c>
      <c r="G2180" t="e">
        <f>NA()</f>
        <v>#N/A</v>
      </c>
      <c r="H2180" t="e">
        <f>NA()</f>
        <v>#N/A</v>
      </c>
      <c r="I2180" t="e">
        <f>NA()</f>
        <v>#N/A</v>
      </c>
      <c r="J2180" t="e">
        <f>NA()</f>
        <v>#N/A</v>
      </c>
      <c r="K2180" t="e">
        <f>NA()</f>
        <v>#N/A</v>
      </c>
      <c r="L2180" t="e">
        <f>NA()</f>
        <v>#N/A</v>
      </c>
      <c r="M2180" t="e">
        <f>NA()</f>
        <v>#N/A</v>
      </c>
      <c r="N2180" t="e">
        <f>NA()</f>
        <v>#N/A</v>
      </c>
      <c r="O2180">
        <f t="shared" si="84"/>
        <v>0.9</v>
      </c>
    </row>
    <row r="2181" spans="1:15" x14ac:dyDescent="0.25">
      <c r="A2181" s="1">
        <v>42857</v>
      </c>
      <c r="B2181" t="e">
        <f>NA()</f>
        <v>#N/A</v>
      </c>
      <c r="C2181" t="e">
        <f>NA()</f>
        <v>#N/A</v>
      </c>
      <c r="D2181" t="e">
        <f>NA()</f>
        <v>#N/A</v>
      </c>
      <c r="E2181" t="e">
        <f>NA()</f>
        <v>#N/A</v>
      </c>
      <c r="F2181" t="e">
        <f>NA()</f>
        <v>#N/A</v>
      </c>
      <c r="G2181" t="e">
        <f>NA()</f>
        <v>#N/A</v>
      </c>
      <c r="H2181" t="e">
        <f>NA()</f>
        <v>#N/A</v>
      </c>
      <c r="I2181" t="e">
        <f>NA()</f>
        <v>#N/A</v>
      </c>
      <c r="J2181" t="e">
        <f>NA()</f>
        <v>#N/A</v>
      </c>
      <c r="K2181" t="e">
        <f>NA()</f>
        <v>#N/A</v>
      </c>
      <c r="L2181" t="e">
        <f>NA()</f>
        <v>#N/A</v>
      </c>
      <c r="M2181" t="e">
        <f>NA()</f>
        <v>#N/A</v>
      </c>
      <c r="N2181" t="e">
        <f>NA()</f>
        <v>#N/A</v>
      </c>
      <c r="O2181">
        <f t="shared" si="84"/>
        <v>0.9</v>
      </c>
    </row>
    <row r="2182" spans="1:15" x14ac:dyDescent="0.25">
      <c r="A2182" s="1">
        <v>42856</v>
      </c>
      <c r="B2182" t="e">
        <f>NA()</f>
        <v>#N/A</v>
      </c>
      <c r="C2182" t="e">
        <f>NA()</f>
        <v>#N/A</v>
      </c>
      <c r="D2182" t="e">
        <f>NA()</f>
        <v>#N/A</v>
      </c>
      <c r="E2182" t="e">
        <f>NA()</f>
        <v>#N/A</v>
      </c>
      <c r="F2182" t="e">
        <f>NA()</f>
        <v>#N/A</v>
      </c>
      <c r="G2182" t="e">
        <f>NA()</f>
        <v>#N/A</v>
      </c>
      <c r="H2182" t="e">
        <f>NA()</f>
        <v>#N/A</v>
      </c>
      <c r="I2182" t="e">
        <f>NA()</f>
        <v>#N/A</v>
      </c>
      <c r="J2182" t="e">
        <f>NA()</f>
        <v>#N/A</v>
      </c>
      <c r="K2182" t="e">
        <f>NA()</f>
        <v>#N/A</v>
      </c>
      <c r="L2182" t="e">
        <f>NA()</f>
        <v>#N/A</v>
      </c>
      <c r="M2182" t="e">
        <f>NA()</f>
        <v>#N/A</v>
      </c>
      <c r="N2182" t="e">
        <f>NA()</f>
        <v>#N/A</v>
      </c>
      <c r="O2182">
        <f t="shared" si="84"/>
        <v>0.9</v>
      </c>
    </row>
    <row r="2183" spans="1:15" x14ac:dyDescent="0.25">
      <c r="A2183" s="1">
        <v>42855</v>
      </c>
      <c r="B2183" t="e">
        <f>NA()</f>
        <v>#N/A</v>
      </c>
      <c r="C2183" t="e">
        <f>NA()</f>
        <v>#N/A</v>
      </c>
      <c r="D2183">
        <f>0.2</f>
        <v>0.2</v>
      </c>
      <c r="E2183">
        <f>0.4</f>
        <v>0.4</v>
      </c>
      <c r="F2183">
        <f>6091</f>
        <v>6091</v>
      </c>
      <c r="G2183">
        <f>63</f>
        <v>63</v>
      </c>
      <c r="H2183">
        <f>4.4</f>
        <v>4.4000000000000004</v>
      </c>
      <c r="I2183">
        <f>244.5</f>
        <v>244.5</v>
      </c>
      <c r="J2183">
        <f>2.2</f>
        <v>2.2000000000000002</v>
      </c>
      <c r="K2183">
        <f>55.8</f>
        <v>55.8</v>
      </c>
      <c r="L2183">
        <f>1</f>
        <v>1</v>
      </c>
      <c r="M2183" t="e">
        <f>NA()</f>
        <v>#N/A</v>
      </c>
      <c r="N2183">
        <f>4.4</f>
        <v>4.4000000000000004</v>
      </c>
      <c r="O2183" t="e">
        <f>NA()</f>
        <v>#N/A</v>
      </c>
    </row>
    <row r="2184" spans="1:15" x14ac:dyDescent="0.25">
      <c r="A2184" s="1">
        <v>42853</v>
      </c>
      <c r="B2184">
        <f>-0.6</f>
        <v>-0.6</v>
      </c>
      <c r="C2184">
        <f>0</f>
        <v>0</v>
      </c>
      <c r="D2184" t="e">
        <f>NA()</f>
        <v>#N/A</v>
      </c>
      <c r="E2184" t="e">
        <f>NA()</f>
        <v>#N/A</v>
      </c>
      <c r="F2184" t="e">
        <f>NA()</f>
        <v>#N/A</v>
      </c>
      <c r="G2184" t="e">
        <f>NA()</f>
        <v>#N/A</v>
      </c>
      <c r="H2184" t="e">
        <f>NA()</f>
        <v>#N/A</v>
      </c>
      <c r="I2184" t="e">
        <f>NA()</f>
        <v>#N/A</v>
      </c>
      <c r="J2184" t="e">
        <f>NA()</f>
        <v>#N/A</v>
      </c>
      <c r="K2184" t="e">
        <f>NA()</f>
        <v>#N/A</v>
      </c>
      <c r="L2184" t="e">
        <f>NA()</f>
        <v>#N/A</v>
      </c>
      <c r="M2184" t="e">
        <f>NA()</f>
        <v>#N/A</v>
      </c>
      <c r="N2184" t="e">
        <f>NA()</f>
        <v>#N/A</v>
      </c>
      <c r="O2184">
        <f>0.8</f>
        <v>0.8</v>
      </c>
    </row>
    <row r="2185" spans="1:15" x14ac:dyDescent="0.25">
      <c r="A2185" s="1">
        <v>42852</v>
      </c>
      <c r="B2185" t="e">
        <f>NA()</f>
        <v>#N/A</v>
      </c>
      <c r="C2185" t="e">
        <f>NA()</f>
        <v>#N/A</v>
      </c>
      <c r="D2185" t="e">
        <f>NA()</f>
        <v>#N/A</v>
      </c>
      <c r="E2185" t="e">
        <f>NA()</f>
        <v>#N/A</v>
      </c>
      <c r="F2185" t="e">
        <f>NA()</f>
        <v>#N/A</v>
      </c>
      <c r="G2185" t="e">
        <f>NA()</f>
        <v>#N/A</v>
      </c>
      <c r="H2185" t="e">
        <f>NA()</f>
        <v>#N/A</v>
      </c>
      <c r="I2185" t="e">
        <f>NA()</f>
        <v>#N/A</v>
      </c>
      <c r="J2185" t="e">
        <f>NA()</f>
        <v>#N/A</v>
      </c>
      <c r="K2185" t="e">
        <f>NA()</f>
        <v>#N/A</v>
      </c>
      <c r="L2185" t="e">
        <f>NA()</f>
        <v>#N/A</v>
      </c>
      <c r="M2185" t="e">
        <f>NA()</f>
        <v>#N/A</v>
      </c>
      <c r="N2185" t="e">
        <f>NA()</f>
        <v>#N/A</v>
      </c>
      <c r="O2185">
        <f t="shared" ref="O2185:O2203" si="85">0.9</f>
        <v>0.9</v>
      </c>
    </row>
    <row r="2186" spans="1:15" x14ac:dyDescent="0.25">
      <c r="A2186" s="1">
        <v>42851</v>
      </c>
      <c r="B2186" t="e">
        <f>NA()</f>
        <v>#N/A</v>
      </c>
      <c r="C2186" t="e">
        <f>NA()</f>
        <v>#N/A</v>
      </c>
      <c r="D2186" t="e">
        <f>NA()</f>
        <v>#N/A</v>
      </c>
      <c r="E2186" t="e">
        <f>NA()</f>
        <v>#N/A</v>
      </c>
      <c r="F2186" t="e">
        <f>NA()</f>
        <v>#N/A</v>
      </c>
      <c r="G2186" t="e">
        <f>NA()</f>
        <v>#N/A</v>
      </c>
      <c r="H2186" t="e">
        <f>NA()</f>
        <v>#N/A</v>
      </c>
      <c r="I2186" t="e">
        <f>NA()</f>
        <v>#N/A</v>
      </c>
      <c r="J2186" t="e">
        <f>NA()</f>
        <v>#N/A</v>
      </c>
      <c r="K2186" t="e">
        <f>NA()</f>
        <v>#N/A</v>
      </c>
      <c r="L2186" t="e">
        <f>NA()</f>
        <v>#N/A</v>
      </c>
      <c r="M2186" t="e">
        <f>NA()</f>
        <v>#N/A</v>
      </c>
      <c r="N2186" t="e">
        <f>NA()</f>
        <v>#N/A</v>
      </c>
      <c r="O2186">
        <f t="shared" si="85"/>
        <v>0.9</v>
      </c>
    </row>
    <row r="2187" spans="1:15" x14ac:dyDescent="0.25">
      <c r="A2187" s="1">
        <v>42850</v>
      </c>
      <c r="B2187" t="e">
        <f>NA()</f>
        <v>#N/A</v>
      </c>
      <c r="C2187" t="e">
        <f>NA()</f>
        <v>#N/A</v>
      </c>
      <c r="D2187" t="e">
        <f>NA()</f>
        <v>#N/A</v>
      </c>
      <c r="E2187" t="e">
        <f>NA()</f>
        <v>#N/A</v>
      </c>
      <c r="F2187" t="e">
        <f>NA()</f>
        <v>#N/A</v>
      </c>
      <c r="G2187" t="e">
        <f>NA()</f>
        <v>#N/A</v>
      </c>
      <c r="H2187" t="e">
        <f>NA()</f>
        <v>#N/A</v>
      </c>
      <c r="I2187" t="e">
        <f>NA()</f>
        <v>#N/A</v>
      </c>
      <c r="J2187" t="e">
        <f>NA()</f>
        <v>#N/A</v>
      </c>
      <c r="K2187" t="e">
        <f>NA()</f>
        <v>#N/A</v>
      </c>
      <c r="L2187" t="e">
        <f>NA()</f>
        <v>#N/A</v>
      </c>
      <c r="M2187" t="e">
        <f>NA()</f>
        <v>#N/A</v>
      </c>
      <c r="N2187" t="e">
        <f>NA()</f>
        <v>#N/A</v>
      </c>
      <c r="O2187">
        <f t="shared" si="85"/>
        <v>0.9</v>
      </c>
    </row>
    <row r="2188" spans="1:15" x14ac:dyDescent="0.25">
      <c r="A2188" s="1">
        <v>42849</v>
      </c>
      <c r="B2188" t="e">
        <f>NA()</f>
        <v>#N/A</v>
      </c>
      <c r="C2188" t="e">
        <f>NA()</f>
        <v>#N/A</v>
      </c>
      <c r="D2188" t="e">
        <f>NA()</f>
        <v>#N/A</v>
      </c>
      <c r="E2188" t="e">
        <f>NA()</f>
        <v>#N/A</v>
      </c>
      <c r="F2188" t="e">
        <f>NA()</f>
        <v>#N/A</v>
      </c>
      <c r="G2188" t="e">
        <f>NA()</f>
        <v>#N/A</v>
      </c>
      <c r="H2188" t="e">
        <f>NA()</f>
        <v>#N/A</v>
      </c>
      <c r="I2188" t="e">
        <f>NA()</f>
        <v>#N/A</v>
      </c>
      <c r="J2188" t="e">
        <f>NA()</f>
        <v>#N/A</v>
      </c>
      <c r="K2188" t="e">
        <f>NA()</f>
        <v>#N/A</v>
      </c>
      <c r="L2188" t="e">
        <f>NA()</f>
        <v>#N/A</v>
      </c>
      <c r="M2188" t="e">
        <f>NA()</f>
        <v>#N/A</v>
      </c>
      <c r="N2188" t="e">
        <f>NA()</f>
        <v>#N/A</v>
      </c>
      <c r="O2188">
        <f t="shared" si="85"/>
        <v>0.9</v>
      </c>
    </row>
    <row r="2189" spans="1:15" x14ac:dyDescent="0.25">
      <c r="A2189" s="1">
        <v>42846</v>
      </c>
      <c r="B2189">
        <f>-0.3</f>
        <v>-0.3</v>
      </c>
      <c r="C2189">
        <f>0</f>
        <v>0</v>
      </c>
      <c r="D2189" t="e">
        <f>NA()</f>
        <v>#N/A</v>
      </c>
      <c r="E2189" t="e">
        <f>NA()</f>
        <v>#N/A</v>
      </c>
      <c r="F2189" t="e">
        <f>NA()</f>
        <v>#N/A</v>
      </c>
      <c r="G2189" t="e">
        <f>NA()</f>
        <v>#N/A</v>
      </c>
      <c r="H2189" t="e">
        <f>NA()</f>
        <v>#N/A</v>
      </c>
      <c r="I2189" t="e">
        <f>NA()</f>
        <v>#N/A</v>
      </c>
      <c r="J2189" t="e">
        <f>NA()</f>
        <v>#N/A</v>
      </c>
      <c r="K2189" t="e">
        <f>NA()</f>
        <v>#N/A</v>
      </c>
      <c r="L2189" t="e">
        <f>NA()</f>
        <v>#N/A</v>
      </c>
      <c r="M2189" t="e">
        <f>NA()</f>
        <v>#N/A</v>
      </c>
      <c r="N2189" t="e">
        <f>NA()</f>
        <v>#N/A</v>
      </c>
      <c r="O2189">
        <f t="shared" si="85"/>
        <v>0.9</v>
      </c>
    </row>
    <row r="2190" spans="1:15" x14ac:dyDescent="0.25">
      <c r="A2190" s="1">
        <v>42845</v>
      </c>
      <c r="B2190" t="e">
        <f>NA()</f>
        <v>#N/A</v>
      </c>
      <c r="C2190" t="e">
        <f>NA()</f>
        <v>#N/A</v>
      </c>
      <c r="D2190" t="e">
        <f>NA()</f>
        <v>#N/A</v>
      </c>
      <c r="E2190" t="e">
        <f>NA()</f>
        <v>#N/A</v>
      </c>
      <c r="F2190" t="e">
        <f>NA()</f>
        <v>#N/A</v>
      </c>
      <c r="G2190" t="e">
        <f>NA()</f>
        <v>#N/A</v>
      </c>
      <c r="H2190" t="e">
        <f>NA()</f>
        <v>#N/A</v>
      </c>
      <c r="I2190" t="e">
        <f>NA()</f>
        <v>#N/A</v>
      </c>
      <c r="J2190" t="e">
        <f>NA()</f>
        <v>#N/A</v>
      </c>
      <c r="K2190" t="e">
        <f>NA()</f>
        <v>#N/A</v>
      </c>
      <c r="L2190" t="e">
        <f>NA()</f>
        <v>#N/A</v>
      </c>
      <c r="M2190" t="e">
        <f>NA()</f>
        <v>#N/A</v>
      </c>
      <c r="N2190" t="e">
        <f>NA()</f>
        <v>#N/A</v>
      </c>
      <c r="O2190">
        <f t="shared" si="85"/>
        <v>0.9</v>
      </c>
    </row>
    <row r="2191" spans="1:15" x14ac:dyDescent="0.25">
      <c r="A2191" s="1">
        <v>42844</v>
      </c>
      <c r="B2191" t="e">
        <f>NA()</f>
        <v>#N/A</v>
      </c>
      <c r="C2191" t="e">
        <f>NA()</f>
        <v>#N/A</v>
      </c>
      <c r="D2191" t="e">
        <f>NA()</f>
        <v>#N/A</v>
      </c>
      <c r="E2191" t="e">
        <f>NA()</f>
        <v>#N/A</v>
      </c>
      <c r="F2191" t="e">
        <f>NA()</f>
        <v>#N/A</v>
      </c>
      <c r="G2191" t="e">
        <f>NA()</f>
        <v>#N/A</v>
      </c>
      <c r="H2191" t="e">
        <f>NA()</f>
        <v>#N/A</v>
      </c>
      <c r="I2191" t="e">
        <f>NA()</f>
        <v>#N/A</v>
      </c>
      <c r="J2191" t="e">
        <f>NA()</f>
        <v>#N/A</v>
      </c>
      <c r="K2191" t="e">
        <f>NA()</f>
        <v>#N/A</v>
      </c>
      <c r="L2191" t="e">
        <f>NA()</f>
        <v>#N/A</v>
      </c>
      <c r="M2191" t="e">
        <f>NA()</f>
        <v>#N/A</v>
      </c>
      <c r="N2191" t="e">
        <f>NA()</f>
        <v>#N/A</v>
      </c>
      <c r="O2191">
        <f t="shared" si="85"/>
        <v>0.9</v>
      </c>
    </row>
    <row r="2192" spans="1:15" x14ac:dyDescent="0.25">
      <c r="A2192" s="1">
        <v>42843</v>
      </c>
      <c r="B2192" t="e">
        <f>NA()</f>
        <v>#N/A</v>
      </c>
      <c r="C2192" t="e">
        <f>NA()</f>
        <v>#N/A</v>
      </c>
      <c r="D2192" t="e">
        <f>NA()</f>
        <v>#N/A</v>
      </c>
      <c r="E2192" t="e">
        <f>NA()</f>
        <v>#N/A</v>
      </c>
      <c r="F2192" t="e">
        <f>NA()</f>
        <v>#N/A</v>
      </c>
      <c r="G2192" t="e">
        <f>NA()</f>
        <v>#N/A</v>
      </c>
      <c r="H2192" t="e">
        <f>NA()</f>
        <v>#N/A</v>
      </c>
      <c r="I2192" t="e">
        <f>NA()</f>
        <v>#N/A</v>
      </c>
      <c r="J2192" t="e">
        <f>NA()</f>
        <v>#N/A</v>
      </c>
      <c r="K2192" t="e">
        <f>NA()</f>
        <v>#N/A</v>
      </c>
      <c r="L2192" t="e">
        <f>NA()</f>
        <v>#N/A</v>
      </c>
      <c r="M2192" t="e">
        <f>NA()</f>
        <v>#N/A</v>
      </c>
      <c r="N2192" t="e">
        <f>NA()</f>
        <v>#N/A</v>
      </c>
      <c r="O2192">
        <f t="shared" si="85"/>
        <v>0.9</v>
      </c>
    </row>
    <row r="2193" spans="1:15" x14ac:dyDescent="0.25">
      <c r="A2193" s="1">
        <v>42842</v>
      </c>
      <c r="B2193" t="e">
        <f>NA()</f>
        <v>#N/A</v>
      </c>
      <c r="C2193" t="e">
        <f>NA()</f>
        <v>#N/A</v>
      </c>
      <c r="D2193" t="e">
        <f>NA()</f>
        <v>#N/A</v>
      </c>
      <c r="E2193" t="e">
        <f>NA()</f>
        <v>#N/A</v>
      </c>
      <c r="F2193" t="e">
        <f>NA()</f>
        <v>#N/A</v>
      </c>
      <c r="G2193" t="e">
        <f>NA()</f>
        <v>#N/A</v>
      </c>
      <c r="H2193" t="e">
        <f>NA()</f>
        <v>#N/A</v>
      </c>
      <c r="I2193" t="e">
        <f>NA()</f>
        <v>#N/A</v>
      </c>
      <c r="J2193" t="e">
        <f>NA()</f>
        <v>#N/A</v>
      </c>
      <c r="K2193" t="e">
        <f>NA()</f>
        <v>#N/A</v>
      </c>
      <c r="L2193" t="e">
        <f>NA()</f>
        <v>#N/A</v>
      </c>
      <c r="M2193" t="e">
        <f>NA()</f>
        <v>#N/A</v>
      </c>
      <c r="N2193" t="e">
        <f>NA()</f>
        <v>#N/A</v>
      </c>
      <c r="O2193">
        <f t="shared" si="85"/>
        <v>0.9</v>
      </c>
    </row>
    <row r="2194" spans="1:15" x14ac:dyDescent="0.25">
      <c r="A2194" s="1">
        <v>42839</v>
      </c>
      <c r="B2194">
        <f>-0.3</f>
        <v>-0.3</v>
      </c>
      <c r="C2194">
        <f>0</f>
        <v>0</v>
      </c>
      <c r="D2194" t="e">
        <f>NA()</f>
        <v>#N/A</v>
      </c>
      <c r="E2194" t="e">
        <f>NA()</f>
        <v>#N/A</v>
      </c>
      <c r="F2194" t="e">
        <f>NA()</f>
        <v>#N/A</v>
      </c>
      <c r="G2194" t="e">
        <f>NA()</f>
        <v>#N/A</v>
      </c>
      <c r="H2194" t="e">
        <f>NA()</f>
        <v>#N/A</v>
      </c>
      <c r="I2194" t="e">
        <f>NA()</f>
        <v>#N/A</v>
      </c>
      <c r="J2194" t="e">
        <f>NA()</f>
        <v>#N/A</v>
      </c>
      <c r="K2194" t="e">
        <f>NA()</f>
        <v>#N/A</v>
      </c>
      <c r="L2194" t="e">
        <f>NA()</f>
        <v>#N/A</v>
      </c>
      <c r="M2194" t="e">
        <f>NA()</f>
        <v>#N/A</v>
      </c>
      <c r="N2194" t="e">
        <f>NA()</f>
        <v>#N/A</v>
      </c>
      <c r="O2194">
        <f t="shared" si="85"/>
        <v>0.9</v>
      </c>
    </row>
    <row r="2195" spans="1:15" x14ac:dyDescent="0.25">
      <c r="A2195" s="1">
        <v>42838</v>
      </c>
      <c r="B2195" t="e">
        <f>NA()</f>
        <v>#N/A</v>
      </c>
      <c r="C2195" t="e">
        <f>NA()</f>
        <v>#N/A</v>
      </c>
      <c r="D2195" t="e">
        <f>NA()</f>
        <v>#N/A</v>
      </c>
      <c r="E2195" t="e">
        <f>NA()</f>
        <v>#N/A</v>
      </c>
      <c r="F2195" t="e">
        <f>NA()</f>
        <v>#N/A</v>
      </c>
      <c r="G2195" t="e">
        <f>NA()</f>
        <v>#N/A</v>
      </c>
      <c r="H2195" t="e">
        <f>NA()</f>
        <v>#N/A</v>
      </c>
      <c r="I2195" t="e">
        <f>NA()</f>
        <v>#N/A</v>
      </c>
      <c r="J2195" t="e">
        <f>NA()</f>
        <v>#N/A</v>
      </c>
      <c r="K2195" t="e">
        <f>NA()</f>
        <v>#N/A</v>
      </c>
      <c r="L2195" t="e">
        <f>NA()</f>
        <v>#N/A</v>
      </c>
      <c r="M2195" t="e">
        <f>NA()</f>
        <v>#N/A</v>
      </c>
      <c r="N2195" t="e">
        <f>NA()</f>
        <v>#N/A</v>
      </c>
      <c r="O2195">
        <f t="shared" si="85"/>
        <v>0.9</v>
      </c>
    </row>
    <row r="2196" spans="1:15" x14ac:dyDescent="0.25">
      <c r="A2196" s="1">
        <v>42837</v>
      </c>
      <c r="B2196" t="e">
        <f>NA()</f>
        <v>#N/A</v>
      </c>
      <c r="C2196" t="e">
        <f>NA()</f>
        <v>#N/A</v>
      </c>
      <c r="D2196" t="e">
        <f>NA()</f>
        <v>#N/A</v>
      </c>
      <c r="E2196" t="e">
        <f>NA()</f>
        <v>#N/A</v>
      </c>
      <c r="F2196" t="e">
        <f>NA()</f>
        <v>#N/A</v>
      </c>
      <c r="G2196" t="e">
        <f>NA()</f>
        <v>#N/A</v>
      </c>
      <c r="H2196" t="e">
        <f>NA()</f>
        <v>#N/A</v>
      </c>
      <c r="I2196" t="e">
        <f>NA()</f>
        <v>#N/A</v>
      </c>
      <c r="J2196" t="e">
        <f>NA()</f>
        <v>#N/A</v>
      </c>
      <c r="K2196" t="e">
        <f>NA()</f>
        <v>#N/A</v>
      </c>
      <c r="L2196" t="e">
        <f>NA()</f>
        <v>#N/A</v>
      </c>
      <c r="M2196" t="e">
        <f>NA()</f>
        <v>#N/A</v>
      </c>
      <c r="N2196" t="e">
        <f>NA()</f>
        <v>#N/A</v>
      </c>
      <c r="O2196">
        <f t="shared" si="85"/>
        <v>0.9</v>
      </c>
    </row>
    <row r="2197" spans="1:15" x14ac:dyDescent="0.25">
      <c r="A2197" s="1">
        <v>42836</v>
      </c>
      <c r="B2197" t="e">
        <f>NA()</f>
        <v>#N/A</v>
      </c>
      <c r="C2197" t="e">
        <f>NA()</f>
        <v>#N/A</v>
      </c>
      <c r="D2197" t="e">
        <f>NA()</f>
        <v>#N/A</v>
      </c>
      <c r="E2197" t="e">
        <f>NA()</f>
        <v>#N/A</v>
      </c>
      <c r="F2197" t="e">
        <f>NA()</f>
        <v>#N/A</v>
      </c>
      <c r="G2197" t="e">
        <f>NA()</f>
        <v>#N/A</v>
      </c>
      <c r="H2197" t="e">
        <f>NA()</f>
        <v>#N/A</v>
      </c>
      <c r="I2197" t="e">
        <f>NA()</f>
        <v>#N/A</v>
      </c>
      <c r="J2197" t="e">
        <f>NA()</f>
        <v>#N/A</v>
      </c>
      <c r="K2197" t="e">
        <f>NA()</f>
        <v>#N/A</v>
      </c>
      <c r="L2197" t="e">
        <f>NA()</f>
        <v>#N/A</v>
      </c>
      <c r="M2197" t="e">
        <f>NA()</f>
        <v>#N/A</v>
      </c>
      <c r="N2197" t="e">
        <f>NA()</f>
        <v>#N/A</v>
      </c>
      <c r="O2197">
        <f t="shared" si="85"/>
        <v>0.9</v>
      </c>
    </row>
    <row r="2198" spans="1:15" x14ac:dyDescent="0.25">
      <c r="A2198" s="1">
        <v>42835</v>
      </c>
      <c r="B2198" t="e">
        <f>NA()</f>
        <v>#N/A</v>
      </c>
      <c r="C2198" t="e">
        <f>NA()</f>
        <v>#N/A</v>
      </c>
      <c r="D2198" t="e">
        <f>NA()</f>
        <v>#N/A</v>
      </c>
      <c r="E2198" t="e">
        <f>NA()</f>
        <v>#N/A</v>
      </c>
      <c r="F2198" t="e">
        <f>NA()</f>
        <v>#N/A</v>
      </c>
      <c r="G2198" t="e">
        <f>NA()</f>
        <v>#N/A</v>
      </c>
      <c r="H2198" t="e">
        <f>NA()</f>
        <v>#N/A</v>
      </c>
      <c r="I2198" t="e">
        <f>NA()</f>
        <v>#N/A</v>
      </c>
      <c r="J2198" t="e">
        <f>NA()</f>
        <v>#N/A</v>
      </c>
      <c r="K2198" t="e">
        <f>NA()</f>
        <v>#N/A</v>
      </c>
      <c r="L2198" t="e">
        <f>NA()</f>
        <v>#N/A</v>
      </c>
      <c r="M2198" t="e">
        <f>NA()</f>
        <v>#N/A</v>
      </c>
      <c r="N2198" t="e">
        <f>NA()</f>
        <v>#N/A</v>
      </c>
      <c r="O2198">
        <f t="shared" si="85"/>
        <v>0.9</v>
      </c>
    </row>
    <row r="2199" spans="1:15" x14ac:dyDescent="0.25">
      <c r="A2199" s="1">
        <v>42832</v>
      </c>
      <c r="B2199">
        <f>-0.4</f>
        <v>-0.4</v>
      </c>
      <c r="C2199">
        <f>0</f>
        <v>0</v>
      </c>
      <c r="D2199" t="e">
        <f>NA()</f>
        <v>#N/A</v>
      </c>
      <c r="E2199" t="e">
        <f>NA()</f>
        <v>#N/A</v>
      </c>
      <c r="F2199" t="e">
        <f>NA()</f>
        <v>#N/A</v>
      </c>
      <c r="G2199" t="e">
        <f>NA()</f>
        <v>#N/A</v>
      </c>
      <c r="H2199" t="e">
        <f>NA()</f>
        <v>#N/A</v>
      </c>
      <c r="I2199" t="e">
        <f>NA()</f>
        <v>#N/A</v>
      </c>
      <c r="J2199" t="e">
        <f>NA()</f>
        <v>#N/A</v>
      </c>
      <c r="K2199" t="e">
        <f>NA()</f>
        <v>#N/A</v>
      </c>
      <c r="L2199" t="e">
        <f>NA()</f>
        <v>#N/A</v>
      </c>
      <c r="M2199" t="e">
        <f>NA()</f>
        <v>#N/A</v>
      </c>
      <c r="N2199" t="e">
        <f>NA()</f>
        <v>#N/A</v>
      </c>
      <c r="O2199">
        <f t="shared" si="85"/>
        <v>0.9</v>
      </c>
    </row>
    <row r="2200" spans="1:15" x14ac:dyDescent="0.25">
      <c r="A2200" s="1">
        <v>42831</v>
      </c>
      <c r="B2200" t="e">
        <f>NA()</f>
        <v>#N/A</v>
      </c>
      <c r="C2200" t="e">
        <f>NA()</f>
        <v>#N/A</v>
      </c>
      <c r="D2200" t="e">
        <f>NA()</f>
        <v>#N/A</v>
      </c>
      <c r="E2200" t="e">
        <f>NA()</f>
        <v>#N/A</v>
      </c>
      <c r="F2200" t="e">
        <f>NA()</f>
        <v>#N/A</v>
      </c>
      <c r="G2200" t="e">
        <f>NA()</f>
        <v>#N/A</v>
      </c>
      <c r="H2200" t="e">
        <f>NA()</f>
        <v>#N/A</v>
      </c>
      <c r="I2200" t="e">
        <f>NA()</f>
        <v>#N/A</v>
      </c>
      <c r="J2200" t="e">
        <f>NA()</f>
        <v>#N/A</v>
      </c>
      <c r="K2200" t="e">
        <f>NA()</f>
        <v>#N/A</v>
      </c>
      <c r="L2200" t="e">
        <f>NA()</f>
        <v>#N/A</v>
      </c>
      <c r="M2200" t="e">
        <f>NA()</f>
        <v>#N/A</v>
      </c>
      <c r="N2200" t="e">
        <f>NA()</f>
        <v>#N/A</v>
      </c>
      <c r="O2200">
        <f t="shared" si="85"/>
        <v>0.9</v>
      </c>
    </row>
    <row r="2201" spans="1:15" x14ac:dyDescent="0.25">
      <c r="A2201" s="1">
        <v>42830</v>
      </c>
      <c r="B2201" t="e">
        <f>NA()</f>
        <v>#N/A</v>
      </c>
      <c r="C2201" t="e">
        <f>NA()</f>
        <v>#N/A</v>
      </c>
      <c r="D2201" t="e">
        <f>NA()</f>
        <v>#N/A</v>
      </c>
      <c r="E2201" t="e">
        <f>NA()</f>
        <v>#N/A</v>
      </c>
      <c r="F2201" t="e">
        <f>NA()</f>
        <v>#N/A</v>
      </c>
      <c r="G2201" t="e">
        <f>NA()</f>
        <v>#N/A</v>
      </c>
      <c r="H2201" t="e">
        <f>NA()</f>
        <v>#N/A</v>
      </c>
      <c r="I2201" t="e">
        <f>NA()</f>
        <v>#N/A</v>
      </c>
      <c r="J2201" t="e">
        <f>NA()</f>
        <v>#N/A</v>
      </c>
      <c r="K2201" t="e">
        <f>NA()</f>
        <v>#N/A</v>
      </c>
      <c r="L2201" t="e">
        <f>NA()</f>
        <v>#N/A</v>
      </c>
      <c r="M2201" t="e">
        <f>NA()</f>
        <v>#N/A</v>
      </c>
      <c r="N2201" t="e">
        <f>NA()</f>
        <v>#N/A</v>
      </c>
      <c r="O2201">
        <f t="shared" si="85"/>
        <v>0.9</v>
      </c>
    </row>
    <row r="2202" spans="1:15" x14ac:dyDescent="0.25">
      <c r="A2202" s="1">
        <v>42829</v>
      </c>
      <c r="B2202" t="e">
        <f>NA()</f>
        <v>#N/A</v>
      </c>
      <c r="C2202" t="e">
        <f>NA()</f>
        <v>#N/A</v>
      </c>
      <c r="D2202" t="e">
        <f>NA()</f>
        <v>#N/A</v>
      </c>
      <c r="E2202" t="e">
        <f>NA()</f>
        <v>#N/A</v>
      </c>
      <c r="F2202" t="e">
        <f>NA()</f>
        <v>#N/A</v>
      </c>
      <c r="G2202" t="e">
        <f>NA()</f>
        <v>#N/A</v>
      </c>
      <c r="H2202" t="e">
        <f>NA()</f>
        <v>#N/A</v>
      </c>
      <c r="I2202" t="e">
        <f>NA()</f>
        <v>#N/A</v>
      </c>
      <c r="J2202" t="e">
        <f>NA()</f>
        <v>#N/A</v>
      </c>
      <c r="K2202" t="e">
        <f>NA()</f>
        <v>#N/A</v>
      </c>
      <c r="L2202" t="e">
        <f>NA()</f>
        <v>#N/A</v>
      </c>
      <c r="M2202" t="e">
        <f>NA()</f>
        <v>#N/A</v>
      </c>
      <c r="N2202" t="e">
        <f>NA()</f>
        <v>#N/A</v>
      </c>
      <c r="O2202">
        <f t="shared" si="85"/>
        <v>0.9</v>
      </c>
    </row>
    <row r="2203" spans="1:15" x14ac:dyDescent="0.25">
      <c r="A2203" s="1">
        <v>42828</v>
      </c>
      <c r="B2203" t="e">
        <f>NA()</f>
        <v>#N/A</v>
      </c>
      <c r="C2203" t="e">
        <f>NA()</f>
        <v>#N/A</v>
      </c>
      <c r="D2203" t="e">
        <f>NA()</f>
        <v>#N/A</v>
      </c>
      <c r="E2203" t="e">
        <f>NA()</f>
        <v>#N/A</v>
      </c>
      <c r="F2203" t="e">
        <f>NA()</f>
        <v>#N/A</v>
      </c>
      <c r="G2203" t="e">
        <f>NA()</f>
        <v>#N/A</v>
      </c>
      <c r="H2203" t="e">
        <f>NA()</f>
        <v>#N/A</v>
      </c>
      <c r="I2203" t="e">
        <f>NA()</f>
        <v>#N/A</v>
      </c>
      <c r="J2203" t="e">
        <f>NA()</f>
        <v>#N/A</v>
      </c>
      <c r="K2203" t="e">
        <f>NA()</f>
        <v>#N/A</v>
      </c>
      <c r="L2203" t="e">
        <f>NA()</f>
        <v>#N/A</v>
      </c>
      <c r="M2203" t="e">
        <f>NA()</f>
        <v>#N/A</v>
      </c>
      <c r="N2203" t="e">
        <f>NA()</f>
        <v>#N/A</v>
      </c>
      <c r="O2203">
        <f t="shared" si="85"/>
        <v>0.9</v>
      </c>
    </row>
    <row r="2204" spans="1:15" x14ac:dyDescent="0.25">
      <c r="A2204" s="1">
        <v>42825</v>
      </c>
      <c r="B2204">
        <f>-0.4</f>
        <v>-0.4</v>
      </c>
      <c r="C2204">
        <f>0</f>
        <v>0</v>
      </c>
      <c r="D2204">
        <f>0.2</f>
        <v>0.2</v>
      </c>
      <c r="E2204">
        <f>0.2</f>
        <v>0.2</v>
      </c>
      <c r="F2204">
        <f>5811</f>
        <v>5811</v>
      </c>
      <c r="G2204">
        <f>62.9</f>
        <v>62.9</v>
      </c>
      <c r="H2204">
        <f>4.8</f>
        <v>4.8</v>
      </c>
      <c r="I2204">
        <f>243.8</f>
        <v>243.8</v>
      </c>
      <c r="J2204">
        <f>2.4</f>
        <v>2.4</v>
      </c>
      <c r="K2204">
        <f>56.5</f>
        <v>56.5</v>
      </c>
      <c r="L2204">
        <f>0.6</f>
        <v>0.6</v>
      </c>
      <c r="M2204">
        <f>2</f>
        <v>2</v>
      </c>
      <c r="N2204">
        <f>4.4</f>
        <v>4.4000000000000004</v>
      </c>
      <c r="O2204">
        <f>0.8</f>
        <v>0.8</v>
      </c>
    </row>
    <row r="2205" spans="1:15" x14ac:dyDescent="0.25">
      <c r="A2205" s="1">
        <v>42824</v>
      </c>
      <c r="B2205" t="e">
        <f>NA()</f>
        <v>#N/A</v>
      </c>
      <c r="C2205" t="e">
        <f>NA()</f>
        <v>#N/A</v>
      </c>
      <c r="D2205" t="e">
        <f>NA()</f>
        <v>#N/A</v>
      </c>
      <c r="E2205" t="e">
        <f>NA()</f>
        <v>#N/A</v>
      </c>
      <c r="F2205" t="e">
        <f>NA()</f>
        <v>#N/A</v>
      </c>
      <c r="G2205" t="e">
        <f>NA()</f>
        <v>#N/A</v>
      </c>
      <c r="H2205" t="e">
        <f>NA()</f>
        <v>#N/A</v>
      </c>
      <c r="I2205" t="e">
        <f>NA()</f>
        <v>#N/A</v>
      </c>
      <c r="J2205" t="e">
        <f>NA()</f>
        <v>#N/A</v>
      </c>
      <c r="K2205" t="e">
        <f>NA()</f>
        <v>#N/A</v>
      </c>
      <c r="L2205" t="e">
        <f>NA()</f>
        <v>#N/A</v>
      </c>
      <c r="M2205" t="e">
        <f>NA()</f>
        <v>#N/A</v>
      </c>
      <c r="N2205" t="e">
        <f>NA()</f>
        <v>#N/A</v>
      </c>
      <c r="O2205">
        <f t="shared" ref="O2205:O2215" si="86">0.9</f>
        <v>0.9</v>
      </c>
    </row>
    <row r="2206" spans="1:15" x14ac:dyDescent="0.25">
      <c r="A2206" s="1">
        <v>42823</v>
      </c>
      <c r="B2206" t="e">
        <f>NA()</f>
        <v>#N/A</v>
      </c>
      <c r="C2206" t="e">
        <f>NA()</f>
        <v>#N/A</v>
      </c>
      <c r="D2206" t="e">
        <f>NA()</f>
        <v>#N/A</v>
      </c>
      <c r="E2206" t="e">
        <f>NA()</f>
        <v>#N/A</v>
      </c>
      <c r="F2206" t="e">
        <f>NA()</f>
        <v>#N/A</v>
      </c>
      <c r="G2206" t="e">
        <f>NA()</f>
        <v>#N/A</v>
      </c>
      <c r="H2206" t="e">
        <f>NA()</f>
        <v>#N/A</v>
      </c>
      <c r="I2206" t="e">
        <f>NA()</f>
        <v>#N/A</v>
      </c>
      <c r="J2206" t="e">
        <f>NA()</f>
        <v>#N/A</v>
      </c>
      <c r="K2206" t="e">
        <f>NA()</f>
        <v>#N/A</v>
      </c>
      <c r="L2206" t="e">
        <f>NA()</f>
        <v>#N/A</v>
      </c>
      <c r="M2206" t="e">
        <f>NA()</f>
        <v>#N/A</v>
      </c>
      <c r="N2206" t="e">
        <f>NA()</f>
        <v>#N/A</v>
      </c>
      <c r="O2206">
        <f t="shared" si="86"/>
        <v>0.9</v>
      </c>
    </row>
    <row r="2207" spans="1:15" x14ac:dyDescent="0.25">
      <c r="A2207" s="1">
        <v>42822</v>
      </c>
      <c r="B2207" t="e">
        <f>NA()</f>
        <v>#N/A</v>
      </c>
      <c r="C2207" t="e">
        <f>NA()</f>
        <v>#N/A</v>
      </c>
      <c r="D2207" t="e">
        <f>NA()</f>
        <v>#N/A</v>
      </c>
      <c r="E2207" t="e">
        <f>NA()</f>
        <v>#N/A</v>
      </c>
      <c r="F2207" t="e">
        <f>NA()</f>
        <v>#N/A</v>
      </c>
      <c r="G2207" t="e">
        <f>NA()</f>
        <v>#N/A</v>
      </c>
      <c r="H2207" t="e">
        <f>NA()</f>
        <v>#N/A</v>
      </c>
      <c r="I2207" t="e">
        <f>NA()</f>
        <v>#N/A</v>
      </c>
      <c r="J2207" t="e">
        <f>NA()</f>
        <v>#N/A</v>
      </c>
      <c r="K2207" t="e">
        <f>NA()</f>
        <v>#N/A</v>
      </c>
      <c r="L2207" t="e">
        <f>NA()</f>
        <v>#N/A</v>
      </c>
      <c r="M2207" t="e">
        <f>NA()</f>
        <v>#N/A</v>
      </c>
      <c r="N2207" t="e">
        <f>NA()</f>
        <v>#N/A</v>
      </c>
      <c r="O2207">
        <f t="shared" si="86"/>
        <v>0.9</v>
      </c>
    </row>
    <row r="2208" spans="1:15" x14ac:dyDescent="0.25">
      <c r="A2208" s="1">
        <v>42821</v>
      </c>
      <c r="B2208" t="e">
        <f>NA()</f>
        <v>#N/A</v>
      </c>
      <c r="C2208" t="e">
        <f>NA()</f>
        <v>#N/A</v>
      </c>
      <c r="D2208" t="e">
        <f>NA()</f>
        <v>#N/A</v>
      </c>
      <c r="E2208" t="e">
        <f>NA()</f>
        <v>#N/A</v>
      </c>
      <c r="F2208" t="e">
        <f>NA()</f>
        <v>#N/A</v>
      </c>
      <c r="G2208" t="e">
        <f>NA()</f>
        <v>#N/A</v>
      </c>
      <c r="H2208" t="e">
        <f>NA()</f>
        <v>#N/A</v>
      </c>
      <c r="I2208" t="e">
        <f>NA()</f>
        <v>#N/A</v>
      </c>
      <c r="J2208" t="e">
        <f>NA()</f>
        <v>#N/A</v>
      </c>
      <c r="K2208" t="e">
        <f>NA()</f>
        <v>#N/A</v>
      </c>
      <c r="L2208" t="e">
        <f>NA()</f>
        <v>#N/A</v>
      </c>
      <c r="M2208" t="e">
        <f>NA()</f>
        <v>#N/A</v>
      </c>
      <c r="N2208" t="e">
        <f>NA()</f>
        <v>#N/A</v>
      </c>
      <c r="O2208">
        <f t="shared" si="86"/>
        <v>0.9</v>
      </c>
    </row>
    <row r="2209" spans="1:15" x14ac:dyDescent="0.25">
      <c r="A2209" s="1">
        <v>42818</v>
      </c>
      <c r="B2209">
        <f>-0.2</f>
        <v>-0.2</v>
      </c>
      <c r="C2209">
        <f>0</f>
        <v>0</v>
      </c>
      <c r="D2209" t="e">
        <f>NA()</f>
        <v>#N/A</v>
      </c>
      <c r="E2209" t="e">
        <f>NA()</f>
        <v>#N/A</v>
      </c>
      <c r="F2209" t="e">
        <f>NA()</f>
        <v>#N/A</v>
      </c>
      <c r="G2209" t="e">
        <f>NA()</f>
        <v>#N/A</v>
      </c>
      <c r="H2209" t="e">
        <f>NA()</f>
        <v>#N/A</v>
      </c>
      <c r="I2209" t="e">
        <f>NA()</f>
        <v>#N/A</v>
      </c>
      <c r="J2209" t="e">
        <f>NA()</f>
        <v>#N/A</v>
      </c>
      <c r="K2209" t="e">
        <f>NA()</f>
        <v>#N/A</v>
      </c>
      <c r="L2209" t="e">
        <f>NA()</f>
        <v>#N/A</v>
      </c>
      <c r="M2209" t="e">
        <f>NA()</f>
        <v>#N/A</v>
      </c>
      <c r="N2209" t="e">
        <f>NA()</f>
        <v>#N/A</v>
      </c>
      <c r="O2209">
        <f t="shared" si="86"/>
        <v>0.9</v>
      </c>
    </row>
    <row r="2210" spans="1:15" x14ac:dyDescent="0.25">
      <c r="A2210" s="1">
        <v>42817</v>
      </c>
      <c r="B2210" t="e">
        <f>NA()</f>
        <v>#N/A</v>
      </c>
      <c r="C2210" t="e">
        <f>NA()</f>
        <v>#N/A</v>
      </c>
      <c r="D2210" t="e">
        <f>NA()</f>
        <v>#N/A</v>
      </c>
      <c r="E2210" t="e">
        <f>NA()</f>
        <v>#N/A</v>
      </c>
      <c r="F2210" t="e">
        <f>NA()</f>
        <v>#N/A</v>
      </c>
      <c r="G2210" t="e">
        <f>NA()</f>
        <v>#N/A</v>
      </c>
      <c r="H2210" t="e">
        <f>NA()</f>
        <v>#N/A</v>
      </c>
      <c r="I2210" t="e">
        <f>NA()</f>
        <v>#N/A</v>
      </c>
      <c r="J2210" t="e">
        <f>NA()</f>
        <v>#N/A</v>
      </c>
      <c r="K2210" t="e">
        <f>NA()</f>
        <v>#N/A</v>
      </c>
      <c r="L2210" t="e">
        <f>NA()</f>
        <v>#N/A</v>
      </c>
      <c r="M2210" t="e">
        <f>NA()</f>
        <v>#N/A</v>
      </c>
      <c r="N2210" t="e">
        <f>NA()</f>
        <v>#N/A</v>
      </c>
      <c r="O2210">
        <f t="shared" si="86"/>
        <v>0.9</v>
      </c>
    </row>
    <row r="2211" spans="1:15" x14ac:dyDescent="0.25">
      <c r="A2211" s="1">
        <v>42816</v>
      </c>
      <c r="B2211" t="e">
        <f>NA()</f>
        <v>#N/A</v>
      </c>
      <c r="C2211" t="e">
        <f>NA()</f>
        <v>#N/A</v>
      </c>
      <c r="D2211" t="e">
        <f>NA()</f>
        <v>#N/A</v>
      </c>
      <c r="E2211" t="e">
        <f>NA()</f>
        <v>#N/A</v>
      </c>
      <c r="F2211" t="e">
        <f>NA()</f>
        <v>#N/A</v>
      </c>
      <c r="G2211" t="e">
        <f>NA()</f>
        <v>#N/A</v>
      </c>
      <c r="H2211" t="e">
        <f>NA()</f>
        <v>#N/A</v>
      </c>
      <c r="I2211" t="e">
        <f>NA()</f>
        <v>#N/A</v>
      </c>
      <c r="J2211" t="e">
        <f>NA()</f>
        <v>#N/A</v>
      </c>
      <c r="K2211" t="e">
        <f>NA()</f>
        <v>#N/A</v>
      </c>
      <c r="L2211" t="e">
        <f>NA()</f>
        <v>#N/A</v>
      </c>
      <c r="M2211" t="e">
        <f>NA()</f>
        <v>#N/A</v>
      </c>
      <c r="N2211" t="e">
        <f>NA()</f>
        <v>#N/A</v>
      </c>
      <c r="O2211">
        <f t="shared" si="86"/>
        <v>0.9</v>
      </c>
    </row>
    <row r="2212" spans="1:15" x14ac:dyDescent="0.25">
      <c r="A2212" s="1">
        <v>42815</v>
      </c>
      <c r="B2212" t="e">
        <f>NA()</f>
        <v>#N/A</v>
      </c>
      <c r="C2212" t="e">
        <f>NA()</f>
        <v>#N/A</v>
      </c>
      <c r="D2212" t="e">
        <f>NA()</f>
        <v>#N/A</v>
      </c>
      <c r="E2212" t="e">
        <f>NA()</f>
        <v>#N/A</v>
      </c>
      <c r="F2212" t="e">
        <f>NA()</f>
        <v>#N/A</v>
      </c>
      <c r="G2212" t="e">
        <f>NA()</f>
        <v>#N/A</v>
      </c>
      <c r="H2212" t="e">
        <f>NA()</f>
        <v>#N/A</v>
      </c>
      <c r="I2212" t="e">
        <f>NA()</f>
        <v>#N/A</v>
      </c>
      <c r="J2212" t="e">
        <f>NA()</f>
        <v>#N/A</v>
      </c>
      <c r="K2212" t="e">
        <f>NA()</f>
        <v>#N/A</v>
      </c>
      <c r="L2212" t="e">
        <f>NA()</f>
        <v>#N/A</v>
      </c>
      <c r="M2212" t="e">
        <f>NA()</f>
        <v>#N/A</v>
      </c>
      <c r="N2212" t="e">
        <f>NA()</f>
        <v>#N/A</v>
      </c>
      <c r="O2212">
        <f t="shared" si="86"/>
        <v>0.9</v>
      </c>
    </row>
    <row r="2213" spans="1:15" x14ac:dyDescent="0.25">
      <c r="A2213" s="1">
        <v>42814</v>
      </c>
      <c r="B2213" t="e">
        <f>NA()</f>
        <v>#N/A</v>
      </c>
      <c r="C2213" t="e">
        <f>NA()</f>
        <v>#N/A</v>
      </c>
      <c r="D2213" t="e">
        <f>NA()</f>
        <v>#N/A</v>
      </c>
      <c r="E2213" t="e">
        <f>NA()</f>
        <v>#N/A</v>
      </c>
      <c r="F2213" t="e">
        <f>NA()</f>
        <v>#N/A</v>
      </c>
      <c r="G2213" t="e">
        <f>NA()</f>
        <v>#N/A</v>
      </c>
      <c r="H2213" t="e">
        <f>NA()</f>
        <v>#N/A</v>
      </c>
      <c r="I2213" t="e">
        <f>NA()</f>
        <v>#N/A</v>
      </c>
      <c r="J2213" t="e">
        <f>NA()</f>
        <v>#N/A</v>
      </c>
      <c r="K2213" t="e">
        <f>NA()</f>
        <v>#N/A</v>
      </c>
      <c r="L2213" t="e">
        <f>NA()</f>
        <v>#N/A</v>
      </c>
      <c r="M2213" t="e">
        <f>NA()</f>
        <v>#N/A</v>
      </c>
      <c r="N2213" t="e">
        <f>NA()</f>
        <v>#N/A</v>
      </c>
      <c r="O2213">
        <f t="shared" si="86"/>
        <v>0.9</v>
      </c>
    </row>
    <row r="2214" spans="1:15" x14ac:dyDescent="0.25">
      <c r="A2214" s="1">
        <v>42811</v>
      </c>
      <c r="B2214">
        <f>-0.4</f>
        <v>-0.4</v>
      </c>
      <c r="C2214">
        <f>0</f>
        <v>0</v>
      </c>
      <c r="D2214" t="e">
        <f>NA()</f>
        <v>#N/A</v>
      </c>
      <c r="E2214" t="e">
        <f>NA()</f>
        <v>#N/A</v>
      </c>
      <c r="F2214" t="e">
        <f>NA()</f>
        <v>#N/A</v>
      </c>
      <c r="G2214" t="e">
        <f>NA()</f>
        <v>#N/A</v>
      </c>
      <c r="H2214" t="e">
        <f>NA()</f>
        <v>#N/A</v>
      </c>
      <c r="I2214" t="e">
        <f>NA()</f>
        <v>#N/A</v>
      </c>
      <c r="J2214" t="e">
        <f>NA()</f>
        <v>#N/A</v>
      </c>
      <c r="K2214" t="e">
        <f>NA()</f>
        <v>#N/A</v>
      </c>
      <c r="L2214" t="e">
        <f>NA()</f>
        <v>#N/A</v>
      </c>
      <c r="M2214" t="e">
        <f>NA()</f>
        <v>#N/A</v>
      </c>
      <c r="N2214" t="e">
        <f>NA()</f>
        <v>#N/A</v>
      </c>
      <c r="O2214">
        <f t="shared" si="86"/>
        <v>0.9</v>
      </c>
    </row>
    <row r="2215" spans="1:15" x14ac:dyDescent="0.25">
      <c r="A2215" s="1">
        <v>42810</v>
      </c>
      <c r="B2215" t="e">
        <f>NA()</f>
        <v>#N/A</v>
      </c>
      <c r="C2215" t="e">
        <f>NA()</f>
        <v>#N/A</v>
      </c>
      <c r="D2215" t="e">
        <f>NA()</f>
        <v>#N/A</v>
      </c>
      <c r="E2215" t="e">
        <f>NA()</f>
        <v>#N/A</v>
      </c>
      <c r="F2215" t="e">
        <f>NA()</f>
        <v>#N/A</v>
      </c>
      <c r="G2215" t="e">
        <f>NA()</f>
        <v>#N/A</v>
      </c>
      <c r="H2215" t="e">
        <f>NA()</f>
        <v>#N/A</v>
      </c>
      <c r="I2215" t="e">
        <f>NA()</f>
        <v>#N/A</v>
      </c>
      <c r="J2215" t="e">
        <f>NA()</f>
        <v>#N/A</v>
      </c>
      <c r="K2215" t="e">
        <f>NA()</f>
        <v>#N/A</v>
      </c>
      <c r="L2215" t="e">
        <f>NA()</f>
        <v>#N/A</v>
      </c>
      <c r="M2215" t="e">
        <f>NA()</f>
        <v>#N/A</v>
      </c>
      <c r="N2215" t="e">
        <f>NA()</f>
        <v>#N/A</v>
      </c>
      <c r="O2215">
        <f t="shared" si="86"/>
        <v>0.9</v>
      </c>
    </row>
    <row r="2216" spans="1:15" x14ac:dyDescent="0.25">
      <c r="A2216" s="1">
        <v>42809</v>
      </c>
      <c r="B2216" t="e">
        <f>NA()</f>
        <v>#N/A</v>
      </c>
      <c r="C2216" t="e">
        <f>NA()</f>
        <v>#N/A</v>
      </c>
      <c r="D2216" t="e">
        <f>NA()</f>
        <v>#N/A</v>
      </c>
      <c r="E2216" t="e">
        <f>NA()</f>
        <v>#N/A</v>
      </c>
      <c r="F2216" t="e">
        <f>NA()</f>
        <v>#N/A</v>
      </c>
      <c r="G2216" t="e">
        <f>NA()</f>
        <v>#N/A</v>
      </c>
      <c r="H2216" t="e">
        <f>NA()</f>
        <v>#N/A</v>
      </c>
      <c r="I2216" t="e">
        <f>NA()</f>
        <v>#N/A</v>
      </c>
      <c r="J2216" t="e">
        <f>NA()</f>
        <v>#N/A</v>
      </c>
      <c r="K2216" t="e">
        <f>NA()</f>
        <v>#N/A</v>
      </c>
      <c r="L2216" t="e">
        <f>NA()</f>
        <v>#N/A</v>
      </c>
      <c r="M2216" t="e">
        <f>NA()</f>
        <v>#N/A</v>
      </c>
      <c r="N2216" t="e">
        <f>NA()</f>
        <v>#N/A</v>
      </c>
      <c r="O2216">
        <f t="shared" ref="O2216:O2226" si="87">0.7</f>
        <v>0.7</v>
      </c>
    </row>
    <row r="2217" spans="1:15" x14ac:dyDescent="0.25">
      <c r="A2217" s="1">
        <v>42808</v>
      </c>
      <c r="B2217" t="e">
        <f>NA()</f>
        <v>#N/A</v>
      </c>
      <c r="C2217" t="e">
        <f>NA()</f>
        <v>#N/A</v>
      </c>
      <c r="D2217" t="e">
        <f>NA()</f>
        <v>#N/A</v>
      </c>
      <c r="E2217" t="e">
        <f>NA()</f>
        <v>#N/A</v>
      </c>
      <c r="F2217" t="e">
        <f>NA()</f>
        <v>#N/A</v>
      </c>
      <c r="G2217" t="e">
        <f>NA()</f>
        <v>#N/A</v>
      </c>
      <c r="H2217" t="e">
        <f>NA()</f>
        <v>#N/A</v>
      </c>
      <c r="I2217" t="e">
        <f>NA()</f>
        <v>#N/A</v>
      </c>
      <c r="J2217" t="e">
        <f>NA()</f>
        <v>#N/A</v>
      </c>
      <c r="K2217" t="e">
        <f>NA()</f>
        <v>#N/A</v>
      </c>
      <c r="L2217" t="e">
        <f>NA()</f>
        <v>#N/A</v>
      </c>
      <c r="M2217" t="e">
        <f>NA()</f>
        <v>#N/A</v>
      </c>
      <c r="N2217" t="e">
        <f>NA()</f>
        <v>#N/A</v>
      </c>
      <c r="O2217">
        <f t="shared" si="87"/>
        <v>0.7</v>
      </c>
    </row>
    <row r="2218" spans="1:15" x14ac:dyDescent="0.25">
      <c r="A2218" s="1">
        <v>42807</v>
      </c>
      <c r="B2218" t="e">
        <f>NA()</f>
        <v>#N/A</v>
      </c>
      <c r="C2218" t="e">
        <f>NA()</f>
        <v>#N/A</v>
      </c>
      <c r="D2218" t="e">
        <f>NA()</f>
        <v>#N/A</v>
      </c>
      <c r="E2218" t="e">
        <f>NA()</f>
        <v>#N/A</v>
      </c>
      <c r="F2218" t="e">
        <f>NA()</f>
        <v>#N/A</v>
      </c>
      <c r="G2218" t="e">
        <f>NA()</f>
        <v>#N/A</v>
      </c>
      <c r="H2218" t="e">
        <f>NA()</f>
        <v>#N/A</v>
      </c>
      <c r="I2218" t="e">
        <f>NA()</f>
        <v>#N/A</v>
      </c>
      <c r="J2218" t="e">
        <f>NA()</f>
        <v>#N/A</v>
      </c>
      <c r="K2218" t="e">
        <f>NA()</f>
        <v>#N/A</v>
      </c>
      <c r="L2218" t="e">
        <f>NA()</f>
        <v>#N/A</v>
      </c>
      <c r="M2218" t="e">
        <f>NA()</f>
        <v>#N/A</v>
      </c>
      <c r="N2218" t="e">
        <f>NA()</f>
        <v>#N/A</v>
      </c>
      <c r="O2218">
        <f t="shared" si="87"/>
        <v>0.7</v>
      </c>
    </row>
    <row r="2219" spans="1:15" x14ac:dyDescent="0.25">
      <c r="A2219" s="1">
        <v>42804</v>
      </c>
      <c r="B2219">
        <f>-0.4</f>
        <v>-0.4</v>
      </c>
      <c r="C2219">
        <f>0</f>
        <v>0</v>
      </c>
      <c r="D2219" t="e">
        <f>NA()</f>
        <v>#N/A</v>
      </c>
      <c r="E2219" t="e">
        <f>NA()</f>
        <v>#N/A</v>
      </c>
      <c r="F2219" t="e">
        <f>NA()</f>
        <v>#N/A</v>
      </c>
      <c r="G2219" t="e">
        <f>NA()</f>
        <v>#N/A</v>
      </c>
      <c r="H2219" t="e">
        <f>NA()</f>
        <v>#N/A</v>
      </c>
      <c r="I2219" t="e">
        <f>NA()</f>
        <v>#N/A</v>
      </c>
      <c r="J2219" t="e">
        <f>NA()</f>
        <v>#N/A</v>
      </c>
      <c r="K2219" t="e">
        <f>NA()</f>
        <v>#N/A</v>
      </c>
      <c r="L2219" t="e">
        <f>NA()</f>
        <v>#N/A</v>
      </c>
      <c r="M2219" t="e">
        <f>NA()</f>
        <v>#N/A</v>
      </c>
      <c r="N2219" t="e">
        <f>NA()</f>
        <v>#N/A</v>
      </c>
      <c r="O2219">
        <f t="shared" si="87"/>
        <v>0.7</v>
      </c>
    </row>
    <row r="2220" spans="1:15" x14ac:dyDescent="0.25">
      <c r="A2220" s="1">
        <v>42803</v>
      </c>
      <c r="B2220" t="e">
        <f>NA()</f>
        <v>#N/A</v>
      </c>
      <c r="C2220" t="e">
        <f>NA()</f>
        <v>#N/A</v>
      </c>
      <c r="D2220" t="e">
        <f>NA()</f>
        <v>#N/A</v>
      </c>
      <c r="E2220" t="e">
        <f>NA()</f>
        <v>#N/A</v>
      </c>
      <c r="F2220" t="e">
        <f>NA()</f>
        <v>#N/A</v>
      </c>
      <c r="G2220" t="e">
        <f>NA()</f>
        <v>#N/A</v>
      </c>
      <c r="H2220" t="e">
        <f>NA()</f>
        <v>#N/A</v>
      </c>
      <c r="I2220" t="e">
        <f>NA()</f>
        <v>#N/A</v>
      </c>
      <c r="J2220" t="e">
        <f>NA()</f>
        <v>#N/A</v>
      </c>
      <c r="K2220" t="e">
        <f>NA()</f>
        <v>#N/A</v>
      </c>
      <c r="L2220" t="e">
        <f>NA()</f>
        <v>#N/A</v>
      </c>
      <c r="M2220" t="e">
        <f>NA()</f>
        <v>#N/A</v>
      </c>
      <c r="N2220" t="e">
        <f>NA()</f>
        <v>#N/A</v>
      </c>
      <c r="O2220">
        <f t="shared" si="87"/>
        <v>0.7</v>
      </c>
    </row>
    <row r="2221" spans="1:15" x14ac:dyDescent="0.25">
      <c r="A2221" s="1">
        <v>42802</v>
      </c>
      <c r="B2221" t="e">
        <f>NA()</f>
        <v>#N/A</v>
      </c>
      <c r="C2221" t="e">
        <f>NA()</f>
        <v>#N/A</v>
      </c>
      <c r="D2221" t="e">
        <f>NA()</f>
        <v>#N/A</v>
      </c>
      <c r="E2221" t="e">
        <f>NA()</f>
        <v>#N/A</v>
      </c>
      <c r="F2221" t="e">
        <f>NA()</f>
        <v>#N/A</v>
      </c>
      <c r="G2221" t="e">
        <f>NA()</f>
        <v>#N/A</v>
      </c>
      <c r="H2221" t="e">
        <f>NA()</f>
        <v>#N/A</v>
      </c>
      <c r="I2221" t="e">
        <f>NA()</f>
        <v>#N/A</v>
      </c>
      <c r="J2221" t="e">
        <f>NA()</f>
        <v>#N/A</v>
      </c>
      <c r="K2221" t="e">
        <f>NA()</f>
        <v>#N/A</v>
      </c>
      <c r="L2221" t="e">
        <f>NA()</f>
        <v>#N/A</v>
      </c>
      <c r="M2221" t="e">
        <f>NA()</f>
        <v>#N/A</v>
      </c>
      <c r="N2221" t="e">
        <f>NA()</f>
        <v>#N/A</v>
      </c>
      <c r="O2221">
        <f t="shared" si="87"/>
        <v>0.7</v>
      </c>
    </row>
    <row r="2222" spans="1:15" x14ac:dyDescent="0.25">
      <c r="A2222" s="1">
        <v>42801</v>
      </c>
      <c r="B2222" t="e">
        <f>NA()</f>
        <v>#N/A</v>
      </c>
      <c r="C2222" t="e">
        <f>NA()</f>
        <v>#N/A</v>
      </c>
      <c r="D2222" t="e">
        <f>NA()</f>
        <v>#N/A</v>
      </c>
      <c r="E2222" t="e">
        <f>NA()</f>
        <v>#N/A</v>
      </c>
      <c r="F2222" t="e">
        <f>NA()</f>
        <v>#N/A</v>
      </c>
      <c r="G2222" t="e">
        <f>NA()</f>
        <v>#N/A</v>
      </c>
      <c r="H2222" t="e">
        <f>NA()</f>
        <v>#N/A</v>
      </c>
      <c r="I2222" t="e">
        <f>NA()</f>
        <v>#N/A</v>
      </c>
      <c r="J2222" t="e">
        <f>NA()</f>
        <v>#N/A</v>
      </c>
      <c r="K2222" t="e">
        <f>NA()</f>
        <v>#N/A</v>
      </c>
      <c r="L2222" t="e">
        <f>NA()</f>
        <v>#N/A</v>
      </c>
      <c r="M2222" t="e">
        <f>NA()</f>
        <v>#N/A</v>
      </c>
      <c r="N2222" t="e">
        <f>NA()</f>
        <v>#N/A</v>
      </c>
      <c r="O2222">
        <f t="shared" si="87"/>
        <v>0.7</v>
      </c>
    </row>
    <row r="2223" spans="1:15" x14ac:dyDescent="0.25">
      <c r="A2223" s="1">
        <v>42800</v>
      </c>
      <c r="B2223" t="e">
        <f>NA()</f>
        <v>#N/A</v>
      </c>
      <c r="C2223" t="e">
        <f>NA()</f>
        <v>#N/A</v>
      </c>
      <c r="D2223" t="e">
        <f>NA()</f>
        <v>#N/A</v>
      </c>
      <c r="E2223" t="e">
        <f>NA()</f>
        <v>#N/A</v>
      </c>
      <c r="F2223" t="e">
        <f>NA()</f>
        <v>#N/A</v>
      </c>
      <c r="G2223" t="e">
        <f>NA()</f>
        <v>#N/A</v>
      </c>
      <c r="H2223" t="e">
        <f>NA()</f>
        <v>#N/A</v>
      </c>
      <c r="I2223" t="e">
        <f>NA()</f>
        <v>#N/A</v>
      </c>
      <c r="J2223" t="e">
        <f>NA()</f>
        <v>#N/A</v>
      </c>
      <c r="K2223" t="e">
        <f>NA()</f>
        <v>#N/A</v>
      </c>
      <c r="L2223" t="e">
        <f>NA()</f>
        <v>#N/A</v>
      </c>
      <c r="M2223" t="e">
        <f>NA()</f>
        <v>#N/A</v>
      </c>
      <c r="N2223" t="e">
        <f>NA()</f>
        <v>#N/A</v>
      </c>
      <c r="O2223">
        <f t="shared" si="87"/>
        <v>0.7</v>
      </c>
    </row>
    <row r="2224" spans="1:15" x14ac:dyDescent="0.25">
      <c r="A2224" s="1">
        <v>42797</v>
      </c>
      <c r="B2224">
        <f>-0.4</f>
        <v>-0.4</v>
      </c>
      <c r="C2224">
        <f>0</f>
        <v>0</v>
      </c>
      <c r="D2224" t="e">
        <f>NA()</f>
        <v>#N/A</v>
      </c>
      <c r="E2224" t="e">
        <f>NA()</f>
        <v>#N/A</v>
      </c>
      <c r="F2224" t="e">
        <f>NA()</f>
        <v>#N/A</v>
      </c>
      <c r="G2224" t="e">
        <f>NA()</f>
        <v>#N/A</v>
      </c>
      <c r="H2224" t="e">
        <f>NA()</f>
        <v>#N/A</v>
      </c>
      <c r="I2224" t="e">
        <f>NA()</f>
        <v>#N/A</v>
      </c>
      <c r="J2224" t="e">
        <f>NA()</f>
        <v>#N/A</v>
      </c>
      <c r="K2224" t="e">
        <f>NA()</f>
        <v>#N/A</v>
      </c>
      <c r="L2224" t="e">
        <f>NA()</f>
        <v>#N/A</v>
      </c>
      <c r="M2224" t="e">
        <f>NA()</f>
        <v>#N/A</v>
      </c>
      <c r="N2224" t="e">
        <f>NA()</f>
        <v>#N/A</v>
      </c>
      <c r="O2224">
        <f t="shared" si="87"/>
        <v>0.7</v>
      </c>
    </row>
    <row r="2225" spans="1:15" x14ac:dyDescent="0.25">
      <c r="A2225" s="1">
        <v>42796</v>
      </c>
      <c r="B2225" t="e">
        <f>NA()</f>
        <v>#N/A</v>
      </c>
      <c r="C2225" t="e">
        <f>NA()</f>
        <v>#N/A</v>
      </c>
      <c r="D2225" t="e">
        <f>NA()</f>
        <v>#N/A</v>
      </c>
      <c r="E2225" t="e">
        <f>NA()</f>
        <v>#N/A</v>
      </c>
      <c r="F2225" t="e">
        <f>NA()</f>
        <v>#N/A</v>
      </c>
      <c r="G2225" t="e">
        <f>NA()</f>
        <v>#N/A</v>
      </c>
      <c r="H2225" t="e">
        <f>NA()</f>
        <v>#N/A</v>
      </c>
      <c r="I2225" t="e">
        <f>NA()</f>
        <v>#N/A</v>
      </c>
      <c r="J2225" t="e">
        <f>NA()</f>
        <v>#N/A</v>
      </c>
      <c r="K2225" t="e">
        <f>NA()</f>
        <v>#N/A</v>
      </c>
      <c r="L2225" t="e">
        <f>NA()</f>
        <v>#N/A</v>
      </c>
      <c r="M2225" t="e">
        <f>NA()</f>
        <v>#N/A</v>
      </c>
      <c r="N2225" t="e">
        <f>NA()</f>
        <v>#N/A</v>
      </c>
      <c r="O2225">
        <f t="shared" si="87"/>
        <v>0.7</v>
      </c>
    </row>
    <row r="2226" spans="1:15" x14ac:dyDescent="0.25">
      <c r="A2226" s="1">
        <v>42795</v>
      </c>
      <c r="B2226" t="e">
        <f>NA()</f>
        <v>#N/A</v>
      </c>
      <c r="C2226" t="e">
        <f>NA()</f>
        <v>#N/A</v>
      </c>
      <c r="D2226" t="e">
        <f>NA()</f>
        <v>#N/A</v>
      </c>
      <c r="E2226" t="e">
        <f>NA()</f>
        <v>#N/A</v>
      </c>
      <c r="F2226" t="e">
        <f>NA()</f>
        <v>#N/A</v>
      </c>
      <c r="G2226" t="e">
        <f>NA()</f>
        <v>#N/A</v>
      </c>
      <c r="H2226" t="e">
        <f>NA()</f>
        <v>#N/A</v>
      </c>
      <c r="I2226" t="e">
        <f>NA()</f>
        <v>#N/A</v>
      </c>
      <c r="J2226" t="e">
        <f>NA()</f>
        <v>#N/A</v>
      </c>
      <c r="K2226" t="e">
        <f>NA()</f>
        <v>#N/A</v>
      </c>
      <c r="L2226" t="e">
        <f>NA()</f>
        <v>#N/A</v>
      </c>
      <c r="M2226" t="e">
        <f>NA()</f>
        <v>#N/A</v>
      </c>
      <c r="N2226" t="e">
        <f>NA()</f>
        <v>#N/A</v>
      </c>
      <c r="O2226">
        <f t="shared" si="87"/>
        <v>0.7</v>
      </c>
    </row>
    <row r="2227" spans="1:15" x14ac:dyDescent="0.25">
      <c r="A2227" s="1">
        <v>42794</v>
      </c>
      <c r="B2227" t="e">
        <f>NA()</f>
        <v>#N/A</v>
      </c>
      <c r="C2227" t="e">
        <f>NA()</f>
        <v>#N/A</v>
      </c>
      <c r="D2227">
        <f>0.3</f>
        <v>0.3</v>
      </c>
      <c r="E2227">
        <f>-0.1</f>
        <v>-0.1</v>
      </c>
      <c r="F2227">
        <f>5923</f>
        <v>5923</v>
      </c>
      <c r="G2227">
        <f>62.9</f>
        <v>62.9</v>
      </c>
      <c r="H2227">
        <f>4.3</f>
        <v>4.3</v>
      </c>
      <c r="I2227">
        <f>243.6</f>
        <v>243.6</v>
      </c>
      <c r="J2227">
        <f>2.7</f>
        <v>2.7</v>
      </c>
      <c r="K2227">
        <f>57.7</f>
        <v>57.7</v>
      </c>
      <c r="L2227">
        <f>-0.4</f>
        <v>-0.4</v>
      </c>
      <c r="M2227" t="e">
        <f>NA()</f>
        <v>#N/A</v>
      </c>
      <c r="N2227">
        <f>4.6</f>
        <v>4.5999999999999996</v>
      </c>
      <c r="O2227">
        <f>0.6</f>
        <v>0.6</v>
      </c>
    </row>
    <row r="2228" spans="1:15" x14ac:dyDescent="0.25">
      <c r="A2228" s="1">
        <v>42793</v>
      </c>
      <c r="B2228" t="e">
        <f>NA()</f>
        <v>#N/A</v>
      </c>
      <c r="C2228" t="e">
        <f>NA()</f>
        <v>#N/A</v>
      </c>
      <c r="D2228" t="e">
        <f>NA()</f>
        <v>#N/A</v>
      </c>
      <c r="E2228" t="e">
        <f>NA()</f>
        <v>#N/A</v>
      </c>
      <c r="F2228" t="e">
        <f>NA()</f>
        <v>#N/A</v>
      </c>
      <c r="G2228" t="e">
        <f>NA()</f>
        <v>#N/A</v>
      </c>
      <c r="H2228" t="e">
        <f>NA()</f>
        <v>#N/A</v>
      </c>
      <c r="I2228" t="e">
        <f>NA()</f>
        <v>#N/A</v>
      </c>
      <c r="J2228" t="e">
        <f>NA()</f>
        <v>#N/A</v>
      </c>
      <c r="K2228" t="e">
        <f>NA()</f>
        <v>#N/A</v>
      </c>
      <c r="L2228" t="e">
        <f>NA()</f>
        <v>#N/A</v>
      </c>
      <c r="M2228" t="e">
        <f>NA()</f>
        <v>#N/A</v>
      </c>
      <c r="N2228" t="e">
        <f>NA()</f>
        <v>#N/A</v>
      </c>
      <c r="O2228">
        <f t="shared" ref="O2228:O2245" si="88">0.7</f>
        <v>0.7</v>
      </c>
    </row>
    <row r="2229" spans="1:15" x14ac:dyDescent="0.25">
      <c r="A2229" s="1">
        <v>42790</v>
      </c>
      <c r="B2229">
        <f>-0.2</f>
        <v>-0.2</v>
      </c>
      <c r="C2229">
        <f>0</f>
        <v>0</v>
      </c>
      <c r="D2229" t="e">
        <f>NA()</f>
        <v>#N/A</v>
      </c>
      <c r="E2229" t="e">
        <f>NA()</f>
        <v>#N/A</v>
      </c>
      <c r="F2229" t="e">
        <f>NA()</f>
        <v>#N/A</v>
      </c>
      <c r="G2229" t="e">
        <f>NA()</f>
        <v>#N/A</v>
      </c>
      <c r="H2229" t="e">
        <f>NA()</f>
        <v>#N/A</v>
      </c>
      <c r="I2229" t="e">
        <f>NA()</f>
        <v>#N/A</v>
      </c>
      <c r="J2229" t="e">
        <f>NA()</f>
        <v>#N/A</v>
      </c>
      <c r="K2229" t="e">
        <f>NA()</f>
        <v>#N/A</v>
      </c>
      <c r="L2229" t="e">
        <f>NA()</f>
        <v>#N/A</v>
      </c>
      <c r="M2229" t="e">
        <f>NA()</f>
        <v>#N/A</v>
      </c>
      <c r="N2229" t="e">
        <f>NA()</f>
        <v>#N/A</v>
      </c>
      <c r="O2229">
        <f t="shared" si="88"/>
        <v>0.7</v>
      </c>
    </row>
    <row r="2230" spans="1:15" x14ac:dyDescent="0.25">
      <c r="A2230" s="1">
        <v>42789</v>
      </c>
      <c r="B2230" t="e">
        <f>NA()</f>
        <v>#N/A</v>
      </c>
      <c r="C2230" t="e">
        <f>NA()</f>
        <v>#N/A</v>
      </c>
      <c r="D2230" t="e">
        <f>NA()</f>
        <v>#N/A</v>
      </c>
      <c r="E2230" t="e">
        <f>NA()</f>
        <v>#N/A</v>
      </c>
      <c r="F2230" t="e">
        <f>NA()</f>
        <v>#N/A</v>
      </c>
      <c r="G2230" t="e">
        <f>NA()</f>
        <v>#N/A</v>
      </c>
      <c r="H2230" t="e">
        <f>NA()</f>
        <v>#N/A</v>
      </c>
      <c r="I2230" t="e">
        <f>NA()</f>
        <v>#N/A</v>
      </c>
      <c r="J2230" t="e">
        <f>NA()</f>
        <v>#N/A</v>
      </c>
      <c r="K2230" t="e">
        <f>NA()</f>
        <v>#N/A</v>
      </c>
      <c r="L2230" t="e">
        <f>NA()</f>
        <v>#N/A</v>
      </c>
      <c r="M2230" t="e">
        <f>NA()</f>
        <v>#N/A</v>
      </c>
      <c r="N2230" t="e">
        <f>NA()</f>
        <v>#N/A</v>
      </c>
      <c r="O2230">
        <f t="shared" si="88"/>
        <v>0.7</v>
      </c>
    </row>
    <row r="2231" spans="1:15" x14ac:dyDescent="0.25">
      <c r="A2231" s="1">
        <v>42788</v>
      </c>
      <c r="B2231" t="e">
        <f>NA()</f>
        <v>#N/A</v>
      </c>
      <c r="C2231" t="e">
        <f>NA()</f>
        <v>#N/A</v>
      </c>
      <c r="D2231" t="e">
        <f>NA()</f>
        <v>#N/A</v>
      </c>
      <c r="E2231" t="e">
        <f>NA()</f>
        <v>#N/A</v>
      </c>
      <c r="F2231" t="e">
        <f>NA()</f>
        <v>#N/A</v>
      </c>
      <c r="G2231" t="e">
        <f>NA()</f>
        <v>#N/A</v>
      </c>
      <c r="H2231" t="e">
        <f>NA()</f>
        <v>#N/A</v>
      </c>
      <c r="I2231" t="e">
        <f>NA()</f>
        <v>#N/A</v>
      </c>
      <c r="J2231" t="e">
        <f>NA()</f>
        <v>#N/A</v>
      </c>
      <c r="K2231" t="e">
        <f>NA()</f>
        <v>#N/A</v>
      </c>
      <c r="L2231" t="e">
        <f>NA()</f>
        <v>#N/A</v>
      </c>
      <c r="M2231" t="e">
        <f>NA()</f>
        <v>#N/A</v>
      </c>
      <c r="N2231" t="e">
        <f>NA()</f>
        <v>#N/A</v>
      </c>
      <c r="O2231">
        <f t="shared" si="88"/>
        <v>0.7</v>
      </c>
    </row>
    <row r="2232" spans="1:15" x14ac:dyDescent="0.25">
      <c r="A2232" s="1">
        <v>42787</v>
      </c>
      <c r="B2232" t="e">
        <f>NA()</f>
        <v>#N/A</v>
      </c>
      <c r="C2232" t="e">
        <f>NA()</f>
        <v>#N/A</v>
      </c>
      <c r="D2232" t="e">
        <f>NA()</f>
        <v>#N/A</v>
      </c>
      <c r="E2232" t="e">
        <f>NA()</f>
        <v>#N/A</v>
      </c>
      <c r="F2232" t="e">
        <f>NA()</f>
        <v>#N/A</v>
      </c>
      <c r="G2232" t="e">
        <f>NA()</f>
        <v>#N/A</v>
      </c>
      <c r="H2232" t="e">
        <f>NA()</f>
        <v>#N/A</v>
      </c>
      <c r="I2232" t="e">
        <f>NA()</f>
        <v>#N/A</v>
      </c>
      <c r="J2232" t="e">
        <f>NA()</f>
        <v>#N/A</v>
      </c>
      <c r="K2232" t="e">
        <f>NA()</f>
        <v>#N/A</v>
      </c>
      <c r="L2232" t="e">
        <f>NA()</f>
        <v>#N/A</v>
      </c>
      <c r="M2232" t="e">
        <f>NA()</f>
        <v>#N/A</v>
      </c>
      <c r="N2232" t="e">
        <f>NA()</f>
        <v>#N/A</v>
      </c>
      <c r="O2232">
        <f t="shared" si="88"/>
        <v>0.7</v>
      </c>
    </row>
    <row r="2233" spans="1:15" x14ac:dyDescent="0.25">
      <c r="A2233" s="1">
        <v>42783</v>
      </c>
      <c r="B2233">
        <f>-0.3</f>
        <v>-0.3</v>
      </c>
      <c r="C2233">
        <f>0</f>
        <v>0</v>
      </c>
      <c r="D2233" t="e">
        <f>NA()</f>
        <v>#N/A</v>
      </c>
      <c r="E2233" t="e">
        <f>NA()</f>
        <v>#N/A</v>
      </c>
      <c r="F2233" t="e">
        <f>NA()</f>
        <v>#N/A</v>
      </c>
      <c r="G2233" t="e">
        <f>NA()</f>
        <v>#N/A</v>
      </c>
      <c r="H2233" t="e">
        <f>NA()</f>
        <v>#N/A</v>
      </c>
      <c r="I2233" t="e">
        <f>NA()</f>
        <v>#N/A</v>
      </c>
      <c r="J2233" t="e">
        <f>NA()</f>
        <v>#N/A</v>
      </c>
      <c r="K2233" t="e">
        <f>NA()</f>
        <v>#N/A</v>
      </c>
      <c r="L2233" t="e">
        <f>NA()</f>
        <v>#N/A</v>
      </c>
      <c r="M2233" t="e">
        <f>NA()</f>
        <v>#N/A</v>
      </c>
      <c r="N2233" t="e">
        <f>NA()</f>
        <v>#N/A</v>
      </c>
      <c r="O2233">
        <f t="shared" si="88"/>
        <v>0.7</v>
      </c>
    </row>
    <row r="2234" spans="1:15" x14ac:dyDescent="0.25">
      <c r="A2234" s="1">
        <v>42782</v>
      </c>
      <c r="B2234" t="e">
        <f>NA()</f>
        <v>#N/A</v>
      </c>
      <c r="C2234" t="e">
        <f>NA()</f>
        <v>#N/A</v>
      </c>
      <c r="D2234" t="e">
        <f>NA()</f>
        <v>#N/A</v>
      </c>
      <c r="E2234" t="e">
        <f>NA()</f>
        <v>#N/A</v>
      </c>
      <c r="F2234" t="e">
        <f>NA()</f>
        <v>#N/A</v>
      </c>
      <c r="G2234" t="e">
        <f>NA()</f>
        <v>#N/A</v>
      </c>
      <c r="H2234" t="e">
        <f>NA()</f>
        <v>#N/A</v>
      </c>
      <c r="I2234" t="e">
        <f>NA()</f>
        <v>#N/A</v>
      </c>
      <c r="J2234" t="e">
        <f>NA()</f>
        <v>#N/A</v>
      </c>
      <c r="K2234" t="e">
        <f>NA()</f>
        <v>#N/A</v>
      </c>
      <c r="L2234" t="e">
        <f>NA()</f>
        <v>#N/A</v>
      </c>
      <c r="M2234" t="e">
        <f>NA()</f>
        <v>#N/A</v>
      </c>
      <c r="N2234" t="e">
        <f>NA()</f>
        <v>#N/A</v>
      </c>
      <c r="O2234">
        <f t="shared" si="88"/>
        <v>0.7</v>
      </c>
    </row>
    <row r="2235" spans="1:15" x14ac:dyDescent="0.25">
      <c r="A2235" s="1">
        <v>42781</v>
      </c>
      <c r="B2235" t="e">
        <f>NA()</f>
        <v>#N/A</v>
      </c>
      <c r="C2235" t="e">
        <f>NA()</f>
        <v>#N/A</v>
      </c>
      <c r="D2235" t="e">
        <f>NA()</f>
        <v>#N/A</v>
      </c>
      <c r="E2235" t="e">
        <f>NA()</f>
        <v>#N/A</v>
      </c>
      <c r="F2235" t="e">
        <f>NA()</f>
        <v>#N/A</v>
      </c>
      <c r="G2235" t="e">
        <f>NA()</f>
        <v>#N/A</v>
      </c>
      <c r="H2235" t="e">
        <f>NA()</f>
        <v>#N/A</v>
      </c>
      <c r="I2235" t="e">
        <f>NA()</f>
        <v>#N/A</v>
      </c>
      <c r="J2235" t="e">
        <f>NA()</f>
        <v>#N/A</v>
      </c>
      <c r="K2235" t="e">
        <f>NA()</f>
        <v>#N/A</v>
      </c>
      <c r="L2235" t="e">
        <f>NA()</f>
        <v>#N/A</v>
      </c>
      <c r="M2235" t="e">
        <f>NA()</f>
        <v>#N/A</v>
      </c>
      <c r="N2235" t="e">
        <f>NA()</f>
        <v>#N/A</v>
      </c>
      <c r="O2235">
        <f t="shared" si="88"/>
        <v>0.7</v>
      </c>
    </row>
    <row r="2236" spans="1:15" x14ac:dyDescent="0.25">
      <c r="A2236" s="1">
        <v>42780</v>
      </c>
      <c r="B2236" t="e">
        <f>NA()</f>
        <v>#N/A</v>
      </c>
      <c r="C2236" t="e">
        <f>NA()</f>
        <v>#N/A</v>
      </c>
      <c r="D2236" t="e">
        <f>NA()</f>
        <v>#N/A</v>
      </c>
      <c r="E2236" t="e">
        <f>NA()</f>
        <v>#N/A</v>
      </c>
      <c r="F2236" t="e">
        <f>NA()</f>
        <v>#N/A</v>
      </c>
      <c r="G2236" t="e">
        <f>NA()</f>
        <v>#N/A</v>
      </c>
      <c r="H2236" t="e">
        <f>NA()</f>
        <v>#N/A</v>
      </c>
      <c r="I2236" t="e">
        <f>NA()</f>
        <v>#N/A</v>
      </c>
      <c r="J2236" t="e">
        <f>NA()</f>
        <v>#N/A</v>
      </c>
      <c r="K2236" t="e">
        <f>NA()</f>
        <v>#N/A</v>
      </c>
      <c r="L2236" t="e">
        <f>NA()</f>
        <v>#N/A</v>
      </c>
      <c r="M2236" t="e">
        <f>NA()</f>
        <v>#N/A</v>
      </c>
      <c r="N2236" t="e">
        <f>NA()</f>
        <v>#N/A</v>
      </c>
      <c r="O2236">
        <f t="shared" si="88"/>
        <v>0.7</v>
      </c>
    </row>
    <row r="2237" spans="1:15" x14ac:dyDescent="0.25">
      <c r="A2237" s="1">
        <v>42779</v>
      </c>
      <c r="B2237" t="e">
        <f>NA()</f>
        <v>#N/A</v>
      </c>
      <c r="C2237" t="e">
        <f>NA()</f>
        <v>#N/A</v>
      </c>
      <c r="D2237" t="e">
        <f>NA()</f>
        <v>#N/A</v>
      </c>
      <c r="E2237" t="e">
        <f>NA()</f>
        <v>#N/A</v>
      </c>
      <c r="F2237" t="e">
        <f>NA()</f>
        <v>#N/A</v>
      </c>
      <c r="G2237" t="e">
        <f>NA()</f>
        <v>#N/A</v>
      </c>
      <c r="H2237" t="e">
        <f>NA()</f>
        <v>#N/A</v>
      </c>
      <c r="I2237" t="e">
        <f>NA()</f>
        <v>#N/A</v>
      </c>
      <c r="J2237" t="e">
        <f>NA()</f>
        <v>#N/A</v>
      </c>
      <c r="K2237" t="e">
        <f>NA()</f>
        <v>#N/A</v>
      </c>
      <c r="L2237" t="e">
        <f>NA()</f>
        <v>#N/A</v>
      </c>
      <c r="M2237" t="e">
        <f>NA()</f>
        <v>#N/A</v>
      </c>
      <c r="N2237" t="e">
        <f>NA()</f>
        <v>#N/A</v>
      </c>
      <c r="O2237">
        <f t="shared" si="88"/>
        <v>0.7</v>
      </c>
    </row>
    <row r="2238" spans="1:15" x14ac:dyDescent="0.25">
      <c r="A2238" s="1">
        <v>42776</v>
      </c>
      <c r="B2238">
        <f>-0.2</f>
        <v>-0.2</v>
      </c>
      <c r="C2238">
        <f>0</f>
        <v>0</v>
      </c>
      <c r="D2238" t="e">
        <f>NA()</f>
        <v>#N/A</v>
      </c>
      <c r="E2238" t="e">
        <f>NA()</f>
        <v>#N/A</v>
      </c>
      <c r="F2238" t="e">
        <f>NA()</f>
        <v>#N/A</v>
      </c>
      <c r="G2238" t="e">
        <f>NA()</f>
        <v>#N/A</v>
      </c>
      <c r="H2238" t="e">
        <f>NA()</f>
        <v>#N/A</v>
      </c>
      <c r="I2238" t="e">
        <f>NA()</f>
        <v>#N/A</v>
      </c>
      <c r="J2238" t="e">
        <f>NA()</f>
        <v>#N/A</v>
      </c>
      <c r="K2238" t="e">
        <f>NA()</f>
        <v>#N/A</v>
      </c>
      <c r="L2238" t="e">
        <f>NA()</f>
        <v>#N/A</v>
      </c>
      <c r="M2238" t="e">
        <f>NA()</f>
        <v>#N/A</v>
      </c>
      <c r="N2238" t="e">
        <f>NA()</f>
        <v>#N/A</v>
      </c>
      <c r="O2238">
        <f t="shared" si="88"/>
        <v>0.7</v>
      </c>
    </row>
    <row r="2239" spans="1:15" x14ac:dyDescent="0.25">
      <c r="A2239" s="1">
        <v>42775</v>
      </c>
      <c r="B2239" t="e">
        <f>NA()</f>
        <v>#N/A</v>
      </c>
      <c r="C2239" t="e">
        <f>NA()</f>
        <v>#N/A</v>
      </c>
      <c r="D2239" t="e">
        <f>NA()</f>
        <v>#N/A</v>
      </c>
      <c r="E2239" t="e">
        <f>NA()</f>
        <v>#N/A</v>
      </c>
      <c r="F2239" t="e">
        <f>NA()</f>
        <v>#N/A</v>
      </c>
      <c r="G2239" t="e">
        <f>NA()</f>
        <v>#N/A</v>
      </c>
      <c r="H2239" t="e">
        <f>NA()</f>
        <v>#N/A</v>
      </c>
      <c r="I2239" t="e">
        <f>NA()</f>
        <v>#N/A</v>
      </c>
      <c r="J2239" t="e">
        <f>NA()</f>
        <v>#N/A</v>
      </c>
      <c r="K2239" t="e">
        <f>NA()</f>
        <v>#N/A</v>
      </c>
      <c r="L2239" t="e">
        <f>NA()</f>
        <v>#N/A</v>
      </c>
      <c r="M2239" t="e">
        <f>NA()</f>
        <v>#N/A</v>
      </c>
      <c r="N2239" t="e">
        <f>NA()</f>
        <v>#N/A</v>
      </c>
      <c r="O2239">
        <f t="shared" si="88"/>
        <v>0.7</v>
      </c>
    </row>
    <row r="2240" spans="1:15" x14ac:dyDescent="0.25">
      <c r="A2240" s="1">
        <v>42774</v>
      </c>
      <c r="B2240" t="e">
        <f>NA()</f>
        <v>#N/A</v>
      </c>
      <c r="C2240" t="e">
        <f>NA()</f>
        <v>#N/A</v>
      </c>
      <c r="D2240" t="e">
        <f>NA()</f>
        <v>#N/A</v>
      </c>
      <c r="E2240" t="e">
        <f>NA()</f>
        <v>#N/A</v>
      </c>
      <c r="F2240" t="e">
        <f>NA()</f>
        <v>#N/A</v>
      </c>
      <c r="G2240" t="e">
        <f>NA()</f>
        <v>#N/A</v>
      </c>
      <c r="H2240" t="e">
        <f>NA()</f>
        <v>#N/A</v>
      </c>
      <c r="I2240" t="e">
        <f>NA()</f>
        <v>#N/A</v>
      </c>
      <c r="J2240" t="e">
        <f>NA()</f>
        <v>#N/A</v>
      </c>
      <c r="K2240" t="e">
        <f>NA()</f>
        <v>#N/A</v>
      </c>
      <c r="L2240" t="e">
        <f>NA()</f>
        <v>#N/A</v>
      </c>
      <c r="M2240" t="e">
        <f>NA()</f>
        <v>#N/A</v>
      </c>
      <c r="N2240" t="e">
        <f>NA()</f>
        <v>#N/A</v>
      </c>
      <c r="O2240">
        <f t="shared" si="88"/>
        <v>0.7</v>
      </c>
    </row>
    <row r="2241" spans="1:15" x14ac:dyDescent="0.25">
      <c r="A2241" s="1">
        <v>42773</v>
      </c>
      <c r="B2241" t="e">
        <f>NA()</f>
        <v>#N/A</v>
      </c>
      <c r="C2241" t="e">
        <f>NA()</f>
        <v>#N/A</v>
      </c>
      <c r="D2241" t="e">
        <f>NA()</f>
        <v>#N/A</v>
      </c>
      <c r="E2241" t="e">
        <f>NA()</f>
        <v>#N/A</v>
      </c>
      <c r="F2241" t="e">
        <f>NA()</f>
        <v>#N/A</v>
      </c>
      <c r="G2241" t="e">
        <f>NA()</f>
        <v>#N/A</v>
      </c>
      <c r="H2241" t="e">
        <f>NA()</f>
        <v>#N/A</v>
      </c>
      <c r="I2241" t="e">
        <f>NA()</f>
        <v>#N/A</v>
      </c>
      <c r="J2241" t="e">
        <f>NA()</f>
        <v>#N/A</v>
      </c>
      <c r="K2241" t="e">
        <f>NA()</f>
        <v>#N/A</v>
      </c>
      <c r="L2241" t="e">
        <f>NA()</f>
        <v>#N/A</v>
      </c>
      <c r="M2241" t="e">
        <f>NA()</f>
        <v>#N/A</v>
      </c>
      <c r="N2241" t="e">
        <f>NA()</f>
        <v>#N/A</v>
      </c>
      <c r="O2241">
        <f t="shared" si="88"/>
        <v>0.7</v>
      </c>
    </row>
    <row r="2242" spans="1:15" x14ac:dyDescent="0.25">
      <c r="A2242" s="1">
        <v>42772</v>
      </c>
      <c r="B2242" t="e">
        <f>NA()</f>
        <v>#N/A</v>
      </c>
      <c r="C2242" t="e">
        <f>NA()</f>
        <v>#N/A</v>
      </c>
      <c r="D2242" t="e">
        <f>NA()</f>
        <v>#N/A</v>
      </c>
      <c r="E2242" t="e">
        <f>NA()</f>
        <v>#N/A</v>
      </c>
      <c r="F2242" t="e">
        <f>NA()</f>
        <v>#N/A</v>
      </c>
      <c r="G2242" t="e">
        <f>NA()</f>
        <v>#N/A</v>
      </c>
      <c r="H2242" t="e">
        <f>NA()</f>
        <v>#N/A</v>
      </c>
      <c r="I2242" t="e">
        <f>NA()</f>
        <v>#N/A</v>
      </c>
      <c r="J2242" t="e">
        <f>NA()</f>
        <v>#N/A</v>
      </c>
      <c r="K2242" t="e">
        <f>NA()</f>
        <v>#N/A</v>
      </c>
      <c r="L2242" t="e">
        <f>NA()</f>
        <v>#N/A</v>
      </c>
      <c r="M2242" t="e">
        <f>NA()</f>
        <v>#N/A</v>
      </c>
      <c r="N2242" t="e">
        <f>NA()</f>
        <v>#N/A</v>
      </c>
      <c r="O2242">
        <f t="shared" si="88"/>
        <v>0.7</v>
      </c>
    </row>
    <row r="2243" spans="1:15" x14ac:dyDescent="0.25">
      <c r="A2243" s="1">
        <v>42769</v>
      </c>
      <c r="B2243">
        <f>-0.1</f>
        <v>-0.1</v>
      </c>
      <c r="C2243">
        <f>0</f>
        <v>0</v>
      </c>
      <c r="D2243" t="e">
        <f>NA()</f>
        <v>#N/A</v>
      </c>
      <c r="E2243" t="e">
        <f>NA()</f>
        <v>#N/A</v>
      </c>
      <c r="F2243" t="e">
        <f>NA()</f>
        <v>#N/A</v>
      </c>
      <c r="G2243" t="e">
        <f>NA()</f>
        <v>#N/A</v>
      </c>
      <c r="H2243" t="e">
        <f>NA()</f>
        <v>#N/A</v>
      </c>
      <c r="I2243" t="e">
        <f>NA()</f>
        <v>#N/A</v>
      </c>
      <c r="J2243" t="e">
        <f>NA()</f>
        <v>#N/A</v>
      </c>
      <c r="K2243" t="e">
        <f>NA()</f>
        <v>#N/A</v>
      </c>
      <c r="L2243" t="e">
        <f>NA()</f>
        <v>#N/A</v>
      </c>
      <c r="M2243" t="e">
        <f>NA()</f>
        <v>#N/A</v>
      </c>
      <c r="N2243" t="e">
        <f>NA()</f>
        <v>#N/A</v>
      </c>
      <c r="O2243">
        <f t="shared" si="88"/>
        <v>0.7</v>
      </c>
    </row>
    <row r="2244" spans="1:15" x14ac:dyDescent="0.25">
      <c r="A2244" s="1">
        <v>42768</v>
      </c>
      <c r="B2244" t="e">
        <f>NA()</f>
        <v>#N/A</v>
      </c>
      <c r="C2244" t="e">
        <f>NA()</f>
        <v>#N/A</v>
      </c>
      <c r="D2244" t="e">
        <f>NA()</f>
        <v>#N/A</v>
      </c>
      <c r="E2244" t="e">
        <f>NA()</f>
        <v>#N/A</v>
      </c>
      <c r="F2244" t="e">
        <f>NA()</f>
        <v>#N/A</v>
      </c>
      <c r="G2244" t="e">
        <f>NA()</f>
        <v>#N/A</v>
      </c>
      <c r="H2244" t="e">
        <f>NA()</f>
        <v>#N/A</v>
      </c>
      <c r="I2244" t="e">
        <f>NA()</f>
        <v>#N/A</v>
      </c>
      <c r="J2244" t="e">
        <f>NA()</f>
        <v>#N/A</v>
      </c>
      <c r="K2244" t="e">
        <f>NA()</f>
        <v>#N/A</v>
      </c>
      <c r="L2244" t="e">
        <f>NA()</f>
        <v>#N/A</v>
      </c>
      <c r="M2244" t="e">
        <f>NA()</f>
        <v>#N/A</v>
      </c>
      <c r="N2244" t="e">
        <f>NA()</f>
        <v>#N/A</v>
      </c>
      <c r="O2244">
        <f t="shared" si="88"/>
        <v>0.7</v>
      </c>
    </row>
    <row r="2245" spans="1:15" x14ac:dyDescent="0.25">
      <c r="A2245" s="1">
        <v>42767</v>
      </c>
      <c r="B2245" t="e">
        <f>NA()</f>
        <v>#N/A</v>
      </c>
      <c r="C2245" t="e">
        <f>NA()</f>
        <v>#N/A</v>
      </c>
      <c r="D2245" t="e">
        <f>NA()</f>
        <v>#N/A</v>
      </c>
      <c r="E2245" t="e">
        <f>NA()</f>
        <v>#N/A</v>
      </c>
      <c r="F2245" t="e">
        <f>NA()</f>
        <v>#N/A</v>
      </c>
      <c r="G2245" t="e">
        <f>NA()</f>
        <v>#N/A</v>
      </c>
      <c r="H2245" t="e">
        <f>NA()</f>
        <v>#N/A</v>
      </c>
      <c r="I2245" t="e">
        <f>NA()</f>
        <v>#N/A</v>
      </c>
      <c r="J2245" t="e">
        <f>NA()</f>
        <v>#N/A</v>
      </c>
      <c r="K2245" t="e">
        <f>NA()</f>
        <v>#N/A</v>
      </c>
      <c r="L2245" t="e">
        <f>NA()</f>
        <v>#N/A</v>
      </c>
      <c r="M2245" t="e">
        <f>NA()</f>
        <v>#N/A</v>
      </c>
      <c r="N2245" t="e">
        <f>NA()</f>
        <v>#N/A</v>
      </c>
      <c r="O2245">
        <f t="shared" si="88"/>
        <v>0.7</v>
      </c>
    </row>
    <row r="2246" spans="1:15" x14ac:dyDescent="0.25">
      <c r="A2246" s="1">
        <v>42766</v>
      </c>
      <c r="B2246" t="e">
        <f>NA()</f>
        <v>#N/A</v>
      </c>
      <c r="C2246" t="e">
        <f>NA()</f>
        <v>#N/A</v>
      </c>
      <c r="D2246">
        <f>0.3</f>
        <v>0.3</v>
      </c>
      <c r="E2246">
        <f>-0.1</f>
        <v>-0.1</v>
      </c>
      <c r="F2246">
        <f>5617</f>
        <v>5617</v>
      </c>
      <c r="G2246">
        <f>62.8</f>
        <v>62.8</v>
      </c>
      <c r="H2246">
        <f>4.7</f>
        <v>4.7</v>
      </c>
      <c r="I2246">
        <f>242.8</f>
        <v>242.8</v>
      </c>
      <c r="J2246">
        <f>2.5</f>
        <v>2.5</v>
      </c>
      <c r="K2246">
        <f>55.7</f>
        <v>55.7</v>
      </c>
      <c r="L2246">
        <f>-0.2</f>
        <v>-0.2</v>
      </c>
      <c r="M2246" t="e">
        <f>NA()</f>
        <v>#N/A</v>
      </c>
      <c r="N2246">
        <f>4.7</f>
        <v>4.7</v>
      </c>
      <c r="O2246">
        <f>0.6</f>
        <v>0.6</v>
      </c>
    </row>
    <row r="2247" spans="1:15" x14ac:dyDescent="0.25">
      <c r="A2247" s="1">
        <v>42765</v>
      </c>
      <c r="B2247" t="e">
        <f>NA()</f>
        <v>#N/A</v>
      </c>
      <c r="C2247" t="e">
        <f>NA()</f>
        <v>#N/A</v>
      </c>
      <c r="D2247" t="e">
        <f>NA()</f>
        <v>#N/A</v>
      </c>
      <c r="E2247" t="e">
        <f>NA()</f>
        <v>#N/A</v>
      </c>
      <c r="F2247" t="e">
        <f>NA()</f>
        <v>#N/A</v>
      </c>
      <c r="G2247" t="e">
        <f>NA()</f>
        <v>#N/A</v>
      </c>
      <c r="H2247" t="e">
        <f>NA()</f>
        <v>#N/A</v>
      </c>
      <c r="I2247" t="e">
        <f>NA()</f>
        <v>#N/A</v>
      </c>
      <c r="J2247" t="e">
        <f>NA()</f>
        <v>#N/A</v>
      </c>
      <c r="K2247" t="e">
        <f>NA()</f>
        <v>#N/A</v>
      </c>
      <c r="L2247" t="e">
        <f>NA()</f>
        <v>#N/A</v>
      </c>
      <c r="M2247" t="e">
        <f>NA()</f>
        <v>#N/A</v>
      </c>
      <c r="N2247" t="e">
        <f>NA()</f>
        <v>#N/A</v>
      </c>
      <c r="O2247">
        <f t="shared" ref="O2247:O2265" si="89">0.7</f>
        <v>0.7</v>
      </c>
    </row>
    <row r="2248" spans="1:15" x14ac:dyDescent="0.25">
      <c r="A2248" s="1">
        <v>42762</v>
      </c>
      <c r="B2248">
        <f>-0.2</f>
        <v>-0.2</v>
      </c>
      <c r="C2248">
        <f>0</f>
        <v>0</v>
      </c>
      <c r="D2248" t="e">
        <f>NA()</f>
        <v>#N/A</v>
      </c>
      <c r="E2248" t="e">
        <f>NA()</f>
        <v>#N/A</v>
      </c>
      <c r="F2248" t="e">
        <f>NA()</f>
        <v>#N/A</v>
      </c>
      <c r="G2248" t="e">
        <f>NA()</f>
        <v>#N/A</v>
      </c>
      <c r="H2248" t="e">
        <f>NA()</f>
        <v>#N/A</v>
      </c>
      <c r="I2248" t="e">
        <f>NA()</f>
        <v>#N/A</v>
      </c>
      <c r="J2248" t="e">
        <f>NA()</f>
        <v>#N/A</v>
      </c>
      <c r="K2248" t="e">
        <f>NA()</f>
        <v>#N/A</v>
      </c>
      <c r="L2248" t="e">
        <f>NA()</f>
        <v>#N/A</v>
      </c>
      <c r="M2248" t="e">
        <f>NA()</f>
        <v>#N/A</v>
      </c>
      <c r="N2248" t="e">
        <f>NA()</f>
        <v>#N/A</v>
      </c>
      <c r="O2248">
        <f t="shared" si="89"/>
        <v>0.7</v>
      </c>
    </row>
    <row r="2249" spans="1:15" x14ac:dyDescent="0.25">
      <c r="A2249" s="1">
        <v>42761</v>
      </c>
      <c r="B2249" t="e">
        <f>NA()</f>
        <v>#N/A</v>
      </c>
      <c r="C2249" t="e">
        <f>NA()</f>
        <v>#N/A</v>
      </c>
      <c r="D2249" t="e">
        <f>NA()</f>
        <v>#N/A</v>
      </c>
      <c r="E2249" t="e">
        <f>NA()</f>
        <v>#N/A</v>
      </c>
      <c r="F2249" t="e">
        <f>NA()</f>
        <v>#N/A</v>
      </c>
      <c r="G2249" t="e">
        <f>NA()</f>
        <v>#N/A</v>
      </c>
      <c r="H2249" t="e">
        <f>NA()</f>
        <v>#N/A</v>
      </c>
      <c r="I2249" t="e">
        <f>NA()</f>
        <v>#N/A</v>
      </c>
      <c r="J2249" t="e">
        <f>NA()</f>
        <v>#N/A</v>
      </c>
      <c r="K2249" t="e">
        <f>NA()</f>
        <v>#N/A</v>
      </c>
      <c r="L2249" t="e">
        <f>NA()</f>
        <v>#N/A</v>
      </c>
      <c r="M2249" t="e">
        <f>NA()</f>
        <v>#N/A</v>
      </c>
      <c r="N2249" t="e">
        <f>NA()</f>
        <v>#N/A</v>
      </c>
      <c r="O2249">
        <f t="shared" si="89"/>
        <v>0.7</v>
      </c>
    </row>
    <row r="2250" spans="1:15" x14ac:dyDescent="0.25">
      <c r="A2250" s="1">
        <v>42760</v>
      </c>
      <c r="B2250" t="e">
        <f>NA()</f>
        <v>#N/A</v>
      </c>
      <c r="C2250" t="e">
        <f>NA()</f>
        <v>#N/A</v>
      </c>
      <c r="D2250" t="e">
        <f>NA()</f>
        <v>#N/A</v>
      </c>
      <c r="E2250" t="e">
        <f>NA()</f>
        <v>#N/A</v>
      </c>
      <c r="F2250" t="e">
        <f>NA()</f>
        <v>#N/A</v>
      </c>
      <c r="G2250" t="e">
        <f>NA()</f>
        <v>#N/A</v>
      </c>
      <c r="H2250" t="e">
        <f>NA()</f>
        <v>#N/A</v>
      </c>
      <c r="I2250" t="e">
        <f>NA()</f>
        <v>#N/A</v>
      </c>
      <c r="J2250" t="e">
        <f>NA()</f>
        <v>#N/A</v>
      </c>
      <c r="K2250" t="e">
        <f>NA()</f>
        <v>#N/A</v>
      </c>
      <c r="L2250" t="e">
        <f>NA()</f>
        <v>#N/A</v>
      </c>
      <c r="M2250" t="e">
        <f>NA()</f>
        <v>#N/A</v>
      </c>
      <c r="N2250" t="e">
        <f>NA()</f>
        <v>#N/A</v>
      </c>
      <c r="O2250">
        <f t="shared" si="89"/>
        <v>0.7</v>
      </c>
    </row>
    <row r="2251" spans="1:15" x14ac:dyDescent="0.25">
      <c r="A2251" s="1">
        <v>42759</v>
      </c>
      <c r="B2251" t="e">
        <f>NA()</f>
        <v>#N/A</v>
      </c>
      <c r="C2251" t="e">
        <f>NA()</f>
        <v>#N/A</v>
      </c>
      <c r="D2251" t="e">
        <f>NA()</f>
        <v>#N/A</v>
      </c>
      <c r="E2251" t="e">
        <f>NA()</f>
        <v>#N/A</v>
      </c>
      <c r="F2251" t="e">
        <f>NA()</f>
        <v>#N/A</v>
      </c>
      <c r="G2251" t="e">
        <f>NA()</f>
        <v>#N/A</v>
      </c>
      <c r="H2251" t="e">
        <f>NA()</f>
        <v>#N/A</v>
      </c>
      <c r="I2251" t="e">
        <f>NA()</f>
        <v>#N/A</v>
      </c>
      <c r="J2251" t="e">
        <f>NA()</f>
        <v>#N/A</v>
      </c>
      <c r="K2251" t="e">
        <f>NA()</f>
        <v>#N/A</v>
      </c>
      <c r="L2251" t="e">
        <f>NA()</f>
        <v>#N/A</v>
      </c>
      <c r="M2251" t="e">
        <f>NA()</f>
        <v>#N/A</v>
      </c>
      <c r="N2251" t="e">
        <f>NA()</f>
        <v>#N/A</v>
      </c>
      <c r="O2251">
        <f t="shared" si="89"/>
        <v>0.7</v>
      </c>
    </row>
    <row r="2252" spans="1:15" x14ac:dyDescent="0.25">
      <c r="A2252" s="1">
        <v>42758</v>
      </c>
      <c r="B2252" t="e">
        <f>NA()</f>
        <v>#N/A</v>
      </c>
      <c r="C2252" t="e">
        <f>NA()</f>
        <v>#N/A</v>
      </c>
      <c r="D2252" t="e">
        <f>NA()</f>
        <v>#N/A</v>
      </c>
      <c r="E2252" t="e">
        <f>NA()</f>
        <v>#N/A</v>
      </c>
      <c r="F2252" t="e">
        <f>NA()</f>
        <v>#N/A</v>
      </c>
      <c r="G2252" t="e">
        <f>NA()</f>
        <v>#N/A</v>
      </c>
      <c r="H2252" t="e">
        <f>NA()</f>
        <v>#N/A</v>
      </c>
      <c r="I2252" t="e">
        <f>NA()</f>
        <v>#N/A</v>
      </c>
      <c r="J2252" t="e">
        <f>NA()</f>
        <v>#N/A</v>
      </c>
      <c r="K2252" t="e">
        <f>NA()</f>
        <v>#N/A</v>
      </c>
      <c r="L2252" t="e">
        <f>NA()</f>
        <v>#N/A</v>
      </c>
      <c r="M2252" t="e">
        <f>NA()</f>
        <v>#N/A</v>
      </c>
      <c r="N2252" t="e">
        <f>NA()</f>
        <v>#N/A</v>
      </c>
      <c r="O2252">
        <f t="shared" si="89"/>
        <v>0.7</v>
      </c>
    </row>
    <row r="2253" spans="1:15" x14ac:dyDescent="0.25">
      <c r="A2253" s="1">
        <v>42755</v>
      </c>
      <c r="B2253">
        <f>-0.1</f>
        <v>-0.1</v>
      </c>
      <c r="C2253">
        <f>0</f>
        <v>0</v>
      </c>
      <c r="D2253" t="e">
        <f>NA()</f>
        <v>#N/A</v>
      </c>
      <c r="E2253" t="e">
        <f>NA()</f>
        <v>#N/A</v>
      </c>
      <c r="F2253" t="e">
        <f>NA()</f>
        <v>#N/A</v>
      </c>
      <c r="G2253" t="e">
        <f>NA()</f>
        <v>#N/A</v>
      </c>
      <c r="H2253" t="e">
        <f>NA()</f>
        <v>#N/A</v>
      </c>
      <c r="I2253" t="e">
        <f>NA()</f>
        <v>#N/A</v>
      </c>
      <c r="J2253" t="e">
        <f>NA()</f>
        <v>#N/A</v>
      </c>
      <c r="K2253" t="e">
        <f>NA()</f>
        <v>#N/A</v>
      </c>
      <c r="L2253" t="e">
        <f>NA()</f>
        <v>#N/A</v>
      </c>
      <c r="M2253" t="e">
        <f>NA()</f>
        <v>#N/A</v>
      </c>
      <c r="N2253" t="e">
        <f>NA()</f>
        <v>#N/A</v>
      </c>
      <c r="O2253">
        <f t="shared" si="89"/>
        <v>0.7</v>
      </c>
    </row>
    <row r="2254" spans="1:15" x14ac:dyDescent="0.25">
      <c r="A2254" s="1">
        <v>42754</v>
      </c>
      <c r="B2254" t="e">
        <f>NA()</f>
        <v>#N/A</v>
      </c>
      <c r="C2254" t="e">
        <f>NA()</f>
        <v>#N/A</v>
      </c>
      <c r="D2254" t="e">
        <f>NA()</f>
        <v>#N/A</v>
      </c>
      <c r="E2254" t="e">
        <f>NA()</f>
        <v>#N/A</v>
      </c>
      <c r="F2254" t="e">
        <f>NA()</f>
        <v>#N/A</v>
      </c>
      <c r="G2254" t="e">
        <f>NA()</f>
        <v>#N/A</v>
      </c>
      <c r="H2254" t="e">
        <f>NA()</f>
        <v>#N/A</v>
      </c>
      <c r="I2254" t="e">
        <f>NA()</f>
        <v>#N/A</v>
      </c>
      <c r="J2254" t="e">
        <f>NA()</f>
        <v>#N/A</v>
      </c>
      <c r="K2254" t="e">
        <f>NA()</f>
        <v>#N/A</v>
      </c>
      <c r="L2254" t="e">
        <f>NA()</f>
        <v>#N/A</v>
      </c>
      <c r="M2254" t="e">
        <f>NA()</f>
        <v>#N/A</v>
      </c>
      <c r="N2254" t="e">
        <f>NA()</f>
        <v>#N/A</v>
      </c>
      <c r="O2254">
        <f t="shared" si="89"/>
        <v>0.7</v>
      </c>
    </row>
    <row r="2255" spans="1:15" x14ac:dyDescent="0.25">
      <c r="A2255" s="1">
        <v>42753</v>
      </c>
      <c r="B2255" t="e">
        <f>NA()</f>
        <v>#N/A</v>
      </c>
      <c r="C2255" t="e">
        <f>NA()</f>
        <v>#N/A</v>
      </c>
      <c r="D2255" t="e">
        <f>NA()</f>
        <v>#N/A</v>
      </c>
      <c r="E2255" t="e">
        <f>NA()</f>
        <v>#N/A</v>
      </c>
      <c r="F2255" t="e">
        <f>NA()</f>
        <v>#N/A</v>
      </c>
      <c r="G2255" t="e">
        <f>NA()</f>
        <v>#N/A</v>
      </c>
      <c r="H2255" t="e">
        <f>NA()</f>
        <v>#N/A</v>
      </c>
      <c r="I2255" t="e">
        <f>NA()</f>
        <v>#N/A</v>
      </c>
      <c r="J2255" t="e">
        <f>NA()</f>
        <v>#N/A</v>
      </c>
      <c r="K2255" t="e">
        <f>NA()</f>
        <v>#N/A</v>
      </c>
      <c r="L2255" t="e">
        <f>NA()</f>
        <v>#N/A</v>
      </c>
      <c r="M2255" t="e">
        <f>NA()</f>
        <v>#N/A</v>
      </c>
      <c r="N2255" t="e">
        <f>NA()</f>
        <v>#N/A</v>
      </c>
      <c r="O2255">
        <f t="shared" si="89"/>
        <v>0.7</v>
      </c>
    </row>
    <row r="2256" spans="1:15" x14ac:dyDescent="0.25">
      <c r="A2256" s="1">
        <v>42752</v>
      </c>
      <c r="B2256" t="e">
        <f>NA()</f>
        <v>#N/A</v>
      </c>
      <c r="C2256" t="e">
        <f>NA()</f>
        <v>#N/A</v>
      </c>
      <c r="D2256" t="e">
        <f>NA()</f>
        <v>#N/A</v>
      </c>
      <c r="E2256" t="e">
        <f>NA()</f>
        <v>#N/A</v>
      </c>
      <c r="F2256" t="e">
        <f>NA()</f>
        <v>#N/A</v>
      </c>
      <c r="G2256" t="e">
        <f>NA()</f>
        <v>#N/A</v>
      </c>
      <c r="H2256" t="e">
        <f>NA()</f>
        <v>#N/A</v>
      </c>
      <c r="I2256" t="e">
        <f>NA()</f>
        <v>#N/A</v>
      </c>
      <c r="J2256" t="e">
        <f>NA()</f>
        <v>#N/A</v>
      </c>
      <c r="K2256" t="e">
        <f>NA()</f>
        <v>#N/A</v>
      </c>
      <c r="L2256" t="e">
        <f>NA()</f>
        <v>#N/A</v>
      </c>
      <c r="M2256" t="e">
        <f>NA()</f>
        <v>#N/A</v>
      </c>
      <c r="N2256" t="e">
        <f>NA()</f>
        <v>#N/A</v>
      </c>
      <c r="O2256">
        <f t="shared" si="89"/>
        <v>0.7</v>
      </c>
    </row>
    <row r="2257" spans="1:15" x14ac:dyDescent="0.25">
      <c r="A2257" s="1">
        <v>42748</v>
      </c>
      <c r="B2257">
        <f>-0.1</f>
        <v>-0.1</v>
      </c>
      <c r="C2257">
        <f>0</f>
        <v>0</v>
      </c>
      <c r="D2257" t="e">
        <f>NA()</f>
        <v>#N/A</v>
      </c>
      <c r="E2257" t="e">
        <f>NA()</f>
        <v>#N/A</v>
      </c>
      <c r="F2257" t="e">
        <f>NA()</f>
        <v>#N/A</v>
      </c>
      <c r="G2257" t="e">
        <f>NA()</f>
        <v>#N/A</v>
      </c>
      <c r="H2257" t="e">
        <f>NA()</f>
        <v>#N/A</v>
      </c>
      <c r="I2257" t="e">
        <f>NA()</f>
        <v>#N/A</v>
      </c>
      <c r="J2257" t="e">
        <f>NA()</f>
        <v>#N/A</v>
      </c>
      <c r="K2257" t="e">
        <f>NA()</f>
        <v>#N/A</v>
      </c>
      <c r="L2257" t="e">
        <f>NA()</f>
        <v>#N/A</v>
      </c>
      <c r="M2257" t="e">
        <f>NA()</f>
        <v>#N/A</v>
      </c>
      <c r="N2257" t="e">
        <f>NA()</f>
        <v>#N/A</v>
      </c>
      <c r="O2257">
        <f t="shared" si="89"/>
        <v>0.7</v>
      </c>
    </row>
    <row r="2258" spans="1:15" x14ac:dyDescent="0.25">
      <c r="A2258" s="1">
        <v>42747</v>
      </c>
      <c r="B2258" t="e">
        <f>NA()</f>
        <v>#N/A</v>
      </c>
      <c r="C2258" t="e">
        <f>NA()</f>
        <v>#N/A</v>
      </c>
      <c r="D2258" t="e">
        <f>NA()</f>
        <v>#N/A</v>
      </c>
      <c r="E2258" t="e">
        <f>NA()</f>
        <v>#N/A</v>
      </c>
      <c r="F2258" t="e">
        <f>NA()</f>
        <v>#N/A</v>
      </c>
      <c r="G2258" t="e">
        <f>NA()</f>
        <v>#N/A</v>
      </c>
      <c r="H2258" t="e">
        <f>NA()</f>
        <v>#N/A</v>
      </c>
      <c r="I2258" t="e">
        <f>NA()</f>
        <v>#N/A</v>
      </c>
      <c r="J2258" t="e">
        <f>NA()</f>
        <v>#N/A</v>
      </c>
      <c r="K2258" t="e">
        <f>NA()</f>
        <v>#N/A</v>
      </c>
      <c r="L2258" t="e">
        <f>NA()</f>
        <v>#N/A</v>
      </c>
      <c r="M2258" t="e">
        <f>NA()</f>
        <v>#N/A</v>
      </c>
      <c r="N2258" t="e">
        <f>NA()</f>
        <v>#N/A</v>
      </c>
      <c r="O2258">
        <f t="shared" si="89"/>
        <v>0.7</v>
      </c>
    </row>
    <row r="2259" spans="1:15" x14ac:dyDescent="0.25">
      <c r="A2259" s="1">
        <v>42746</v>
      </c>
      <c r="B2259" t="e">
        <f>NA()</f>
        <v>#N/A</v>
      </c>
      <c r="C2259" t="e">
        <f>NA()</f>
        <v>#N/A</v>
      </c>
      <c r="D2259" t="e">
        <f>NA()</f>
        <v>#N/A</v>
      </c>
      <c r="E2259" t="e">
        <f>NA()</f>
        <v>#N/A</v>
      </c>
      <c r="F2259" t="e">
        <f>NA()</f>
        <v>#N/A</v>
      </c>
      <c r="G2259" t="e">
        <f>NA()</f>
        <v>#N/A</v>
      </c>
      <c r="H2259" t="e">
        <f>NA()</f>
        <v>#N/A</v>
      </c>
      <c r="I2259" t="e">
        <f>NA()</f>
        <v>#N/A</v>
      </c>
      <c r="J2259" t="e">
        <f>NA()</f>
        <v>#N/A</v>
      </c>
      <c r="K2259" t="e">
        <f>NA()</f>
        <v>#N/A</v>
      </c>
      <c r="L2259" t="e">
        <f>NA()</f>
        <v>#N/A</v>
      </c>
      <c r="M2259" t="e">
        <f>NA()</f>
        <v>#N/A</v>
      </c>
      <c r="N2259" t="e">
        <f>NA()</f>
        <v>#N/A</v>
      </c>
      <c r="O2259">
        <f t="shared" si="89"/>
        <v>0.7</v>
      </c>
    </row>
    <row r="2260" spans="1:15" x14ac:dyDescent="0.25">
      <c r="A2260" s="1">
        <v>42745</v>
      </c>
      <c r="B2260" t="e">
        <f>NA()</f>
        <v>#N/A</v>
      </c>
      <c r="C2260" t="e">
        <f>NA()</f>
        <v>#N/A</v>
      </c>
      <c r="D2260" t="e">
        <f>NA()</f>
        <v>#N/A</v>
      </c>
      <c r="E2260" t="e">
        <f>NA()</f>
        <v>#N/A</v>
      </c>
      <c r="F2260" t="e">
        <f>NA()</f>
        <v>#N/A</v>
      </c>
      <c r="G2260" t="e">
        <f>NA()</f>
        <v>#N/A</v>
      </c>
      <c r="H2260" t="e">
        <f>NA()</f>
        <v>#N/A</v>
      </c>
      <c r="I2260" t="e">
        <f>NA()</f>
        <v>#N/A</v>
      </c>
      <c r="J2260" t="e">
        <f>NA()</f>
        <v>#N/A</v>
      </c>
      <c r="K2260" t="e">
        <f>NA()</f>
        <v>#N/A</v>
      </c>
      <c r="L2260" t="e">
        <f>NA()</f>
        <v>#N/A</v>
      </c>
      <c r="M2260" t="e">
        <f>NA()</f>
        <v>#N/A</v>
      </c>
      <c r="N2260" t="e">
        <f>NA()</f>
        <v>#N/A</v>
      </c>
      <c r="O2260">
        <f t="shared" si="89"/>
        <v>0.7</v>
      </c>
    </row>
    <row r="2261" spans="1:15" x14ac:dyDescent="0.25">
      <c r="A2261" s="1">
        <v>42744</v>
      </c>
      <c r="B2261" t="e">
        <f>NA()</f>
        <v>#N/A</v>
      </c>
      <c r="C2261" t="e">
        <f>NA()</f>
        <v>#N/A</v>
      </c>
      <c r="D2261" t="e">
        <f>NA()</f>
        <v>#N/A</v>
      </c>
      <c r="E2261" t="e">
        <f>NA()</f>
        <v>#N/A</v>
      </c>
      <c r="F2261" t="e">
        <f>NA()</f>
        <v>#N/A</v>
      </c>
      <c r="G2261" t="e">
        <f>NA()</f>
        <v>#N/A</v>
      </c>
      <c r="H2261" t="e">
        <f>NA()</f>
        <v>#N/A</v>
      </c>
      <c r="I2261" t="e">
        <f>NA()</f>
        <v>#N/A</v>
      </c>
      <c r="J2261" t="e">
        <f>NA()</f>
        <v>#N/A</v>
      </c>
      <c r="K2261" t="e">
        <f>NA()</f>
        <v>#N/A</v>
      </c>
      <c r="L2261" t="e">
        <f>NA()</f>
        <v>#N/A</v>
      </c>
      <c r="M2261" t="e">
        <f>NA()</f>
        <v>#N/A</v>
      </c>
      <c r="N2261" t="e">
        <f>NA()</f>
        <v>#N/A</v>
      </c>
      <c r="O2261">
        <f t="shared" si="89"/>
        <v>0.7</v>
      </c>
    </row>
    <row r="2262" spans="1:15" x14ac:dyDescent="0.25">
      <c r="A2262" s="1">
        <v>42741</v>
      </c>
      <c r="B2262">
        <f>-0.1</f>
        <v>-0.1</v>
      </c>
      <c r="C2262">
        <f>0</f>
        <v>0</v>
      </c>
      <c r="D2262" t="e">
        <f>NA()</f>
        <v>#N/A</v>
      </c>
      <c r="E2262" t="e">
        <f>NA()</f>
        <v>#N/A</v>
      </c>
      <c r="F2262" t="e">
        <f>NA()</f>
        <v>#N/A</v>
      </c>
      <c r="G2262" t="e">
        <f>NA()</f>
        <v>#N/A</v>
      </c>
      <c r="H2262" t="e">
        <f>NA()</f>
        <v>#N/A</v>
      </c>
      <c r="I2262" t="e">
        <f>NA()</f>
        <v>#N/A</v>
      </c>
      <c r="J2262" t="e">
        <f>NA()</f>
        <v>#N/A</v>
      </c>
      <c r="K2262" t="e">
        <f>NA()</f>
        <v>#N/A</v>
      </c>
      <c r="L2262" t="e">
        <f>NA()</f>
        <v>#N/A</v>
      </c>
      <c r="M2262" t="e">
        <f>NA()</f>
        <v>#N/A</v>
      </c>
      <c r="N2262" t="e">
        <f>NA()</f>
        <v>#N/A</v>
      </c>
      <c r="O2262">
        <f t="shared" si="89"/>
        <v>0.7</v>
      </c>
    </row>
    <row r="2263" spans="1:15" x14ac:dyDescent="0.25">
      <c r="A2263" s="1">
        <v>42740</v>
      </c>
      <c r="B2263" t="e">
        <f>NA()</f>
        <v>#N/A</v>
      </c>
      <c r="C2263" t="e">
        <f>NA()</f>
        <v>#N/A</v>
      </c>
      <c r="D2263" t="e">
        <f>NA()</f>
        <v>#N/A</v>
      </c>
      <c r="E2263" t="e">
        <f>NA()</f>
        <v>#N/A</v>
      </c>
      <c r="F2263" t="e">
        <f>NA()</f>
        <v>#N/A</v>
      </c>
      <c r="G2263" t="e">
        <f>NA()</f>
        <v>#N/A</v>
      </c>
      <c r="H2263" t="e">
        <f>NA()</f>
        <v>#N/A</v>
      </c>
      <c r="I2263" t="e">
        <f>NA()</f>
        <v>#N/A</v>
      </c>
      <c r="J2263" t="e">
        <f>NA()</f>
        <v>#N/A</v>
      </c>
      <c r="K2263" t="e">
        <f>NA()</f>
        <v>#N/A</v>
      </c>
      <c r="L2263" t="e">
        <f>NA()</f>
        <v>#N/A</v>
      </c>
      <c r="M2263" t="e">
        <f>NA()</f>
        <v>#N/A</v>
      </c>
      <c r="N2263" t="e">
        <f>NA()</f>
        <v>#N/A</v>
      </c>
      <c r="O2263">
        <f t="shared" si="89"/>
        <v>0.7</v>
      </c>
    </row>
    <row r="2264" spans="1:15" x14ac:dyDescent="0.25">
      <c r="A2264" s="1">
        <v>42739</v>
      </c>
      <c r="B2264" t="e">
        <f>NA()</f>
        <v>#N/A</v>
      </c>
      <c r="C2264" t="e">
        <f>NA()</f>
        <v>#N/A</v>
      </c>
      <c r="D2264" t="e">
        <f>NA()</f>
        <v>#N/A</v>
      </c>
      <c r="E2264" t="e">
        <f>NA()</f>
        <v>#N/A</v>
      </c>
      <c r="F2264" t="e">
        <f>NA()</f>
        <v>#N/A</v>
      </c>
      <c r="G2264" t="e">
        <f>NA()</f>
        <v>#N/A</v>
      </c>
      <c r="H2264" t="e">
        <f>NA()</f>
        <v>#N/A</v>
      </c>
      <c r="I2264" t="e">
        <f>NA()</f>
        <v>#N/A</v>
      </c>
      <c r="J2264" t="e">
        <f>NA()</f>
        <v>#N/A</v>
      </c>
      <c r="K2264" t="e">
        <f>NA()</f>
        <v>#N/A</v>
      </c>
      <c r="L2264" t="e">
        <f>NA()</f>
        <v>#N/A</v>
      </c>
      <c r="M2264" t="e">
        <f>NA()</f>
        <v>#N/A</v>
      </c>
      <c r="N2264" t="e">
        <f>NA()</f>
        <v>#N/A</v>
      </c>
      <c r="O2264">
        <f t="shared" si="89"/>
        <v>0.7</v>
      </c>
    </row>
    <row r="2265" spans="1:15" x14ac:dyDescent="0.25">
      <c r="A2265" s="1">
        <v>42738</v>
      </c>
      <c r="B2265" t="e">
        <f>NA()</f>
        <v>#N/A</v>
      </c>
      <c r="C2265" t="e">
        <f>NA()</f>
        <v>#N/A</v>
      </c>
      <c r="D2265" t="e">
        <f>NA()</f>
        <v>#N/A</v>
      </c>
      <c r="E2265" t="e">
        <f>NA()</f>
        <v>#N/A</v>
      </c>
      <c r="F2265" t="e">
        <f>NA()</f>
        <v>#N/A</v>
      </c>
      <c r="G2265" t="e">
        <f>NA()</f>
        <v>#N/A</v>
      </c>
      <c r="H2265" t="e">
        <f>NA()</f>
        <v>#N/A</v>
      </c>
      <c r="I2265" t="e">
        <f>NA()</f>
        <v>#N/A</v>
      </c>
      <c r="J2265" t="e">
        <f>NA()</f>
        <v>#N/A</v>
      </c>
      <c r="K2265" t="e">
        <f>NA()</f>
        <v>#N/A</v>
      </c>
      <c r="L2265" t="e">
        <f>NA()</f>
        <v>#N/A</v>
      </c>
      <c r="M2265" t="e">
        <f>NA()</f>
        <v>#N/A</v>
      </c>
      <c r="N2265" t="e">
        <f>NA()</f>
        <v>#N/A</v>
      </c>
      <c r="O2265">
        <f t="shared" si="89"/>
        <v>0.7</v>
      </c>
    </row>
    <row r="2266" spans="1:15" x14ac:dyDescent="0.25">
      <c r="A2266" s="1">
        <v>42735</v>
      </c>
      <c r="B2266" t="e">
        <f>NA()</f>
        <v>#N/A</v>
      </c>
      <c r="C2266" t="e">
        <f>NA()</f>
        <v>#N/A</v>
      </c>
      <c r="D2266">
        <f>0.1</f>
        <v>0.1</v>
      </c>
      <c r="E2266">
        <f>0.7</f>
        <v>0.7</v>
      </c>
      <c r="F2266">
        <f>5964</f>
        <v>5964</v>
      </c>
      <c r="G2266">
        <f>62.7</f>
        <v>62.7</v>
      </c>
      <c r="H2266">
        <f>4.4</f>
        <v>4.4000000000000004</v>
      </c>
      <c r="I2266">
        <f>241.4</f>
        <v>241.4</v>
      </c>
      <c r="J2266">
        <f>2.1</f>
        <v>2.1</v>
      </c>
      <c r="K2266">
        <f>54.4</f>
        <v>54.4</v>
      </c>
      <c r="L2266">
        <f>0.7</f>
        <v>0.7</v>
      </c>
      <c r="M2266">
        <f>2.2</f>
        <v>2.2000000000000002</v>
      </c>
      <c r="N2266">
        <f>4.7</f>
        <v>4.7</v>
      </c>
      <c r="O2266" t="e">
        <f>NA()</f>
        <v>#N/A</v>
      </c>
    </row>
    <row r="2267" spans="1:15" x14ac:dyDescent="0.25">
      <c r="A2267" s="1">
        <v>42734</v>
      </c>
      <c r="B2267">
        <f>-0.1</f>
        <v>-0.1</v>
      </c>
      <c r="C2267">
        <f>0</f>
        <v>0</v>
      </c>
      <c r="D2267" t="e">
        <f>NA()</f>
        <v>#N/A</v>
      </c>
      <c r="E2267" t="e">
        <f>NA()</f>
        <v>#N/A</v>
      </c>
      <c r="F2267" t="e">
        <f>NA()</f>
        <v>#N/A</v>
      </c>
      <c r="G2267" t="e">
        <f>NA()</f>
        <v>#N/A</v>
      </c>
      <c r="H2267" t="e">
        <f>NA()</f>
        <v>#N/A</v>
      </c>
      <c r="I2267" t="e">
        <f>NA()</f>
        <v>#N/A</v>
      </c>
      <c r="J2267" t="e">
        <f>NA()</f>
        <v>#N/A</v>
      </c>
      <c r="K2267" t="e">
        <f>NA()</f>
        <v>#N/A</v>
      </c>
      <c r="L2267" t="e">
        <f>NA()</f>
        <v>#N/A</v>
      </c>
      <c r="M2267" t="e">
        <f>NA()</f>
        <v>#N/A</v>
      </c>
      <c r="N2267" t="e">
        <f>NA()</f>
        <v>#N/A</v>
      </c>
      <c r="O2267">
        <f>0.6</f>
        <v>0.6</v>
      </c>
    </row>
    <row r="2268" spans="1:15" x14ac:dyDescent="0.25">
      <c r="A2268" s="1">
        <v>42733</v>
      </c>
      <c r="B2268" t="e">
        <f>NA()</f>
        <v>#N/A</v>
      </c>
      <c r="C2268" t="e">
        <f>NA()</f>
        <v>#N/A</v>
      </c>
      <c r="D2268" t="e">
        <f>NA()</f>
        <v>#N/A</v>
      </c>
      <c r="E2268" t="e">
        <f>NA()</f>
        <v>#N/A</v>
      </c>
      <c r="F2268" t="e">
        <f>NA()</f>
        <v>#N/A</v>
      </c>
      <c r="G2268" t="e">
        <f>NA()</f>
        <v>#N/A</v>
      </c>
      <c r="H2268" t="e">
        <f>NA()</f>
        <v>#N/A</v>
      </c>
      <c r="I2268" t="e">
        <f>NA()</f>
        <v>#N/A</v>
      </c>
      <c r="J2268" t="e">
        <f>NA()</f>
        <v>#N/A</v>
      </c>
      <c r="K2268" t="e">
        <f>NA()</f>
        <v>#N/A</v>
      </c>
      <c r="L2268" t="e">
        <f>NA()</f>
        <v>#N/A</v>
      </c>
      <c r="M2268" t="e">
        <f>NA()</f>
        <v>#N/A</v>
      </c>
      <c r="N2268" t="e">
        <f>NA()</f>
        <v>#N/A</v>
      </c>
      <c r="O2268">
        <f t="shared" ref="O2268:O2277" si="90">0.7</f>
        <v>0.7</v>
      </c>
    </row>
    <row r="2269" spans="1:15" x14ac:dyDescent="0.25">
      <c r="A2269" s="1">
        <v>42732</v>
      </c>
      <c r="B2269" t="e">
        <f>NA()</f>
        <v>#N/A</v>
      </c>
      <c r="C2269" t="e">
        <f>NA()</f>
        <v>#N/A</v>
      </c>
      <c r="D2269" t="e">
        <f>NA()</f>
        <v>#N/A</v>
      </c>
      <c r="E2269" t="e">
        <f>NA()</f>
        <v>#N/A</v>
      </c>
      <c r="F2269" t="e">
        <f>NA()</f>
        <v>#N/A</v>
      </c>
      <c r="G2269" t="e">
        <f>NA()</f>
        <v>#N/A</v>
      </c>
      <c r="H2269" t="e">
        <f>NA()</f>
        <v>#N/A</v>
      </c>
      <c r="I2269" t="e">
        <f>NA()</f>
        <v>#N/A</v>
      </c>
      <c r="J2269" t="e">
        <f>NA()</f>
        <v>#N/A</v>
      </c>
      <c r="K2269" t="e">
        <f>NA()</f>
        <v>#N/A</v>
      </c>
      <c r="L2269" t="e">
        <f>NA()</f>
        <v>#N/A</v>
      </c>
      <c r="M2269" t="e">
        <f>NA()</f>
        <v>#N/A</v>
      </c>
      <c r="N2269" t="e">
        <f>NA()</f>
        <v>#N/A</v>
      </c>
      <c r="O2269">
        <f t="shared" si="90"/>
        <v>0.7</v>
      </c>
    </row>
    <row r="2270" spans="1:15" x14ac:dyDescent="0.25">
      <c r="A2270" s="1">
        <v>42731</v>
      </c>
      <c r="B2270" t="e">
        <f>NA()</f>
        <v>#N/A</v>
      </c>
      <c r="C2270" t="e">
        <f>NA()</f>
        <v>#N/A</v>
      </c>
      <c r="D2270" t="e">
        <f>NA()</f>
        <v>#N/A</v>
      </c>
      <c r="E2270" t="e">
        <f>NA()</f>
        <v>#N/A</v>
      </c>
      <c r="F2270" t="e">
        <f>NA()</f>
        <v>#N/A</v>
      </c>
      <c r="G2270" t="e">
        <f>NA()</f>
        <v>#N/A</v>
      </c>
      <c r="H2270" t="e">
        <f>NA()</f>
        <v>#N/A</v>
      </c>
      <c r="I2270" t="e">
        <f>NA()</f>
        <v>#N/A</v>
      </c>
      <c r="J2270" t="e">
        <f>NA()</f>
        <v>#N/A</v>
      </c>
      <c r="K2270" t="e">
        <f>NA()</f>
        <v>#N/A</v>
      </c>
      <c r="L2270" t="e">
        <f>NA()</f>
        <v>#N/A</v>
      </c>
      <c r="M2270" t="e">
        <f>NA()</f>
        <v>#N/A</v>
      </c>
      <c r="N2270" t="e">
        <f>NA()</f>
        <v>#N/A</v>
      </c>
      <c r="O2270">
        <f t="shared" si="90"/>
        <v>0.7</v>
      </c>
    </row>
    <row r="2271" spans="1:15" x14ac:dyDescent="0.25">
      <c r="A2271" s="1">
        <v>42727</v>
      </c>
      <c r="B2271">
        <f>-0.1</f>
        <v>-0.1</v>
      </c>
      <c r="C2271">
        <f>0</f>
        <v>0</v>
      </c>
      <c r="D2271" t="e">
        <f>NA()</f>
        <v>#N/A</v>
      </c>
      <c r="E2271" t="e">
        <f>NA()</f>
        <v>#N/A</v>
      </c>
      <c r="F2271" t="e">
        <f>NA()</f>
        <v>#N/A</v>
      </c>
      <c r="G2271" t="e">
        <f>NA()</f>
        <v>#N/A</v>
      </c>
      <c r="H2271" t="e">
        <f>NA()</f>
        <v>#N/A</v>
      </c>
      <c r="I2271" t="e">
        <f>NA()</f>
        <v>#N/A</v>
      </c>
      <c r="J2271" t="e">
        <f>NA()</f>
        <v>#N/A</v>
      </c>
      <c r="K2271" t="e">
        <f>NA()</f>
        <v>#N/A</v>
      </c>
      <c r="L2271" t="e">
        <f>NA()</f>
        <v>#N/A</v>
      </c>
      <c r="M2271" t="e">
        <f>NA()</f>
        <v>#N/A</v>
      </c>
      <c r="N2271" t="e">
        <f>NA()</f>
        <v>#N/A</v>
      </c>
      <c r="O2271">
        <f t="shared" si="90"/>
        <v>0.7</v>
      </c>
    </row>
    <row r="2272" spans="1:15" x14ac:dyDescent="0.25">
      <c r="A2272" s="1">
        <v>42726</v>
      </c>
      <c r="B2272" t="e">
        <f>NA()</f>
        <v>#N/A</v>
      </c>
      <c r="C2272" t="e">
        <f>NA()</f>
        <v>#N/A</v>
      </c>
      <c r="D2272" t="e">
        <f>NA()</f>
        <v>#N/A</v>
      </c>
      <c r="E2272" t="e">
        <f>NA()</f>
        <v>#N/A</v>
      </c>
      <c r="F2272" t="e">
        <f>NA()</f>
        <v>#N/A</v>
      </c>
      <c r="G2272" t="e">
        <f>NA()</f>
        <v>#N/A</v>
      </c>
      <c r="H2272" t="e">
        <f>NA()</f>
        <v>#N/A</v>
      </c>
      <c r="I2272" t="e">
        <f>NA()</f>
        <v>#N/A</v>
      </c>
      <c r="J2272" t="e">
        <f>NA()</f>
        <v>#N/A</v>
      </c>
      <c r="K2272" t="e">
        <f>NA()</f>
        <v>#N/A</v>
      </c>
      <c r="L2272" t="e">
        <f>NA()</f>
        <v>#N/A</v>
      </c>
      <c r="M2272" t="e">
        <f>NA()</f>
        <v>#N/A</v>
      </c>
      <c r="N2272" t="e">
        <f>NA()</f>
        <v>#N/A</v>
      </c>
      <c r="O2272">
        <f t="shared" si="90"/>
        <v>0.7</v>
      </c>
    </row>
    <row r="2273" spans="1:15" x14ac:dyDescent="0.25">
      <c r="A2273" s="1">
        <v>42725</v>
      </c>
      <c r="B2273" t="e">
        <f>NA()</f>
        <v>#N/A</v>
      </c>
      <c r="C2273" t="e">
        <f>NA()</f>
        <v>#N/A</v>
      </c>
      <c r="D2273" t="e">
        <f>NA()</f>
        <v>#N/A</v>
      </c>
      <c r="E2273" t="e">
        <f>NA()</f>
        <v>#N/A</v>
      </c>
      <c r="F2273" t="e">
        <f>NA()</f>
        <v>#N/A</v>
      </c>
      <c r="G2273" t="e">
        <f>NA()</f>
        <v>#N/A</v>
      </c>
      <c r="H2273" t="e">
        <f>NA()</f>
        <v>#N/A</v>
      </c>
      <c r="I2273" t="e">
        <f>NA()</f>
        <v>#N/A</v>
      </c>
      <c r="J2273" t="e">
        <f>NA()</f>
        <v>#N/A</v>
      </c>
      <c r="K2273" t="e">
        <f>NA()</f>
        <v>#N/A</v>
      </c>
      <c r="L2273" t="e">
        <f>NA()</f>
        <v>#N/A</v>
      </c>
      <c r="M2273" t="e">
        <f>NA()</f>
        <v>#N/A</v>
      </c>
      <c r="N2273" t="e">
        <f>NA()</f>
        <v>#N/A</v>
      </c>
      <c r="O2273">
        <f t="shared" si="90"/>
        <v>0.7</v>
      </c>
    </row>
    <row r="2274" spans="1:15" x14ac:dyDescent="0.25">
      <c r="A2274" s="1">
        <v>42724</v>
      </c>
      <c r="B2274" t="e">
        <f>NA()</f>
        <v>#N/A</v>
      </c>
      <c r="C2274" t="e">
        <f>NA()</f>
        <v>#N/A</v>
      </c>
      <c r="D2274" t="e">
        <f>NA()</f>
        <v>#N/A</v>
      </c>
      <c r="E2274" t="e">
        <f>NA()</f>
        <v>#N/A</v>
      </c>
      <c r="F2274" t="e">
        <f>NA()</f>
        <v>#N/A</v>
      </c>
      <c r="G2274" t="e">
        <f>NA()</f>
        <v>#N/A</v>
      </c>
      <c r="H2274" t="e">
        <f>NA()</f>
        <v>#N/A</v>
      </c>
      <c r="I2274" t="e">
        <f>NA()</f>
        <v>#N/A</v>
      </c>
      <c r="J2274" t="e">
        <f>NA()</f>
        <v>#N/A</v>
      </c>
      <c r="K2274" t="e">
        <f>NA()</f>
        <v>#N/A</v>
      </c>
      <c r="L2274" t="e">
        <f>NA()</f>
        <v>#N/A</v>
      </c>
      <c r="M2274" t="e">
        <f>NA()</f>
        <v>#N/A</v>
      </c>
      <c r="N2274" t="e">
        <f>NA()</f>
        <v>#N/A</v>
      </c>
      <c r="O2274">
        <f t="shared" si="90"/>
        <v>0.7</v>
      </c>
    </row>
    <row r="2275" spans="1:15" x14ac:dyDescent="0.25">
      <c r="A2275" s="1">
        <v>42723</v>
      </c>
      <c r="B2275" t="e">
        <f>NA()</f>
        <v>#N/A</v>
      </c>
      <c r="C2275" t="e">
        <f>NA()</f>
        <v>#N/A</v>
      </c>
      <c r="D2275" t="e">
        <f>NA()</f>
        <v>#N/A</v>
      </c>
      <c r="E2275" t="e">
        <f>NA()</f>
        <v>#N/A</v>
      </c>
      <c r="F2275" t="e">
        <f>NA()</f>
        <v>#N/A</v>
      </c>
      <c r="G2275" t="e">
        <f>NA()</f>
        <v>#N/A</v>
      </c>
      <c r="H2275" t="e">
        <f>NA()</f>
        <v>#N/A</v>
      </c>
      <c r="I2275" t="e">
        <f>NA()</f>
        <v>#N/A</v>
      </c>
      <c r="J2275" t="e">
        <f>NA()</f>
        <v>#N/A</v>
      </c>
      <c r="K2275" t="e">
        <f>NA()</f>
        <v>#N/A</v>
      </c>
      <c r="L2275" t="e">
        <f>NA()</f>
        <v>#N/A</v>
      </c>
      <c r="M2275" t="e">
        <f>NA()</f>
        <v>#N/A</v>
      </c>
      <c r="N2275" t="e">
        <f>NA()</f>
        <v>#N/A</v>
      </c>
      <c r="O2275">
        <f t="shared" si="90"/>
        <v>0.7</v>
      </c>
    </row>
    <row r="2276" spans="1:15" x14ac:dyDescent="0.25">
      <c r="A2276" s="1">
        <v>42720</v>
      </c>
      <c r="B2276">
        <f>-0.2</f>
        <v>-0.2</v>
      </c>
      <c r="C2276">
        <f>0</f>
        <v>0</v>
      </c>
      <c r="D2276" t="e">
        <f>NA()</f>
        <v>#N/A</v>
      </c>
      <c r="E2276" t="e">
        <f>NA()</f>
        <v>#N/A</v>
      </c>
      <c r="F2276" t="e">
        <f>NA()</f>
        <v>#N/A</v>
      </c>
      <c r="G2276" t="e">
        <f>NA()</f>
        <v>#N/A</v>
      </c>
      <c r="H2276" t="e">
        <f>NA()</f>
        <v>#N/A</v>
      </c>
      <c r="I2276" t="e">
        <f>NA()</f>
        <v>#N/A</v>
      </c>
      <c r="J2276" t="e">
        <f>NA()</f>
        <v>#N/A</v>
      </c>
      <c r="K2276" t="e">
        <f>NA()</f>
        <v>#N/A</v>
      </c>
      <c r="L2276" t="e">
        <f>NA()</f>
        <v>#N/A</v>
      </c>
      <c r="M2276" t="e">
        <f>NA()</f>
        <v>#N/A</v>
      </c>
      <c r="N2276" t="e">
        <f>NA()</f>
        <v>#N/A</v>
      </c>
      <c r="O2276">
        <f t="shared" si="90"/>
        <v>0.7</v>
      </c>
    </row>
    <row r="2277" spans="1:15" x14ac:dyDescent="0.25">
      <c r="A2277" s="1">
        <v>42719</v>
      </c>
      <c r="B2277" t="e">
        <f>NA()</f>
        <v>#N/A</v>
      </c>
      <c r="C2277" t="e">
        <f>NA()</f>
        <v>#N/A</v>
      </c>
      <c r="D2277" t="e">
        <f>NA()</f>
        <v>#N/A</v>
      </c>
      <c r="E2277" t="e">
        <f>NA()</f>
        <v>#N/A</v>
      </c>
      <c r="F2277" t="e">
        <f>NA()</f>
        <v>#N/A</v>
      </c>
      <c r="G2277" t="e">
        <f>NA()</f>
        <v>#N/A</v>
      </c>
      <c r="H2277" t="e">
        <f>NA()</f>
        <v>#N/A</v>
      </c>
      <c r="I2277" t="e">
        <f>NA()</f>
        <v>#N/A</v>
      </c>
      <c r="J2277" t="e">
        <f>NA()</f>
        <v>#N/A</v>
      </c>
      <c r="K2277" t="e">
        <f>NA()</f>
        <v>#N/A</v>
      </c>
      <c r="L2277" t="e">
        <f>NA()</f>
        <v>#N/A</v>
      </c>
      <c r="M2277" t="e">
        <f>NA()</f>
        <v>#N/A</v>
      </c>
      <c r="N2277" t="e">
        <f>NA()</f>
        <v>#N/A</v>
      </c>
      <c r="O2277">
        <f t="shared" si="90"/>
        <v>0.7</v>
      </c>
    </row>
    <row r="2278" spans="1:15" x14ac:dyDescent="0.25">
      <c r="A2278" s="1">
        <v>42718</v>
      </c>
      <c r="B2278" t="e">
        <f>NA()</f>
        <v>#N/A</v>
      </c>
      <c r="C2278" t="e">
        <f>NA()</f>
        <v>#N/A</v>
      </c>
      <c r="D2278" t="e">
        <f>NA()</f>
        <v>#N/A</v>
      </c>
      <c r="E2278" t="e">
        <f>NA()</f>
        <v>#N/A</v>
      </c>
      <c r="F2278" t="e">
        <f>NA()</f>
        <v>#N/A</v>
      </c>
      <c r="G2278" t="e">
        <f>NA()</f>
        <v>#N/A</v>
      </c>
      <c r="H2278" t="e">
        <f>NA()</f>
        <v>#N/A</v>
      </c>
      <c r="I2278" t="e">
        <f>NA()</f>
        <v>#N/A</v>
      </c>
      <c r="J2278" t="e">
        <f>NA()</f>
        <v>#N/A</v>
      </c>
      <c r="K2278" t="e">
        <f>NA()</f>
        <v>#N/A</v>
      </c>
      <c r="L2278" t="e">
        <f>NA()</f>
        <v>#N/A</v>
      </c>
      <c r="M2278" t="e">
        <f>NA()</f>
        <v>#N/A</v>
      </c>
      <c r="N2278" t="e">
        <f>NA()</f>
        <v>#N/A</v>
      </c>
      <c r="O2278">
        <f t="shared" ref="O2278:O2287" si="91">0.4</f>
        <v>0.4</v>
      </c>
    </row>
    <row r="2279" spans="1:15" x14ac:dyDescent="0.25">
      <c r="A2279" s="1">
        <v>42717</v>
      </c>
      <c r="B2279" t="e">
        <f>NA()</f>
        <v>#N/A</v>
      </c>
      <c r="C2279" t="e">
        <f>NA()</f>
        <v>#N/A</v>
      </c>
      <c r="D2279" t="e">
        <f>NA()</f>
        <v>#N/A</v>
      </c>
      <c r="E2279" t="e">
        <f>NA()</f>
        <v>#N/A</v>
      </c>
      <c r="F2279" t="e">
        <f>NA()</f>
        <v>#N/A</v>
      </c>
      <c r="G2279" t="e">
        <f>NA()</f>
        <v>#N/A</v>
      </c>
      <c r="H2279" t="e">
        <f>NA()</f>
        <v>#N/A</v>
      </c>
      <c r="I2279" t="e">
        <f>NA()</f>
        <v>#N/A</v>
      </c>
      <c r="J2279" t="e">
        <f>NA()</f>
        <v>#N/A</v>
      </c>
      <c r="K2279" t="e">
        <f>NA()</f>
        <v>#N/A</v>
      </c>
      <c r="L2279" t="e">
        <f>NA()</f>
        <v>#N/A</v>
      </c>
      <c r="M2279" t="e">
        <f>NA()</f>
        <v>#N/A</v>
      </c>
      <c r="N2279" t="e">
        <f>NA()</f>
        <v>#N/A</v>
      </c>
      <c r="O2279">
        <f t="shared" si="91"/>
        <v>0.4</v>
      </c>
    </row>
    <row r="2280" spans="1:15" x14ac:dyDescent="0.25">
      <c r="A2280" s="1">
        <v>42716</v>
      </c>
      <c r="B2280" t="e">
        <f>NA()</f>
        <v>#N/A</v>
      </c>
      <c r="C2280" t="e">
        <f>NA()</f>
        <v>#N/A</v>
      </c>
      <c r="D2280" t="e">
        <f>NA()</f>
        <v>#N/A</v>
      </c>
      <c r="E2280" t="e">
        <f>NA()</f>
        <v>#N/A</v>
      </c>
      <c r="F2280" t="e">
        <f>NA()</f>
        <v>#N/A</v>
      </c>
      <c r="G2280" t="e">
        <f>NA()</f>
        <v>#N/A</v>
      </c>
      <c r="H2280" t="e">
        <f>NA()</f>
        <v>#N/A</v>
      </c>
      <c r="I2280" t="e">
        <f>NA()</f>
        <v>#N/A</v>
      </c>
      <c r="J2280" t="e">
        <f>NA()</f>
        <v>#N/A</v>
      </c>
      <c r="K2280" t="e">
        <f>NA()</f>
        <v>#N/A</v>
      </c>
      <c r="L2280" t="e">
        <f>NA()</f>
        <v>#N/A</v>
      </c>
      <c r="M2280" t="e">
        <f>NA()</f>
        <v>#N/A</v>
      </c>
      <c r="N2280" t="e">
        <f>NA()</f>
        <v>#N/A</v>
      </c>
      <c r="O2280">
        <f t="shared" si="91"/>
        <v>0.4</v>
      </c>
    </row>
    <row r="2281" spans="1:15" x14ac:dyDescent="0.25">
      <c r="A2281" s="1">
        <v>42713</v>
      </c>
      <c r="B2281">
        <f>-0.3</f>
        <v>-0.3</v>
      </c>
      <c r="C2281">
        <f>0</f>
        <v>0</v>
      </c>
      <c r="D2281" t="e">
        <f>NA()</f>
        <v>#N/A</v>
      </c>
      <c r="E2281" t="e">
        <f>NA()</f>
        <v>#N/A</v>
      </c>
      <c r="F2281" t="e">
        <f>NA()</f>
        <v>#N/A</v>
      </c>
      <c r="G2281" t="e">
        <f>NA()</f>
        <v>#N/A</v>
      </c>
      <c r="H2281" t="e">
        <f>NA()</f>
        <v>#N/A</v>
      </c>
      <c r="I2281" t="e">
        <f>NA()</f>
        <v>#N/A</v>
      </c>
      <c r="J2281" t="e">
        <f>NA()</f>
        <v>#N/A</v>
      </c>
      <c r="K2281" t="e">
        <f>NA()</f>
        <v>#N/A</v>
      </c>
      <c r="L2281" t="e">
        <f>NA()</f>
        <v>#N/A</v>
      </c>
      <c r="M2281" t="e">
        <f>NA()</f>
        <v>#N/A</v>
      </c>
      <c r="N2281" t="e">
        <f>NA()</f>
        <v>#N/A</v>
      </c>
      <c r="O2281">
        <f t="shared" si="91"/>
        <v>0.4</v>
      </c>
    </row>
    <row r="2282" spans="1:15" x14ac:dyDescent="0.25">
      <c r="A2282" s="1">
        <v>42712</v>
      </c>
      <c r="B2282" t="e">
        <f>NA()</f>
        <v>#N/A</v>
      </c>
      <c r="C2282" t="e">
        <f>NA()</f>
        <v>#N/A</v>
      </c>
      <c r="D2282" t="e">
        <f>NA()</f>
        <v>#N/A</v>
      </c>
      <c r="E2282" t="e">
        <f>NA()</f>
        <v>#N/A</v>
      </c>
      <c r="F2282" t="e">
        <f>NA()</f>
        <v>#N/A</v>
      </c>
      <c r="G2282" t="e">
        <f>NA()</f>
        <v>#N/A</v>
      </c>
      <c r="H2282" t="e">
        <f>NA()</f>
        <v>#N/A</v>
      </c>
      <c r="I2282" t="e">
        <f>NA()</f>
        <v>#N/A</v>
      </c>
      <c r="J2282" t="e">
        <f>NA()</f>
        <v>#N/A</v>
      </c>
      <c r="K2282" t="e">
        <f>NA()</f>
        <v>#N/A</v>
      </c>
      <c r="L2282" t="e">
        <f>NA()</f>
        <v>#N/A</v>
      </c>
      <c r="M2282" t="e">
        <f>NA()</f>
        <v>#N/A</v>
      </c>
      <c r="N2282" t="e">
        <f>NA()</f>
        <v>#N/A</v>
      </c>
      <c r="O2282">
        <f t="shared" si="91"/>
        <v>0.4</v>
      </c>
    </row>
    <row r="2283" spans="1:15" x14ac:dyDescent="0.25">
      <c r="A2283" s="1">
        <v>42711</v>
      </c>
      <c r="B2283" t="e">
        <f>NA()</f>
        <v>#N/A</v>
      </c>
      <c r="C2283" t="e">
        <f>NA()</f>
        <v>#N/A</v>
      </c>
      <c r="D2283" t="e">
        <f>NA()</f>
        <v>#N/A</v>
      </c>
      <c r="E2283" t="e">
        <f>NA()</f>
        <v>#N/A</v>
      </c>
      <c r="F2283" t="e">
        <f>NA()</f>
        <v>#N/A</v>
      </c>
      <c r="G2283" t="e">
        <f>NA()</f>
        <v>#N/A</v>
      </c>
      <c r="H2283" t="e">
        <f>NA()</f>
        <v>#N/A</v>
      </c>
      <c r="I2283" t="e">
        <f>NA()</f>
        <v>#N/A</v>
      </c>
      <c r="J2283" t="e">
        <f>NA()</f>
        <v>#N/A</v>
      </c>
      <c r="K2283" t="e">
        <f>NA()</f>
        <v>#N/A</v>
      </c>
      <c r="L2283" t="e">
        <f>NA()</f>
        <v>#N/A</v>
      </c>
      <c r="M2283" t="e">
        <f>NA()</f>
        <v>#N/A</v>
      </c>
      <c r="N2283" t="e">
        <f>NA()</f>
        <v>#N/A</v>
      </c>
      <c r="O2283">
        <f t="shared" si="91"/>
        <v>0.4</v>
      </c>
    </row>
    <row r="2284" spans="1:15" x14ac:dyDescent="0.25">
      <c r="A2284" s="1">
        <v>42710</v>
      </c>
      <c r="B2284" t="e">
        <f>NA()</f>
        <v>#N/A</v>
      </c>
      <c r="C2284" t="e">
        <f>NA()</f>
        <v>#N/A</v>
      </c>
      <c r="D2284" t="e">
        <f>NA()</f>
        <v>#N/A</v>
      </c>
      <c r="E2284" t="e">
        <f>NA()</f>
        <v>#N/A</v>
      </c>
      <c r="F2284" t="e">
        <f>NA()</f>
        <v>#N/A</v>
      </c>
      <c r="G2284" t="e">
        <f>NA()</f>
        <v>#N/A</v>
      </c>
      <c r="H2284" t="e">
        <f>NA()</f>
        <v>#N/A</v>
      </c>
      <c r="I2284" t="e">
        <f>NA()</f>
        <v>#N/A</v>
      </c>
      <c r="J2284" t="e">
        <f>NA()</f>
        <v>#N/A</v>
      </c>
      <c r="K2284" t="e">
        <f>NA()</f>
        <v>#N/A</v>
      </c>
      <c r="L2284" t="e">
        <f>NA()</f>
        <v>#N/A</v>
      </c>
      <c r="M2284" t="e">
        <f>NA()</f>
        <v>#N/A</v>
      </c>
      <c r="N2284" t="e">
        <f>NA()</f>
        <v>#N/A</v>
      </c>
      <c r="O2284">
        <f t="shared" si="91"/>
        <v>0.4</v>
      </c>
    </row>
    <row r="2285" spans="1:15" x14ac:dyDescent="0.25">
      <c r="A2285" s="1">
        <v>42709</v>
      </c>
      <c r="B2285" t="e">
        <f>NA()</f>
        <v>#N/A</v>
      </c>
      <c r="C2285" t="e">
        <f>NA()</f>
        <v>#N/A</v>
      </c>
      <c r="D2285" t="e">
        <f>NA()</f>
        <v>#N/A</v>
      </c>
      <c r="E2285" t="e">
        <f>NA()</f>
        <v>#N/A</v>
      </c>
      <c r="F2285" t="e">
        <f>NA()</f>
        <v>#N/A</v>
      </c>
      <c r="G2285" t="e">
        <f>NA()</f>
        <v>#N/A</v>
      </c>
      <c r="H2285" t="e">
        <f>NA()</f>
        <v>#N/A</v>
      </c>
      <c r="I2285" t="e">
        <f>NA()</f>
        <v>#N/A</v>
      </c>
      <c r="J2285" t="e">
        <f>NA()</f>
        <v>#N/A</v>
      </c>
      <c r="K2285" t="e">
        <f>NA()</f>
        <v>#N/A</v>
      </c>
      <c r="L2285" t="e">
        <f>NA()</f>
        <v>#N/A</v>
      </c>
      <c r="M2285" t="e">
        <f>NA()</f>
        <v>#N/A</v>
      </c>
      <c r="N2285" t="e">
        <f>NA()</f>
        <v>#N/A</v>
      </c>
      <c r="O2285">
        <f t="shared" si="91"/>
        <v>0.4</v>
      </c>
    </row>
    <row r="2286" spans="1:15" x14ac:dyDescent="0.25">
      <c r="A2286" s="1">
        <v>42706</v>
      </c>
      <c r="B2286">
        <f>0</f>
        <v>0</v>
      </c>
      <c r="C2286">
        <f>0</f>
        <v>0</v>
      </c>
      <c r="D2286" t="e">
        <f>NA()</f>
        <v>#N/A</v>
      </c>
      <c r="E2286" t="e">
        <f>NA()</f>
        <v>#N/A</v>
      </c>
      <c r="F2286" t="e">
        <f>NA()</f>
        <v>#N/A</v>
      </c>
      <c r="G2286" t="e">
        <f>NA()</f>
        <v>#N/A</v>
      </c>
      <c r="H2286" t="e">
        <f>NA()</f>
        <v>#N/A</v>
      </c>
      <c r="I2286" t="e">
        <f>NA()</f>
        <v>#N/A</v>
      </c>
      <c r="J2286" t="e">
        <f>NA()</f>
        <v>#N/A</v>
      </c>
      <c r="K2286" t="e">
        <f>NA()</f>
        <v>#N/A</v>
      </c>
      <c r="L2286" t="e">
        <f>NA()</f>
        <v>#N/A</v>
      </c>
      <c r="M2286" t="e">
        <f>NA()</f>
        <v>#N/A</v>
      </c>
      <c r="N2286" t="e">
        <f>NA()</f>
        <v>#N/A</v>
      </c>
      <c r="O2286">
        <f t="shared" si="91"/>
        <v>0.4</v>
      </c>
    </row>
    <row r="2287" spans="1:15" x14ac:dyDescent="0.25">
      <c r="A2287" s="1">
        <v>42705</v>
      </c>
      <c r="B2287" t="e">
        <f>NA()</f>
        <v>#N/A</v>
      </c>
      <c r="C2287" t="e">
        <f>NA()</f>
        <v>#N/A</v>
      </c>
      <c r="D2287" t="e">
        <f>NA()</f>
        <v>#N/A</v>
      </c>
      <c r="E2287" t="e">
        <f>NA()</f>
        <v>#N/A</v>
      </c>
      <c r="F2287" t="e">
        <f>NA()</f>
        <v>#N/A</v>
      </c>
      <c r="G2287" t="e">
        <f>NA()</f>
        <v>#N/A</v>
      </c>
      <c r="H2287" t="e">
        <f>NA()</f>
        <v>#N/A</v>
      </c>
      <c r="I2287" t="e">
        <f>NA()</f>
        <v>#N/A</v>
      </c>
      <c r="J2287" t="e">
        <f>NA()</f>
        <v>#N/A</v>
      </c>
      <c r="K2287" t="e">
        <f>NA()</f>
        <v>#N/A</v>
      </c>
      <c r="L2287" t="e">
        <f>NA()</f>
        <v>#N/A</v>
      </c>
      <c r="M2287" t="e">
        <f>NA()</f>
        <v>#N/A</v>
      </c>
      <c r="N2287" t="e">
        <f>NA()</f>
        <v>#N/A</v>
      </c>
      <c r="O2287">
        <f t="shared" si="91"/>
        <v>0.4</v>
      </c>
    </row>
    <row r="2288" spans="1:15" x14ac:dyDescent="0.25">
      <c r="A2288" s="1">
        <v>42704</v>
      </c>
      <c r="B2288" t="e">
        <f>NA()</f>
        <v>#N/A</v>
      </c>
      <c r="C2288" t="e">
        <f>NA()</f>
        <v>#N/A</v>
      </c>
      <c r="D2288">
        <f>0</f>
        <v>0</v>
      </c>
      <c r="E2288">
        <f>0.8</f>
        <v>0.8</v>
      </c>
      <c r="F2288">
        <f>5971</f>
        <v>5971</v>
      </c>
      <c r="G2288">
        <f>62.7</f>
        <v>62.7</v>
      </c>
      <c r="H2288">
        <f>3.8</f>
        <v>3.8</v>
      </c>
      <c r="I2288">
        <f>241.4</f>
        <v>241.4</v>
      </c>
      <c r="J2288">
        <f>1.7</f>
        <v>1.7</v>
      </c>
      <c r="K2288">
        <f>53.2</f>
        <v>53.2</v>
      </c>
      <c r="L2288">
        <f>-0.4</f>
        <v>-0.4</v>
      </c>
      <c r="M2288" t="e">
        <f>NA()</f>
        <v>#N/A</v>
      </c>
      <c r="N2288">
        <f>4.7</f>
        <v>4.7</v>
      </c>
      <c r="O2288">
        <f>0.3</f>
        <v>0.3</v>
      </c>
    </row>
    <row r="2289" spans="1:15" x14ac:dyDescent="0.25">
      <c r="A2289" s="1">
        <v>42703</v>
      </c>
      <c r="B2289" t="e">
        <f>NA()</f>
        <v>#N/A</v>
      </c>
      <c r="C2289" t="e">
        <f>NA()</f>
        <v>#N/A</v>
      </c>
      <c r="D2289" t="e">
        <f>NA()</f>
        <v>#N/A</v>
      </c>
      <c r="E2289" t="e">
        <f>NA()</f>
        <v>#N/A</v>
      </c>
      <c r="F2289" t="e">
        <f>NA()</f>
        <v>#N/A</v>
      </c>
      <c r="G2289" t="e">
        <f>NA()</f>
        <v>#N/A</v>
      </c>
      <c r="H2289" t="e">
        <f>NA()</f>
        <v>#N/A</v>
      </c>
      <c r="I2289" t="e">
        <f>NA()</f>
        <v>#N/A</v>
      </c>
      <c r="J2289" t="e">
        <f>NA()</f>
        <v>#N/A</v>
      </c>
      <c r="K2289" t="e">
        <f>NA()</f>
        <v>#N/A</v>
      </c>
      <c r="L2289" t="e">
        <f>NA()</f>
        <v>#N/A</v>
      </c>
      <c r="M2289" t="e">
        <f>NA()</f>
        <v>#N/A</v>
      </c>
      <c r="N2289" t="e">
        <f>NA()</f>
        <v>#N/A</v>
      </c>
      <c r="O2289">
        <f t="shared" ref="O2289:O2299" si="92">0.4</f>
        <v>0.4</v>
      </c>
    </row>
    <row r="2290" spans="1:15" x14ac:dyDescent="0.25">
      <c r="A2290" s="1">
        <v>42702</v>
      </c>
      <c r="B2290" t="e">
        <f>NA()</f>
        <v>#N/A</v>
      </c>
      <c r="C2290" t="e">
        <f>NA()</f>
        <v>#N/A</v>
      </c>
      <c r="D2290" t="e">
        <f>NA()</f>
        <v>#N/A</v>
      </c>
      <c r="E2290" t="e">
        <f>NA()</f>
        <v>#N/A</v>
      </c>
      <c r="F2290" t="e">
        <f>NA()</f>
        <v>#N/A</v>
      </c>
      <c r="G2290" t="e">
        <f>NA()</f>
        <v>#N/A</v>
      </c>
      <c r="H2290" t="e">
        <f>NA()</f>
        <v>#N/A</v>
      </c>
      <c r="I2290" t="e">
        <f>NA()</f>
        <v>#N/A</v>
      </c>
      <c r="J2290" t="e">
        <f>NA()</f>
        <v>#N/A</v>
      </c>
      <c r="K2290" t="e">
        <f>NA()</f>
        <v>#N/A</v>
      </c>
      <c r="L2290" t="e">
        <f>NA()</f>
        <v>#N/A</v>
      </c>
      <c r="M2290" t="e">
        <f>NA()</f>
        <v>#N/A</v>
      </c>
      <c r="N2290" t="e">
        <f>NA()</f>
        <v>#N/A</v>
      </c>
      <c r="O2290">
        <f t="shared" si="92"/>
        <v>0.4</v>
      </c>
    </row>
    <row r="2291" spans="1:15" x14ac:dyDescent="0.25">
      <c r="A2291" s="1">
        <v>42699</v>
      </c>
      <c r="B2291">
        <f>-0.1</f>
        <v>-0.1</v>
      </c>
      <c r="C2291">
        <f>0</f>
        <v>0</v>
      </c>
      <c r="D2291" t="e">
        <f>NA()</f>
        <v>#N/A</v>
      </c>
      <c r="E2291" t="e">
        <f>NA()</f>
        <v>#N/A</v>
      </c>
      <c r="F2291" t="e">
        <f>NA()</f>
        <v>#N/A</v>
      </c>
      <c r="G2291" t="e">
        <f>NA()</f>
        <v>#N/A</v>
      </c>
      <c r="H2291" t="e">
        <f>NA()</f>
        <v>#N/A</v>
      </c>
      <c r="I2291" t="e">
        <f>NA()</f>
        <v>#N/A</v>
      </c>
      <c r="J2291" t="e">
        <f>NA()</f>
        <v>#N/A</v>
      </c>
      <c r="K2291" t="e">
        <f>NA()</f>
        <v>#N/A</v>
      </c>
      <c r="L2291" t="e">
        <f>NA()</f>
        <v>#N/A</v>
      </c>
      <c r="M2291" t="e">
        <f>NA()</f>
        <v>#N/A</v>
      </c>
      <c r="N2291" t="e">
        <f>NA()</f>
        <v>#N/A</v>
      </c>
      <c r="O2291">
        <f t="shared" si="92"/>
        <v>0.4</v>
      </c>
    </row>
    <row r="2292" spans="1:15" x14ac:dyDescent="0.25">
      <c r="A2292" s="1">
        <v>42697</v>
      </c>
      <c r="B2292" t="e">
        <f>NA()</f>
        <v>#N/A</v>
      </c>
      <c r="C2292" t="e">
        <f>NA()</f>
        <v>#N/A</v>
      </c>
      <c r="D2292" t="e">
        <f>NA()</f>
        <v>#N/A</v>
      </c>
      <c r="E2292" t="e">
        <f>NA()</f>
        <v>#N/A</v>
      </c>
      <c r="F2292" t="e">
        <f>NA()</f>
        <v>#N/A</v>
      </c>
      <c r="G2292" t="e">
        <f>NA()</f>
        <v>#N/A</v>
      </c>
      <c r="H2292" t="e">
        <f>NA()</f>
        <v>#N/A</v>
      </c>
      <c r="I2292" t="e">
        <f>NA()</f>
        <v>#N/A</v>
      </c>
      <c r="J2292" t="e">
        <f>NA()</f>
        <v>#N/A</v>
      </c>
      <c r="K2292" t="e">
        <f>NA()</f>
        <v>#N/A</v>
      </c>
      <c r="L2292" t="e">
        <f>NA()</f>
        <v>#N/A</v>
      </c>
      <c r="M2292" t="e">
        <f>NA()</f>
        <v>#N/A</v>
      </c>
      <c r="N2292" t="e">
        <f>NA()</f>
        <v>#N/A</v>
      </c>
      <c r="O2292">
        <f t="shared" si="92"/>
        <v>0.4</v>
      </c>
    </row>
    <row r="2293" spans="1:15" x14ac:dyDescent="0.25">
      <c r="A2293" s="1">
        <v>42696</v>
      </c>
      <c r="B2293" t="e">
        <f>NA()</f>
        <v>#N/A</v>
      </c>
      <c r="C2293" t="e">
        <f>NA()</f>
        <v>#N/A</v>
      </c>
      <c r="D2293" t="e">
        <f>NA()</f>
        <v>#N/A</v>
      </c>
      <c r="E2293" t="e">
        <f>NA()</f>
        <v>#N/A</v>
      </c>
      <c r="F2293" t="e">
        <f>NA()</f>
        <v>#N/A</v>
      </c>
      <c r="G2293" t="e">
        <f>NA()</f>
        <v>#N/A</v>
      </c>
      <c r="H2293" t="e">
        <f>NA()</f>
        <v>#N/A</v>
      </c>
      <c r="I2293" t="e">
        <f>NA()</f>
        <v>#N/A</v>
      </c>
      <c r="J2293" t="e">
        <f>NA()</f>
        <v>#N/A</v>
      </c>
      <c r="K2293" t="e">
        <f>NA()</f>
        <v>#N/A</v>
      </c>
      <c r="L2293" t="e">
        <f>NA()</f>
        <v>#N/A</v>
      </c>
      <c r="M2293" t="e">
        <f>NA()</f>
        <v>#N/A</v>
      </c>
      <c r="N2293" t="e">
        <f>NA()</f>
        <v>#N/A</v>
      </c>
      <c r="O2293">
        <f t="shared" si="92"/>
        <v>0.4</v>
      </c>
    </row>
    <row r="2294" spans="1:15" x14ac:dyDescent="0.25">
      <c r="A2294" s="1">
        <v>42695</v>
      </c>
      <c r="B2294" t="e">
        <f>NA()</f>
        <v>#N/A</v>
      </c>
      <c r="C2294" t="e">
        <f>NA()</f>
        <v>#N/A</v>
      </c>
      <c r="D2294" t="e">
        <f>NA()</f>
        <v>#N/A</v>
      </c>
      <c r="E2294" t="e">
        <f>NA()</f>
        <v>#N/A</v>
      </c>
      <c r="F2294" t="e">
        <f>NA()</f>
        <v>#N/A</v>
      </c>
      <c r="G2294" t="e">
        <f>NA()</f>
        <v>#N/A</v>
      </c>
      <c r="H2294" t="e">
        <f>NA()</f>
        <v>#N/A</v>
      </c>
      <c r="I2294" t="e">
        <f>NA()</f>
        <v>#N/A</v>
      </c>
      <c r="J2294" t="e">
        <f>NA()</f>
        <v>#N/A</v>
      </c>
      <c r="K2294" t="e">
        <f>NA()</f>
        <v>#N/A</v>
      </c>
      <c r="L2294" t="e">
        <f>NA()</f>
        <v>#N/A</v>
      </c>
      <c r="M2294" t="e">
        <f>NA()</f>
        <v>#N/A</v>
      </c>
      <c r="N2294" t="e">
        <f>NA()</f>
        <v>#N/A</v>
      </c>
      <c r="O2294">
        <f t="shared" si="92"/>
        <v>0.4</v>
      </c>
    </row>
    <row r="2295" spans="1:15" x14ac:dyDescent="0.25">
      <c r="A2295" s="1">
        <v>42692</v>
      </c>
      <c r="B2295">
        <f>0</f>
        <v>0</v>
      </c>
      <c r="C2295">
        <f>0</f>
        <v>0</v>
      </c>
      <c r="D2295" t="e">
        <f>NA()</f>
        <v>#N/A</v>
      </c>
      <c r="E2295" t="e">
        <f>NA()</f>
        <v>#N/A</v>
      </c>
      <c r="F2295" t="e">
        <f>NA()</f>
        <v>#N/A</v>
      </c>
      <c r="G2295" t="e">
        <f>NA()</f>
        <v>#N/A</v>
      </c>
      <c r="H2295" t="e">
        <f>NA()</f>
        <v>#N/A</v>
      </c>
      <c r="I2295" t="e">
        <f>NA()</f>
        <v>#N/A</v>
      </c>
      <c r="J2295" t="e">
        <f>NA()</f>
        <v>#N/A</v>
      </c>
      <c r="K2295" t="e">
        <f>NA()</f>
        <v>#N/A</v>
      </c>
      <c r="L2295" t="e">
        <f>NA()</f>
        <v>#N/A</v>
      </c>
      <c r="M2295" t="e">
        <f>NA()</f>
        <v>#N/A</v>
      </c>
      <c r="N2295" t="e">
        <f>NA()</f>
        <v>#N/A</v>
      </c>
      <c r="O2295">
        <f t="shared" si="92"/>
        <v>0.4</v>
      </c>
    </row>
    <row r="2296" spans="1:15" x14ac:dyDescent="0.25">
      <c r="A2296" s="1">
        <v>42691</v>
      </c>
      <c r="B2296" t="e">
        <f>NA()</f>
        <v>#N/A</v>
      </c>
      <c r="C2296" t="e">
        <f>NA()</f>
        <v>#N/A</v>
      </c>
      <c r="D2296" t="e">
        <f>NA()</f>
        <v>#N/A</v>
      </c>
      <c r="E2296" t="e">
        <f>NA()</f>
        <v>#N/A</v>
      </c>
      <c r="F2296" t="e">
        <f>NA()</f>
        <v>#N/A</v>
      </c>
      <c r="G2296" t="e">
        <f>NA()</f>
        <v>#N/A</v>
      </c>
      <c r="H2296" t="e">
        <f>NA()</f>
        <v>#N/A</v>
      </c>
      <c r="I2296" t="e">
        <f>NA()</f>
        <v>#N/A</v>
      </c>
      <c r="J2296" t="e">
        <f>NA()</f>
        <v>#N/A</v>
      </c>
      <c r="K2296" t="e">
        <f>NA()</f>
        <v>#N/A</v>
      </c>
      <c r="L2296" t="e">
        <f>NA()</f>
        <v>#N/A</v>
      </c>
      <c r="M2296" t="e">
        <f>NA()</f>
        <v>#N/A</v>
      </c>
      <c r="N2296" t="e">
        <f>NA()</f>
        <v>#N/A</v>
      </c>
      <c r="O2296">
        <f t="shared" si="92"/>
        <v>0.4</v>
      </c>
    </row>
    <row r="2297" spans="1:15" x14ac:dyDescent="0.25">
      <c r="A2297" s="1">
        <v>42690</v>
      </c>
      <c r="B2297" t="e">
        <f>NA()</f>
        <v>#N/A</v>
      </c>
      <c r="C2297" t="e">
        <f>NA()</f>
        <v>#N/A</v>
      </c>
      <c r="D2297" t="e">
        <f>NA()</f>
        <v>#N/A</v>
      </c>
      <c r="E2297" t="e">
        <f>NA()</f>
        <v>#N/A</v>
      </c>
      <c r="F2297" t="e">
        <f>NA()</f>
        <v>#N/A</v>
      </c>
      <c r="G2297" t="e">
        <f>NA()</f>
        <v>#N/A</v>
      </c>
      <c r="H2297" t="e">
        <f>NA()</f>
        <v>#N/A</v>
      </c>
      <c r="I2297" t="e">
        <f>NA()</f>
        <v>#N/A</v>
      </c>
      <c r="J2297" t="e">
        <f>NA()</f>
        <v>#N/A</v>
      </c>
      <c r="K2297" t="e">
        <f>NA()</f>
        <v>#N/A</v>
      </c>
      <c r="L2297" t="e">
        <f>NA()</f>
        <v>#N/A</v>
      </c>
      <c r="M2297" t="e">
        <f>NA()</f>
        <v>#N/A</v>
      </c>
      <c r="N2297" t="e">
        <f>NA()</f>
        <v>#N/A</v>
      </c>
      <c r="O2297">
        <f t="shared" si="92"/>
        <v>0.4</v>
      </c>
    </row>
    <row r="2298" spans="1:15" x14ac:dyDescent="0.25">
      <c r="A2298" s="1">
        <v>42689</v>
      </c>
      <c r="B2298" t="e">
        <f>NA()</f>
        <v>#N/A</v>
      </c>
      <c r="C2298" t="e">
        <f>NA()</f>
        <v>#N/A</v>
      </c>
      <c r="D2298" t="e">
        <f>NA()</f>
        <v>#N/A</v>
      </c>
      <c r="E2298" t="e">
        <f>NA()</f>
        <v>#N/A</v>
      </c>
      <c r="F2298" t="e">
        <f>NA()</f>
        <v>#N/A</v>
      </c>
      <c r="G2298" t="e">
        <f>NA()</f>
        <v>#N/A</v>
      </c>
      <c r="H2298" t="e">
        <f>NA()</f>
        <v>#N/A</v>
      </c>
      <c r="I2298" t="e">
        <f>NA()</f>
        <v>#N/A</v>
      </c>
      <c r="J2298" t="e">
        <f>NA()</f>
        <v>#N/A</v>
      </c>
      <c r="K2298" t="e">
        <f>NA()</f>
        <v>#N/A</v>
      </c>
      <c r="L2298" t="e">
        <f>NA()</f>
        <v>#N/A</v>
      </c>
      <c r="M2298" t="e">
        <f>NA()</f>
        <v>#N/A</v>
      </c>
      <c r="N2298" t="e">
        <f>NA()</f>
        <v>#N/A</v>
      </c>
      <c r="O2298">
        <f t="shared" si="92"/>
        <v>0.4</v>
      </c>
    </row>
    <row r="2299" spans="1:15" x14ac:dyDescent="0.25">
      <c r="A2299" s="1">
        <v>42688</v>
      </c>
      <c r="B2299" t="e">
        <f>NA()</f>
        <v>#N/A</v>
      </c>
      <c r="C2299" t="e">
        <f>NA()</f>
        <v>#N/A</v>
      </c>
      <c r="D2299" t="e">
        <f>NA()</f>
        <v>#N/A</v>
      </c>
      <c r="E2299" t="e">
        <f>NA()</f>
        <v>#N/A</v>
      </c>
      <c r="F2299" t="e">
        <f>NA()</f>
        <v>#N/A</v>
      </c>
      <c r="G2299" t="e">
        <f>NA()</f>
        <v>#N/A</v>
      </c>
      <c r="H2299" t="e">
        <f>NA()</f>
        <v>#N/A</v>
      </c>
      <c r="I2299" t="e">
        <f>NA()</f>
        <v>#N/A</v>
      </c>
      <c r="J2299" t="e">
        <f>NA()</f>
        <v>#N/A</v>
      </c>
      <c r="K2299" t="e">
        <f>NA()</f>
        <v>#N/A</v>
      </c>
      <c r="L2299" t="e">
        <f>NA()</f>
        <v>#N/A</v>
      </c>
      <c r="M2299" t="e">
        <f>NA()</f>
        <v>#N/A</v>
      </c>
      <c r="N2299" t="e">
        <f>NA()</f>
        <v>#N/A</v>
      </c>
      <c r="O2299">
        <f t="shared" si="92"/>
        <v>0.4</v>
      </c>
    </row>
    <row r="2300" spans="1:15" x14ac:dyDescent="0.25">
      <c r="A2300" s="1">
        <v>42685</v>
      </c>
      <c r="B2300">
        <f>0</f>
        <v>0</v>
      </c>
      <c r="C2300">
        <f>0</f>
        <v>0</v>
      </c>
      <c r="D2300" t="e">
        <f>NA()</f>
        <v>#N/A</v>
      </c>
      <c r="E2300" t="e">
        <f>NA()</f>
        <v>#N/A</v>
      </c>
      <c r="F2300" t="e">
        <f>NA()</f>
        <v>#N/A</v>
      </c>
      <c r="G2300" t="e">
        <f>NA()</f>
        <v>#N/A</v>
      </c>
      <c r="H2300" t="e">
        <f>NA()</f>
        <v>#N/A</v>
      </c>
      <c r="I2300" t="e">
        <f>NA()</f>
        <v>#N/A</v>
      </c>
      <c r="J2300" t="e">
        <f>NA()</f>
        <v>#N/A</v>
      </c>
      <c r="K2300" t="e">
        <f>NA()</f>
        <v>#N/A</v>
      </c>
      <c r="L2300" t="e">
        <f>NA()</f>
        <v>#N/A</v>
      </c>
      <c r="M2300" t="e">
        <f>NA()</f>
        <v>#N/A</v>
      </c>
      <c r="N2300" t="e">
        <f>NA()</f>
        <v>#N/A</v>
      </c>
      <c r="O2300" t="e">
        <f>NA()</f>
        <v>#N/A</v>
      </c>
    </row>
    <row r="2301" spans="1:15" x14ac:dyDescent="0.25">
      <c r="A2301" s="1">
        <v>42684</v>
      </c>
      <c r="B2301" t="e">
        <f>NA()</f>
        <v>#N/A</v>
      </c>
      <c r="C2301" t="e">
        <f>NA()</f>
        <v>#N/A</v>
      </c>
      <c r="D2301" t="e">
        <f>NA()</f>
        <v>#N/A</v>
      </c>
      <c r="E2301" t="e">
        <f>NA()</f>
        <v>#N/A</v>
      </c>
      <c r="F2301" t="e">
        <f>NA()</f>
        <v>#N/A</v>
      </c>
      <c r="G2301" t="e">
        <f>NA()</f>
        <v>#N/A</v>
      </c>
      <c r="H2301" t="e">
        <f>NA()</f>
        <v>#N/A</v>
      </c>
      <c r="I2301" t="e">
        <f>NA()</f>
        <v>#N/A</v>
      </c>
      <c r="J2301" t="e">
        <f>NA()</f>
        <v>#N/A</v>
      </c>
      <c r="K2301" t="e">
        <f>NA()</f>
        <v>#N/A</v>
      </c>
      <c r="L2301" t="e">
        <f>NA()</f>
        <v>#N/A</v>
      </c>
      <c r="M2301" t="e">
        <f>NA()</f>
        <v>#N/A</v>
      </c>
      <c r="N2301" t="e">
        <f>NA()</f>
        <v>#N/A</v>
      </c>
      <c r="O2301">
        <f t="shared" ref="O2301:O2308" si="93">0.4</f>
        <v>0.4</v>
      </c>
    </row>
    <row r="2302" spans="1:15" x14ac:dyDescent="0.25">
      <c r="A2302" s="1">
        <v>42683</v>
      </c>
      <c r="B2302" t="e">
        <f>NA()</f>
        <v>#N/A</v>
      </c>
      <c r="C2302" t="e">
        <f>NA()</f>
        <v>#N/A</v>
      </c>
      <c r="D2302" t="e">
        <f>NA()</f>
        <v>#N/A</v>
      </c>
      <c r="E2302" t="e">
        <f>NA()</f>
        <v>#N/A</v>
      </c>
      <c r="F2302" t="e">
        <f>NA()</f>
        <v>#N/A</v>
      </c>
      <c r="G2302" t="e">
        <f>NA()</f>
        <v>#N/A</v>
      </c>
      <c r="H2302" t="e">
        <f>NA()</f>
        <v>#N/A</v>
      </c>
      <c r="I2302" t="e">
        <f>NA()</f>
        <v>#N/A</v>
      </c>
      <c r="J2302" t="e">
        <f>NA()</f>
        <v>#N/A</v>
      </c>
      <c r="K2302" t="e">
        <f>NA()</f>
        <v>#N/A</v>
      </c>
      <c r="L2302" t="e">
        <f>NA()</f>
        <v>#N/A</v>
      </c>
      <c r="M2302" t="e">
        <f>NA()</f>
        <v>#N/A</v>
      </c>
      <c r="N2302" t="e">
        <f>NA()</f>
        <v>#N/A</v>
      </c>
      <c r="O2302">
        <f t="shared" si="93"/>
        <v>0.4</v>
      </c>
    </row>
    <row r="2303" spans="1:15" x14ac:dyDescent="0.25">
      <c r="A2303" s="1">
        <v>42682</v>
      </c>
      <c r="B2303" t="e">
        <f>NA()</f>
        <v>#N/A</v>
      </c>
      <c r="C2303" t="e">
        <f>NA()</f>
        <v>#N/A</v>
      </c>
      <c r="D2303" t="e">
        <f>NA()</f>
        <v>#N/A</v>
      </c>
      <c r="E2303" t="e">
        <f>NA()</f>
        <v>#N/A</v>
      </c>
      <c r="F2303" t="e">
        <f>NA()</f>
        <v>#N/A</v>
      </c>
      <c r="G2303" t="e">
        <f>NA()</f>
        <v>#N/A</v>
      </c>
      <c r="H2303" t="e">
        <f>NA()</f>
        <v>#N/A</v>
      </c>
      <c r="I2303" t="e">
        <f>NA()</f>
        <v>#N/A</v>
      </c>
      <c r="J2303" t="e">
        <f>NA()</f>
        <v>#N/A</v>
      </c>
      <c r="K2303" t="e">
        <f>NA()</f>
        <v>#N/A</v>
      </c>
      <c r="L2303" t="e">
        <f>NA()</f>
        <v>#N/A</v>
      </c>
      <c r="M2303" t="e">
        <f>NA()</f>
        <v>#N/A</v>
      </c>
      <c r="N2303" t="e">
        <f>NA()</f>
        <v>#N/A</v>
      </c>
      <c r="O2303">
        <f t="shared" si="93"/>
        <v>0.4</v>
      </c>
    </row>
    <row r="2304" spans="1:15" x14ac:dyDescent="0.25">
      <c r="A2304" s="1">
        <v>42681</v>
      </c>
      <c r="B2304" t="e">
        <f>NA()</f>
        <v>#N/A</v>
      </c>
      <c r="C2304" t="e">
        <f>NA()</f>
        <v>#N/A</v>
      </c>
      <c r="D2304" t="e">
        <f>NA()</f>
        <v>#N/A</v>
      </c>
      <c r="E2304" t="e">
        <f>NA()</f>
        <v>#N/A</v>
      </c>
      <c r="F2304" t="e">
        <f>NA()</f>
        <v>#N/A</v>
      </c>
      <c r="G2304" t="e">
        <f>NA()</f>
        <v>#N/A</v>
      </c>
      <c r="H2304" t="e">
        <f>NA()</f>
        <v>#N/A</v>
      </c>
      <c r="I2304" t="e">
        <f>NA()</f>
        <v>#N/A</v>
      </c>
      <c r="J2304" t="e">
        <f>NA()</f>
        <v>#N/A</v>
      </c>
      <c r="K2304" t="e">
        <f>NA()</f>
        <v>#N/A</v>
      </c>
      <c r="L2304" t="e">
        <f>NA()</f>
        <v>#N/A</v>
      </c>
      <c r="M2304" t="e">
        <f>NA()</f>
        <v>#N/A</v>
      </c>
      <c r="N2304" t="e">
        <f>NA()</f>
        <v>#N/A</v>
      </c>
      <c r="O2304">
        <f t="shared" si="93"/>
        <v>0.4</v>
      </c>
    </row>
    <row r="2305" spans="1:15" x14ac:dyDescent="0.25">
      <c r="A2305" s="1">
        <v>42678</v>
      </c>
      <c r="B2305">
        <f>0.5</f>
        <v>0.5</v>
      </c>
      <c r="C2305">
        <f>0</f>
        <v>0</v>
      </c>
      <c r="D2305" t="e">
        <f>NA()</f>
        <v>#N/A</v>
      </c>
      <c r="E2305" t="e">
        <f>NA()</f>
        <v>#N/A</v>
      </c>
      <c r="F2305" t="e">
        <f>NA()</f>
        <v>#N/A</v>
      </c>
      <c r="G2305" t="e">
        <f>NA()</f>
        <v>#N/A</v>
      </c>
      <c r="H2305" t="e">
        <f>NA()</f>
        <v>#N/A</v>
      </c>
      <c r="I2305" t="e">
        <f>NA()</f>
        <v>#N/A</v>
      </c>
      <c r="J2305" t="e">
        <f>NA()</f>
        <v>#N/A</v>
      </c>
      <c r="K2305" t="e">
        <f>NA()</f>
        <v>#N/A</v>
      </c>
      <c r="L2305" t="e">
        <f>NA()</f>
        <v>#N/A</v>
      </c>
      <c r="M2305" t="e">
        <f>NA()</f>
        <v>#N/A</v>
      </c>
      <c r="N2305" t="e">
        <f>NA()</f>
        <v>#N/A</v>
      </c>
      <c r="O2305">
        <f t="shared" si="93"/>
        <v>0.4</v>
      </c>
    </row>
    <row r="2306" spans="1:15" x14ac:dyDescent="0.25">
      <c r="A2306" s="1">
        <v>42677</v>
      </c>
      <c r="B2306" t="e">
        <f>NA()</f>
        <v>#N/A</v>
      </c>
      <c r="C2306" t="e">
        <f>NA()</f>
        <v>#N/A</v>
      </c>
      <c r="D2306" t="e">
        <f>NA()</f>
        <v>#N/A</v>
      </c>
      <c r="E2306" t="e">
        <f>NA()</f>
        <v>#N/A</v>
      </c>
      <c r="F2306" t="e">
        <f>NA()</f>
        <v>#N/A</v>
      </c>
      <c r="G2306" t="e">
        <f>NA()</f>
        <v>#N/A</v>
      </c>
      <c r="H2306" t="e">
        <f>NA()</f>
        <v>#N/A</v>
      </c>
      <c r="I2306" t="e">
        <f>NA()</f>
        <v>#N/A</v>
      </c>
      <c r="J2306" t="e">
        <f>NA()</f>
        <v>#N/A</v>
      </c>
      <c r="K2306" t="e">
        <f>NA()</f>
        <v>#N/A</v>
      </c>
      <c r="L2306" t="e">
        <f>NA()</f>
        <v>#N/A</v>
      </c>
      <c r="M2306" t="e">
        <f>NA()</f>
        <v>#N/A</v>
      </c>
      <c r="N2306" t="e">
        <f>NA()</f>
        <v>#N/A</v>
      </c>
      <c r="O2306">
        <f t="shared" si="93"/>
        <v>0.4</v>
      </c>
    </row>
    <row r="2307" spans="1:15" x14ac:dyDescent="0.25">
      <c r="A2307" s="1">
        <v>42676</v>
      </c>
      <c r="B2307" t="e">
        <f>NA()</f>
        <v>#N/A</v>
      </c>
      <c r="C2307" t="e">
        <f>NA()</f>
        <v>#N/A</v>
      </c>
      <c r="D2307" t="e">
        <f>NA()</f>
        <v>#N/A</v>
      </c>
      <c r="E2307" t="e">
        <f>NA()</f>
        <v>#N/A</v>
      </c>
      <c r="F2307" t="e">
        <f>NA()</f>
        <v>#N/A</v>
      </c>
      <c r="G2307" t="e">
        <f>NA()</f>
        <v>#N/A</v>
      </c>
      <c r="H2307" t="e">
        <f>NA()</f>
        <v>#N/A</v>
      </c>
      <c r="I2307" t="e">
        <f>NA()</f>
        <v>#N/A</v>
      </c>
      <c r="J2307" t="e">
        <f>NA()</f>
        <v>#N/A</v>
      </c>
      <c r="K2307" t="e">
        <f>NA()</f>
        <v>#N/A</v>
      </c>
      <c r="L2307" t="e">
        <f>NA()</f>
        <v>#N/A</v>
      </c>
      <c r="M2307" t="e">
        <f>NA()</f>
        <v>#N/A</v>
      </c>
      <c r="N2307" t="e">
        <f>NA()</f>
        <v>#N/A</v>
      </c>
      <c r="O2307">
        <f t="shared" si="93"/>
        <v>0.4</v>
      </c>
    </row>
    <row r="2308" spans="1:15" x14ac:dyDescent="0.25">
      <c r="A2308" s="1">
        <v>42675</v>
      </c>
      <c r="B2308" t="e">
        <f>NA()</f>
        <v>#N/A</v>
      </c>
      <c r="C2308" t="e">
        <f>NA()</f>
        <v>#N/A</v>
      </c>
      <c r="D2308" t="e">
        <f>NA()</f>
        <v>#N/A</v>
      </c>
      <c r="E2308" t="e">
        <f>NA()</f>
        <v>#N/A</v>
      </c>
      <c r="F2308" t="e">
        <f>NA()</f>
        <v>#N/A</v>
      </c>
      <c r="G2308" t="e">
        <f>NA()</f>
        <v>#N/A</v>
      </c>
      <c r="H2308" t="e">
        <f>NA()</f>
        <v>#N/A</v>
      </c>
      <c r="I2308" t="e">
        <f>NA()</f>
        <v>#N/A</v>
      </c>
      <c r="J2308" t="e">
        <f>NA()</f>
        <v>#N/A</v>
      </c>
      <c r="K2308" t="e">
        <f>NA()</f>
        <v>#N/A</v>
      </c>
      <c r="L2308" t="e">
        <f>NA()</f>
        <v>#N/A</v>
      </c>
      <c r="M2308" t="e">
        <f>NA()</f>
        <v>#N/A</v>
      </c>
      <c r="N2308" t="e">
        <f>NA()</f>
        <v>#N/A</v>
      </c>
      <c r="O2308">
        <f t="shared" si="93"/>
        <v>0.4</v>
      </c>
    </row>
    <row r="2309" spans="1:15" x14ac:dyDescent="0.25">
      <c r="A2309" s="1">
        <v>42674</v>
      </c>
      <c r="B2309" t="e">
        <f>NA()</f>
        <v>#N/A</v>
      </c>
      <c r="C2309" t="e">
        <f>NA()</f>
        <v>#N/A</v>
      </c>
      <c r="D2309">
        <f>0.5</f>
        <v>0.5</v>
      </c>
      <c r="E2309">
        <f>1</f>
        <v>1</v>
      </c>
      <c r="F2309">
        <f>5591</f>
        <v>5591</v>
      </c>
      <c r="G2309">
        <f>62.8</f>
        <v>62.8</v>
      </c>
      <c r="H2309">
        <f>3.8</f>
        <v>3.8</v>
      </c>
      <c r="I2309">
        <f>241.7</f>
        <v>241.7</v>
      </c>
      <c r="J2309">
        <f>1.6</f>
        <v>1.6</v>
      </c>
      <c r="K2309">
        <f>51.8</f>
        <v>51.8</v>
      </c>
      <c r="L2309">
        <f>0.1</f>
        <v>0.1</v>
      </c>
      <c r="M2309" t="e">
        <f>NA()</f>
        <v>#N/A</v>
      </c>
      <c r="N2309">
        <f>4.9</f>
        <v>4.9000000000000004</v>
      </c>
      <c r="O2309">
        <f>0.3</f>
        <v>0.3</v>
      </c>
    </row>
    <row r="2310" spans="1:15" x14ac:dyDescent="0.25">
      <c r="A2310" s="1">
        <v>42671</v>
      </c>
      <c r="B2310">
        <f>0.1</f>
        <v>0.1</v>
      </c>
      <c r="C2310">
        <f>0</f>
        <v>0</v>
      </c>
      <c r="D2310" t="e">
        <f>NA()</f>
        <v>#N/A</v>
      </c>
      <c r="E2310" t="e">
        <f>NA()</f>
        <v>#N/A</v>
      </c>
      <c r="F2310" t="e">
        <f>NA()</f>
        <v>#N/A</v>
      </c>
      <c r="G2310" t="e">
        <f>NA()</f>
        <v>#N/A</v>
      </c>
      <c r="H2310" t="e">
        <f>NA()</f>
        <v>#N/A</v>
      </c>
      <c r="I2310" t="e">
        <f>NA()</f>
        <v>#N/A</v>
      </c>
      <c r="J2310" t="e">
        <f>NA()</f>
        <v>#N/A</v>
      </c>
      <c r="K2310" t="e">
        <f>NA()</f>
        <v>#N/A</v>
      </c>
      <c r="L2310" t="e">
        <f>NA()</f>
        <v>#N/A</v>
      </c>
      <c r="M2310" t="e">
        <f>NA()</f>
        <v>#N/A</v>
      </c>
      <c r="N2310" t="e">
        <f>NA()</f>
        <v>#N/A</v>
      </c>
      <c r="O2310">
        <f t="shared" ref="O2310:O2328" si="94">0.4</f>
        <v>0.4</v>
      </c>
    </row>
    <row r="2311" spans="1:15" x14ac:dyDescent="0.25">
      <c r="A2311" s="1">
        <v>42670</v>
      </c>
      <c r="B2311" t="e">
        <f>NA()</f>
        <v>#N/A</v>
      </c>
      <c r="C2311" t="e">
        <f>NA()</f>
        <v>#N/A</v>
      </c>
      <c r="D2311" t="e">
        <f>NA()</f>
        <v>#N/A</v>
      </c>
      <c r="E2311" t="e">
        <f>NA()</f>
        <v>#N/A</v>
      </c>
      <c r="F2311" t="e">
        <f>NA()</f>
        <v>#N/A</v>
      </c>
      <c r="G2311" t="e">
        <f>NA()</f>
        <v>#N/A</v>
      </c>
      <c r="H2311" t="e">
        <f>NA()</f>
        <v>#N/A</v>
      </c>
      <c r="I2311" t="e">
        <f>NA()</f>
        <v>#N/A</v>
      </c>
      <c r="J2311" t="e">
        <f>NA()</f>
        <v>#N/A</v>
      </c>
      <c r="K2311" t="e">
        <f>NA()</f>
        <v>#N/A</v>
      </c>
      <c r="L2311" t="e">
        <f>NA()</f>
        <v>#N/A</v>
      </c>
      <c r="M2311" t="e">
        <f>NA()</f>
        <v>#N/A</v>
      </c>
      <c r="N2311" t="e">
        <f>NA()</f>
        <v>#N/A</v>
      </c>
      <c r="O2311">
        <f t="shared" si="94"/>
        <v>0.4</v>
      </c>
    </row>
    <row r="2312" spans="1:15" x14ac:dyDescent="0.25">
      <c r="A2312" s="1">
        <v>42669</v>
      </c>
      <c r="B2312" t="e">
        <f>NA()</f>
        <v>#N/A</v>
      </c>
      <c r="C2312" t="e">
        <f>NA()</f>
        <v>#N/A</v>
      </c>
      <c r="D2312" t="e">
        <f>NA()</f>
        <v>#N/A</v>
      </c>
      <c r="E2312" t="e">
        <f>NA()</f>
        <v>#N/A</v>
      </c>
      <c r="F2312" t="e">
        <f>NA()</f>
        <v>#N/A</v>
      </c>
      <c r="G2312" t="e">
        <f>NA()</f>
        <v>#N/A</v>
      </c>
      <c r="H2312" t="e">
        <f>NA()</f>
        <v>#N/A</v>
      </c>
      <c r="I2312" t="e">
        <f>NA()</f>
        <v>#N/A</v>
      </c>
      <c r="J2312" t="e">
        <f>NA()</f>
        <v>#N/A</v>
      </c>
      <c r="K2312" t="e">
        <f>NA()</f>
        <v>#N/A</v>
      </c>
      <c r="L2312" t="e">
        <f>NA()</f>
        <v>#N/A</v>
      </c>
      <c r="M2312" t="e">
        <f>NA()</f>
        <v>#N/A</v>
      </c>
      <c r="N2312" t="e">
        <f>NA()</f>
        <v>#N/A</v>
      </c>
      <c r="O2312">
        <f t="shared" si="94"/>
        <v>0.4</v>
      </c>
    </row>
    <row r="2313" spans="1:15" x14ac:dyDescent="0.25">
      <c r="A2313" s="1">
        <v>42668</v>
      </c>
      <c r="B2313" t="e">
        <f>NA()</f>
        <v>#N/A</v>
      </c>
      <c r="C2313" t="e">
        <f>NA()</f>
        <v>#N/A</v>
      </c>
      <c r="D2313" t="e">
        <f>NA()</f>
        <v>#N/A</v>
      </c>
      <c r="E2313" t="e">
        <f>NA()</f>
        <v>#N/A</v>
      </c>
      <c r="F2313" t="e">
        <f>NA()</f>
        <v>#N/A</v>
      </c>
      <c r="G2313" t="e">
        <f>NA()</f>
        <v>#N/A</v>
      </c>
      <c r="H2313" t="e">
        <f>NA()</f>
        <v>#N/A</v>
      </c>
      <c r="I2313" t="e">
        <f>NA()</f>
        <v>#N/A</v>
      </c>
      <c r="J2313" t="e">
        <f>NA()</f>
        <v>#N/A</v>
      </c>
      <c r="K2313" t="e">
        <f>NA()</f>
        <v>#N/A</v>
      </c>
      <c r="L2313" t="e">
        <f>NA()</f>
        <v>#N/A</v>
      </c>
      <c r="M2313" t="e">
        <f>NA()</f>
        <v>#N/A</v>
      </c>
      <c r="N2313" t="e">
        <f>NA()</f>
        <v>#N/A</v>
      </c>
      <c r="O2313">
        <f t="shared" si="94"/>
        <v>0.4</v>
      </c>
    </row>
    <row r="2314" spans="1:15" x14ac:dyDescent="0.25">
      <c r="A2314" s="1">
        <v>42667</v>
      </c>
      <c r="B2314" t="e">
        <f>NA()</f>
        <v>#N/A</v>
      </c>
      <c r="C2314" t="e">
        <f>NA()</f>
        <v>#N/A</v>
      </c>
      <c r="D2314" t="e">
        <f>NA()</f>
        <v>#N/A</v>
      </c>
      <c r="E2314" t="e">
        <f>NA()</f>
        <v>#N/A</v>
      </c>
      <c r="F2314" t="e">
        <f>NA()</f>
        <v>#N/A</v>
      </c>
      <c r="G2314" t="e">
        <f>NA()</f>
        <v>#N/A</v>
      </c>
      <c r="H2314" t="e">
        <f>NA()</f>
        <v>#N/A</v>
      </c>
      <c r="I2314" t="e">
        <f>NA()</f>
        <v>#N/A</v>
      </c>
      <c r="J2314" t="e">
        <f>NA()</f>
        <v>#N/A</v>
      </c>
      <c r="K2314" t="e">
        <f>NA()</f>
        <v>#N/A</v>
      </c>
      <c r="L2314" t="e">
        <f>NA()</f>
        <v>#N/A</v>
      </c>
      <c r="M2314" t="e">
        <f>NA()</f>
        <v>#N/A</v>
      </c>
      <c r="N2314" t="e">
        <f>NA()</f>
        <v>#N/A</v>
      </c>
      <c r="O2314">
        <f t="shared" si="94"/>
        <v>0.4</v>
      </c>
    </row>
    <row r="2315" spans="1:15" x14ac:dyDescent="0.25">
      <c r="A2315" s="1">
        <v>42664</v>
      </c>
      <c r="B2315">
        <f>0.2</f>
        <v>0.2</v>
      </c>
      <c r="C2315">
        <f>0</f>
        <v>0</v>
      </c>
      <c r="D2315" t="e">
        <f>NA()</f>
        <v>#N/A</v>
      </c>
      <c r="E2315" t="e">
        <f>NA()</f>
        <v>#N/A</v>
      </c>
      <c r="F2315" t="e">
        <f>NA()</f>
        <v>#N/A</v>
      </c>
      <c r="G2315" t="e">
        <f>NA()</f>
        <v>#N/A</v>
      </c>
      <c r="H2315" t="e">
        <f>NA()</f>
        <v>#N/A</v>
      </c>
      <c r="I2315" t="e">
        <f>NA()</f>
        <v>#N/A</v>
      </c>
      <c r="J2315" t="e">
        <f>NA()</f>
        <v>#N/A</v>
      </c>
      <c r="K2315" t="e">
        <f>NA()</f>
        <v>#N/A</v>
      </c>
      <c r="L2315" t="e">
        <f>NA()</f>
        <v>#N/A</v>
      </c>
      <c r="M2315" t="e">
        <f>NA()</f>
        <v>#N/A</v>
      </c>
      <c r="N2315" t="e">
        <f>NA()</f>
        <v>#N/A</v>
      </c>
      <c r="O2315">
        <f t="shared" si="94"/>
        <v>0.4</v>
      </c>
    </row>
    <row r="2316" spans="1:15" x14ac:dyDescent="0.25">
      <c r="A2316" s="1">
        <v>42663</v>
      </c>
      <c r="B2316" t="e">
        <f>NA()</f>
        <v>#N/A</v>
      </c>
      <c r="C2316" t="e">
        <f>NA()</f>
        <v>#N/A</v>
      </c>
      <c r="D2316" t="e">
        <f>NA()</f>
        <v>#N/A</v>
      </c>
      <c r="E2316" t="e">
        <f>NA()</f>
        <v>#N/A</v>
      </c>
      <c r="F2316" t="e">
        <f>NA()</f>
        <v>#N/A</v>
      </c>
      <c r="G2316" t="e">
        <f>NA()</f>
        <v>#N/A</v>
      </c>
      <c r="H2316" t="e">
        <f>NA()</f>
        <v>#N/A</v>
      </c>
      <c r="I2316" t="e">
        <f>NA()</f>
        <v>#N/A</v>
      </c>
      <c r="J2316" t="e">
        <f>NA()</f>
        <v>#N/A</v>
      </c>
      <c r="K2316" t="e">
        <f>NA()</f>
        <v>#N/A</v>
      </c>
      <c r="L2316" t="e">
        <f>NA()</f>
        <v>#N/A</v>
      </c>
      <c r="M2316" t="e">
        <f>NA()</f>
        <v>#N/A</v>
      </c>
      <c r="N2316" t="e">
        <f>NA()</f>
        <v>#N/A</v>
      </c>
      <c r="O2316">
        <f t="shared" si="94"/>
        <v>0.4</v>
      </c>
    </row>
    <row r="2317" spans="1:15" x14ac:dyDescent="0.25">
      <c r="A2317" s="1">
        <v>42662</v>
      </c>
      <c r="B2317" t="e">
        <f>NA()</f>
        <v>#N/A</v>
      </c>
      <c r="C2317" t="e">
        <f>NA()</f>
        <v>#N/A</v>
      </c>
      <c r="D2317" t="e">
        <f>NA()</f>
        <v>#N/A</v>
      </c>
      <c r="E2317" t="e">
        <f>NA()</f>
        <v>#N/A</v>
      </c>
      <c r="F2317" t="e">
        <f>NA()</f>
        <v>#N/A</v>
      </c>
      <c r="G2317" t="e">
        <f>NA()</f>
        <v>#N/A</v>
      </c>
      <c r="H2317" t="e">
        <f>NA()</f>
        <v>#N/A</v>
      </c>
      <c r="I2317" t="e">
        <f>NA()</f>
        <v>#N/A</v>
      </c>
      <c r="J2317" t="e">
        <f>NA()</f>
        <v>#N/A</v>
      </c>
      <c r="K2317" t="e">
        <f>NA()</f>
        <v>#N/A</v>
      </c>
      <c r="L2317" t="e">
        <f>NA()</f>
        <v>#N/A</v>
      </c>
      <c r="M2317" t="e">
        <f>NA()</f>
        <v>#N/A</v>
      </c>
      <c r="N2317" t="e">
        <f>NA()</f>
        <v>#N/A</v>
      </c>
      <c r="O2317">
        <f t="shared" si="94"/>
        <v>0.4</v>
      </c>
    </row>
    <row r="2318" spans="1:15" x14ac:dyDescent="0.25">
      <c r="A2318" s="1">
        <v>42661</v>
      </c>
      <c r="B2318" t="e">
        <f>NA()</f>
        <v>#N/A</v>
      </c>
      <c r="C2318" t="e">
        <f>NA()</f>
        <v>#N/A</v>
      </c>
      <c r="D2318" t="e">
        <f>NA()</f>
        <v>#N/A</v>
      </c>
      <c r="E2318" t="e">
        <f>NA()</f>
        <v>#N/A</v>
      </c>
      <c r="F2318" t="e">
        <f>NA()</f>
        <v>#N/A</v>
      </c>
      <c r="G2318" t="e">
        <f>NA()</f>
        <v>#N/A</v>
      </c>
      <c r="H2318" t="e">
        <f>NA()</f>
        <v>#N/A</v>
      </c>
      <c r="I2318" t="e">
        <f>NA()</f>
        <v>#N/A</v>
      </c>
      <c r="J2318" t="e">
        <f>NA()</f>
        <v>#N/A</v>
      </c>
      <c r="K2318" t="e">
        <f>NA()</f>
        <v>#N/A</v>
      </c>
      <c r="L2318" t="e">
        <f>NA()</f>
        <v>#N/A</v>
      </c>
      <c r="M2318" t="e">
        <f>NA()</f>
        <v>#N/A</v>
      </c>
      <c r="N2318" t="e">
        <f>NA()</f>
        <v>#N/A</v>
      </c>
      <c r="O2318">
        <f t="shared" si="94"/>
        <v>0.4</v>
      </c>
    </row>
    <row r="2319" spans="1:15" x14ac:dyDescent="0.25">
      <c r="A2319" s="1">
        <v>42660</v>
      </c>
      <c r="B2319" t="e">
        <f>NA()</f>
        <v>#N/A</v>
      </c>
      <c r="C2319" t="e">
        <f>NA()</f>
        <v>#N/A</v>
      </c>
      <c r="D2319" t="e">
        <f>NA()</f>
        <v>#N/A</v>
      </c>
      <c r="E2319" t="e">
        <f>NA()</f>
        <v>#N/A</v>
      </c>
      <c r="F2319" t="e">
        <f>NA()</f>
        <v>#N/A</v>
      </c>
      <c r="G2319" t="e">
        <f>NA()</f>
        <v>#N/A</v>
      </c>
      <c r="H2319" t="e">
        <f>NA()</f>
        <v>#N/A</v>
      </c>
      <c r="I2319" t="e">
        <f>NA()</f>
        <v>#N/A</v>
      </c>
      <c r="J2319" t="e">
        <f>NA()</f>
        <v>#N/A</v>
      </c>
      <c r="K2319" t="e">
        <f>NA()</f>
        <v>#N/A</v>
      </c>
      <c r="L2319" t="e">
        <f>NA()</f>
        <v>#N/A</v>
      </c>
      <c r="M2319" t="e">
        <f>NA()</f>
        <v>#N/A</v>
      </c>
      <c r="N2319" t="e">
        <f>NA()</f>
        <v>#N/A</v>
      </c>
      <c r="O2319">
        <f t="shared" si="94"/>
        <v>0.4</v>
      </c>
    </row>
    <row r="2320" spans="1:15" x14ac:dyDescent="0.25">
      <c r="A2320" s="1">
        <v>42657</v>
      </c>
      <c r="B2320">
        <f>0.2</f>
        <v>0.2</v>
      </c>
      <c r="C2320">
        <f>0</f>
        <v>0</v>
      </c>
      <c r="D2320" t="e">
        <f>NA()</f>
        <v>#N/A</v>
      </c>
      <c r="E2320" t="e">
        <f>NA()</f>
        <v>#N/A</v>
      </c>
      <c r="F2320" t="e">
        <f>NA()</f>
        <v>#N/A</v>
      </c>
      <c r="G2320" t="e">
        <f>NA()</f>
        <v>#N/A</v>
      </c>
      <c r="H2320" t="e">
        <f>NA()</f>
        <v>#N/A</v>
      </c>
      <c r="I2320" t="e">
        <f>NA()</f>
        <v>#N/A</v>
      </c>
      <c r="J2320" t="e">
        <f>NA()</f>
        <v>#N/A</v>
      </c>
      <c r="K2320" t="e">
        <f>NA()</f>
        <v>#N/A</v>
      </c>
      <c r="L2320" t="e">
        <f>NA()</f>
        <v>#N/A</v>
      </c>
      <c r="M2320" t="e">
        <f>NA()</f>
        <v>#N/A</v>
      </c>
      <c r="N2320" t="e">
        <f>NA()</f>
        <v>#N/A</v>
      </c>
      <c r="O2320">
        <f t="shared" si="94"/>
        <v>0.4</v>
      </c>
    </row>
    <row r="2321" spans="1:15" x14ac:dyDescent="0.25">
      <c r="A2321" s="1">
        <v>42656</v>
      </c>
      <c r="B2321" t="e">
        <f>NA()</f>
        <v>#N/A</v>
      </c>
      <c r="C2321" t="e">
        <f>NA()</f>
        <v>#N/A</v>
      </c>
      <c r="D2321" t="e">
        <f>NA()</f>
        <v>#N/A</v>
      </c>
      <c r="E2321" t="e">
        <f>NA()</f>
        <v>#N/A</v>
      </c>
      <c r="F2321" t="e">
        <f>NA()</f>
        <v>#N/A</v>
      </c>
      <c r="G2321" t="e">
        <f>NA()</f>
        <v>#N/A</v>
      </c>
      <c r="H2321" t="e">
        <f>NA()</f>
        <v>#N/A</v>
      </c>
      <c r="I2321" t="e">
        <f>NA()</f>
        <v>#N/A</v>
      </c>
      <c r="J2321" t="e">
        <f>NA()</f>
        <v>#N/A</v>
      </c>
      <c r="K2321" t="e">
        <f>NA()</f>
        <v>#N/A</v>
      </c>
      <c r="L2321" t="e">
        <f>NA()</f>
        <v>#N/A</v>
      </c>
      <c r="M2321" t="e">
        <f>NA()</f>
        <v>#N/A</v>
      </c>
      <c r="N2321" t="e">
        <f>NA()</f>
        <v>#N/A</v>
      </c>
      <c r="O2321">
        <f t="shared" si="94"/>
        <v>0.4</v>
      </c>
    </row>
    <row r="2322" spans="1:15" x14ac:dyDescent="0.25">
      <c r="A2322" s="1">
        <v>42655</v>
      </c>
      <c r="B2322" t="e">
        <f>NA()</f>
        <v>#N/A</v>
      </c>
      <c r="C2322" t="e">
        <f>NA()</f>
        <v>#N/A</v>
      </c>
      <c r="D2322" t="e">
        <f>NA()</f>
        <v>#N/A</v>
      </c>
      <c r="E2322" t="e">
        <f>NA()</f>
        <v>#N/A</v>
      </c>
      <c r="F2322" t="e">
        <f>NA()</f>
        <v>#N/A</v>
      </c>
      <c r="G2322" t="e">
        <f>NA()</f>
        <v>#N/A</v>
      </c>
      <c r="H2322" t="e">
        <f>NA()</f>
        <v>#N/A</v>
      </c>
      <c r="I2322" t="e">
        <f>NA()</f>
        <v>#N/A</v>
      </c>
      <c r="J2322" t="e">
        <f>NA()</f>
        <v>#N/A</v>
      </c>
      <c r="K2322" t="e">
        <f>NA()</f>
        <v>#N/A</v>
      </c>
      <c r="L2322" t="e">
        <f>NA()</f>
        <v>#N/A</v>
      </c>
      <c r="M2322" t="e">
        <f>NA()</f>
        <v>#N/A</v>
      </c>
      <c r="N2322" t="e">
        <f>NA()</f>
        <v>#N/A</v>
      </c>
      <c r="O2322">
        <f t="shared" si="94"/>
        <v>0.4</v>
      </c>
    </row>
    <row r="2323" spans="1:15" x14ac:dyDescent="0.25">
      <c r="A2323" s="1">
        <v>42654</v>
      </c>
      <c r="B2323" t="e">
        <f>NA()</f>
        <v>#N/A</v>
      </c>
      <c r="C2323" t="e">
        <f>NA()</f>
        <v>#N/A</v>
      </c>
      <c r="D2323" t="e">
        <f>NA()</f>
        <v>#N/A</v>
      </c>
      <c r="E2323" t="e">
        <f>NA()</f>
        <v>#N/A</v>
      </c>
      <c r="F2323" t="e">
        <f>NA()</f>
        <v>#N/A</v>
      </c>
      <c r="G2323" t="e">
        <f>NA()</f>
        <v>#N/A</v>
      </c>
      <c r="H2323" t="e">
        <f>NA()</f>
        <v>#N/A</v>
      </c>
      <c r="I2323" t="e">
        <f>NA()</f>
        <v>#N/A</v>
      </c>
      <c r="J2323" t="e">
        <f>NA()</f>
        <v>#N/A</v>
      </c>
      <c r="K2323" t="e">
        <f>NA()</f>
        <v>#N/A</v>
      </c>
      <c r="L2323" t="e">
        <f>NA()</f>
        <v>#N/A</v>
      </c>
      <c r="M2323" t="e">
        <f>NA()</f>
        <v>#N/A</v>
      </c>
      <c r="N2323" t="e">
        <f>NA()</f>
        <v>#N/A</v>
      </c>
      <c r="O2323">
        <f t="shared" si="94"/>
        <v>0.4</v>
      </c>
    </row>
    <row r="2324" spans="1:15" x14ac:dyDescent="0.25">
      <c r="A2324" s="1">
        <v>42650</v>
      </c>
      <c r="B2324">
        <f>0.1</f>
        <v>0.1</v>
      </c>
      <c r="C2324">
        <f>0</f>
        <v>0</v>
      </c>
      <c r="D2324" t="e">
        <f>NA()</f>
        <v>#N/A</v>
      </c>
      <c r="E2324" t="e">
        <f>NA()</f>
        <v>#N/A</v>
      </c>
      <c r="F2324" t="e">
        <f>NA()</f>
        <v>#N/A</v>
      </c>
      <c r="G2324" t="e">
        <f>NA()</f>
        <v>#N/A</v>
      </c>
      <c r="H2324" t="e">
        <f>NA()</f>
        <v>#N/A</v>
      </c>
      <c r="I2324" t="e">
        <f>NA()</f>
        <v>#N/A</v>
      </c>
      <c r="J2324" t="e">
        <f>NA()</f>
        <v>#N/A</v>
      </c>
      <c r="K2324" t="e">
        <f>NA()</f>
        <v>#N/A</v>
      </c>
      <c r="L2324" t="e">
        <f>NA()</f>
        <v>#N/A</v>
      </c>
      <c r="M2324" t="e">
        <f>NA()</f>
        <v>#N/A</v>
      </c>
      <c r="N2324" t="e">
        <f>NA()</f>
        <v>#N/A</v>
      </c>
      <c r="O2324">
        <f t="shared" si="94"/>
        <v>0.4</v>
      </c>
    </row>
    <row r="2325" spans="1:15" x14ac:dyDescent="0.25">
      <c r="A2325" s="1">
        <v>42649</v>
      </c>
      <c r="B2325" t="e">
        <f>NA()</f>
        <v>#N/A</v>
      </c>
      <c r="C2325" t="e">
        <f>NA()</f>
        <v>#N/A</v>
      </c>
      <c r="D2325" t="e">
        <f>NA()</f>
        <v>#N/A</v>
      </c>
      <c r="E2325" t="e">
        <f>NA()</f>
        <v>#N/A</v>
      </c>
      <c r="F2325" t="e">
        <f>NA()</f>
        <v>#N/A</v>
      </c>
      <c r="G2325" t="e">
        <f>NA()</f>
        <v>#N/A</v>
      </c>
      <c r="H2325" t="e">
        <f>NA()</f>
        <v>#N/A</v>
      </c>
      <c r="I2325" t="e">
        <f>NA()</f>
        <v>#N/A</v>
      </c>
      <c r="J2325" t="e">
        <f>NA()</f>
        <v>#N/A</v>
      </c>
      <c r="K2325" t="e">
        <f>NA()</f>
        <v>#N/A</v>
      </c>
      <c r="L2325" t="e">
        <f>NA()</f>
        <v>#N/A</v>
      </c>
      <c r="M2325" t="e">
        <f>NA()</f>
        <v>#N/A</v>
      </c>
      <c r="N2325" t="e">
        <f>NA()</f>
        <v>#N/A</v>
      </c>
      <c r="O2325">
        <f t="shared" si="94"/>
        <v>0.4</v>
      </c>
    </row>
    <row r="2326" spans="1:15" x14ac:dyDescent="0.25">
      <c r="A2326" s="1">
        <v>42648</v>
      </c>
      <c r="B2326" t="e">
        <f>NA()</f>
        <v>#N/A</v>
      </c>
      <c r="C2326" t="e">
        <f>NA()</f>
        <v>#N/A</v>
      </c>
      <c r="D2326" t="e">
        <f>NA()</f>
        <v>#N/A</v>
      </c>
      <c r="E2326" t="e">
        <f>NA()</f>
        <v>#N/A</v>
      </c>
      <c r="F2326" t="e">
        <f>NA()</f>
        <v>#N/A</v>
      </c>
      <c r="G2326" t="e">
        <f>NA()</f>
        <v>#N/A</v>
      </c>
      <c r="H2326" t="e">
        <f>NA()</f>
        <v>#N/A</v>
      </c>
      <c r="I2326" t="e">
        <f>NA()</f>
        <v>#N/A</v>
      </c>
      <c r="J2326" t="e">
        <f>NA()</f>
        <v>#N/A</v>
      </c>
      <c r="K2326" t="e">
        <f>NA()</f>
        <v>#N/A</v>
      </c>
      <c r="L2326" t="e">
        <f>NA()</f>
        <v>#N/A</v>
      </c>
      <c r="M2326" t="e">
        <f>NA()</f>
        <v>#N/A</v>
      </c>
      <c r="N2326" t="e">
        <f>NA()</f>
        <v>#N/A</v>
      </c>
      <c r="O2326">
        <f t="shared" si="94"/>
        <v>0.4</v>
      </c>
    </row>
    <row r="2327" spans="1:15" x14ac:dyDescent="0.25">
      <c r="A2327" s="1">
        <v>42647</v>
      </c>
      <c r="B2327" t="e">
        <f>NA()</f>
        <v>#N/A</v>
      </c>
      <c r="C2327" t="e">
        <f>NA()</f>
        <v>#N/A</v>
      </c>
      <c r="D2327" t="e">
        <f>NA()</f>
        <v>#N/A</v>
      </c>
      <c r="E2327" t="e">
        <f>NA()</f>
        <v>#N/A</v>
      </c>
      <c r="F2327" t="e">
        <f>NA()</f>
        <v>#N/A</v>
      </c>
      <c r="G2327" t="e">
        <f>NA()</f>
        <v>#N/A</v>
      </c>
      <c r="H2327" t="e">
        <f>NA()</f>
        <v>#N/A</v>
      </c>
      <c r="I2327" t="e">
        <f>NA()</f>
        <v>#N/A</v>
      </c>
      <c r="J2327" t="e">
        <f>NA()</f>
        <v>#N/A</v>
      </c>
      <c r="K2327" t="e">
        <f>NA()</f>
        <v>#N/A</v>
      </c>
      <c r="L2327" t="e">
        <f>NA()</f>
        <v>#N/A</v>
      </c>
      <c r="M2327" t="e">
        <f>NA()</f>
        <v>#N/A</v>
      </c>
      <c r="N2327" t="e">
        <f>NA()</f>
        <v>#N/A</v>
      </c>
      <c r="O2327">
        <f t="shared" si="94"/>
        <v>0.4</v>
      </c>
    </row>
    <row r="2328" spans="1:15" x14ac:dyDescent="0.25">
      <c r="A2328" s="1">
        <v>42646</v>
      </c>
      <c r="B2328" t="e">
        <f>NA()</f>
        <v>#N/A</v>
      </c>
      <c r="C2328" t="e">
        <f>NA()</f>
        <v>#N/A</v>
      </c>
      <c r="D2328" t="e">
        <f>NA()</f>
        <v>#N/A</v>
      </c>
      <c r="E2328" t="e">
        <f>NA()</f>
        <v>#N/A</v>
      </c>
      <c r="F2328" t="e">
        <f>NA()</f>
        <v>#N/A</v>
      </c>
      <c r="G2328" t="e">
        <f>NA()</f>
        <v>#N/A</v>
      </c>
      <c r="H2328" t="e">
        <f>NA()</f>
        <v>#N/A</v>
      </c>
      <c r="I2328" t="e">
        <f>NA()</f>
        <v>#N/A</v>
      </c>
      <c r="J2328" t="e">
        <f>NA()</f>
        <v>#N/A</v>
      </c>
      <c r="K2328" t="e">
        <f>NA()</f>
        <v>#N/A</v>
      </c>
      <c r="L2328" t="e">
        <f>NA()</f>
        <v>#N/A</v>
      </c>
      <c r="M2328" t="e">
        <f>NA()</f>
        <v>#N/A</v>
      </c>
      <c r="N2328" t="e">
        <f>NA()</f>
        <v>#N/A</v>
      </c>
      <c r="O2328">
        <f t="shared" si="94"/>
        <v>0.4</v>
      </c>
    </row>
    <row r="2329" spans="1:15" x14ac:dyDescent="0.25">
      <c r="A2329" s="1">
        <v>42643</v>
      </c>
      <c r="B2329">
        <f>0.3</f>
        <v>0.3</v>
      </c>
      <c r="C2329">
        <f>0</f>
        <v>0</v>
      </c>
      <c r="D2329">
        <f>0.2</f>
        <v>0.2</v>
      </c>
      <c r="E2329">
        <f>1.1</f>
        <v>1.1000000000000001</v>
      </c>
      <c r="F2329">
        <f>5868</f>
        <v>5868</v>
      </c>
      <c r="G2329">
        <f>62.9</f>
        <v>62.9</v>
      </c>
      <c r="H2329">
        <f>3.7</f>
        <v>3.7</v>
      </c>
      <c r="I2329">
        <f>241.4</f>
        <v>241.4</v>
      </c>
      <c r="J2329">
        <f>1.5</f>
        <v>1.5</v>
      </c>
      <c r="K2329">
        <f>51.1</f>
        <v>51.1</v>
      </c>
      <c r="L2329">
        <f>-0.1</f>
        <v>-0.1</v>
      </c>
      <c r="M2329">
        <f>2.9</f>
        <v>2.9</v>
      </c>
      <c r="N2329">
        <f>5</f>
        <v>5</v>
      </c>
      <c r="O2329">
        <f>0.3</f>
        <v>0.3</v>
      </c>
    </row>
    <row r="2330" spans="1:15" x14ac:dyDescent="0.25">
      <c r="A2330" s="1">
        <v>42642</v>
      </c>
      <c r="B2330" t="e">
        <f>NA()</f>
        <v>#N/A</v>
      </c>
      <c r="C2330" t="e">
        <f>NA()</f>
        <v>#N/A</v>
      </c>
      <c r="D2330" t="e">
        <f>NA()</f>
        <v>#N/A</v>
      </c>
      <c r="E2330" t="e">
        <f>NA()</f>
        <v>#N/A</v>
      </c>
      <c r="F2330" t="e">
        <f>NA()</f>
        <v>#N/A</v>
      </c>
      <c r="G2330" t="e">
        <f>NA()</f>
        <v>#N/A</v>
      </c>
      <c r="H2330" t="e">
        <f>NA()</f>
        <v>#N/A</v>
      </c>
      <c r="I2330" t="e">
        <f>NA()</f>
        <v>#N/A</v>
      </c>
      <c r="J2330" t="e">
        <f>NA()</f>
        <v>#N/A</v>
      </c>
      <c r="K2330" t="e">
        <f>NA()</f>
        <v>#N/A</v>
      </c>
      <c r="L2330" t="e">
        <f>NA()</f>
        <v>#N/A</v>
      </c>
      <c r="M2330" t="e">
        <f>NA()</f>
        <v>#N/A</v>
      </c>
      <c r="N2330" t="e">
        <f>NA()</f>
        <v>#N/A</v>
      </c>
      <c r="O2330">
        <f t="shared" ref="O2330:O2349" si="95">0.4</f>
        <v>0.4</v>
      </c>
    </row>
    <row r="2331" spans="1:15" x14ac:dyDescent="0.25">
      <c r="A2331" s="1">
        <v>42641</v>
      </c>
      <c r="B2331" t="e">
        <f>NA()</f>
        <v>#N/A</v>
      </c>
      <c r="C2331" t="e">
        <f>NA()</f>
        <v>#N/A</v>
      </c>
      <c r="D2331" t="e">
        <f>NA()</f>
        <v>#N/A</v>
      </c>
      <c r="E2331" t="e">
        <f>NA()</f>
        <v>#N/A</v>
      </c>
      <c r="F2331" t="e">
        <f>NA()</f>
        <v>#N/A</v>
      </c>
      <c r="G2331" t="e">
        <f>NA()</f>
        <v>#N/A</v>
      </c>
      <c r="H2331" t="e">
        <f>NA()</f>
        <v>#N/A</v>
      </c>
      <c r="I2331" t="e">
        <f>NA()</f>
        <v>#N/A</v>
      </c>
      <c r="J2331" t="e">
        <f>NA()</f>
        <v>#N/A</v>
      </c>
      <c r="K2331" t="e">
        <f>NA()</f>
        <v>#N/A</v>
      </c>
      <c r="L2331" t="e">
        <f>NA()</f>
        <v>#N/A</v>
      </c>
      <c r="M2331" t="e">
        <f>NA()</f>
        <v>#N/A</v>
      </c>
      <c r="N2331" t="e">
        <f>NA()</f>
        <v>#N/A</v>
      </c>
      <c r="O2331">
        <f t="shared" si="95"/>
        <v>0.4</v>
      </c>
    </row>
    <row r="2332" spans="1:15" x14ac:dyDescent="0.25">
      <c r="A2332" s="1">
        <v>42640</v>
      </c>
      <c r="B2332" t="e">
        <f>NA()</f>
        <v>#N/A</v>
      </c>
      <c r="C2332" t="e">
        <f>NA()</f>
        <v>#N/A</v>
      </c>
      <c r="D2332" t="e">
        <f>NA()</f>
        <v>#N/A</v>
      </c>
      <c r="E2332" t="e">
        <f>NA()</f>
        <v>#N/A</v>
      </c>
      <c r="F2332" t="e">
        <f>NA()</f>
        <v>#N/A</v>
      </c>
      <c r="G2332" t="e">
        <f>NA()</f>
        <v>#N/A</v>
      </c>
      <c r="H2332" t="e">
        <f>NA()</f>
        <v>#N/A</v>
      </c>
      <c r="I2332" t="e">
        <f>NA()</f>
        <v>#N/A</v>
      </c>
      <c r="J2332" t="e">
        <f>NA()</f>
        <v>#N/A</v>
      </c>
      <c r="K2332" t="e">
        <f>NA()</f>
        <v>#N/A</v>
      </c>
      <c r="L2332" t="e">
        <f>NA()</f>
        <v>#N/A</v>
      </c>
      <c r="M2332" t="e">
        <f>NA()</f>
        <v>#N/A</v>
      </c>
      <c r="N2332" t="e">
        <f>NA()</f>
        <v>#N/A</v>
      </c>
      <c r="O2332">
        <f t="shared" si="95"/>
        <v>0.4</v>
      </c>
    </row>
    <row r="2333" spans="1:15" x14ac:dyDescent="0.25">
      <c r="A2333" s="1">
        <v>42639</v>
      </c>
      <c r="B2333" t="e">
        <f>NA()</f>
        <v>#N/A</v>
      </c>
      <c r="C2333" t="e">
        <f>NA()</f>
        <v>#N/A</v>
      </c>
      <c r="D2333" t="e">
        <f>NA()</f>
        <v>#N/A</v>
      </c>
      <c r="E2333" t="e">
        <f>NA()</f>
        <v>#N/A</v>
      </c>
      <c r="F2333" t="e">
        <f>NA()</f>
        <v>#N/A</v>
      </c>
      <c r="G2333" t="e">
        <f>NA()</f>
        <v>#N/A</v>
      </c>
      <c r="H2333" t="e">
        <f>NA()</f>
        <v>#N/A</v>
      </c>
      <c r="I2333" t="e">
        <f>NA()</f>
        <v>#N/A</v>
      </c>
      <c r="J2333" t="e">
        <f>NA()</f>
        <v>#N/A</v>
      </c>
      <c r="K2333" t="e">
        <f>NA()</f>
        <v>#N/A</v>
      </c>
      <c r="L2333" t="e">
        <f>NA()</f>
        <v>#N/A</v>
      </c>
      <c r="M2333" t="e">
        <f>NA()</f>
        <v>#N/A</v>
      </c>
      <c r="N2333" t="e">
        <f>NA()</f>
        <v>#N/A</v>
      </c>
      <c r="O2333">
        <f t="shared" si="95"/>
        <v>0.4</v>
      </c>
    </row>
    <row r="2334" spans="1:15" x14ac:dyDescent="0.25">
      <c r="A2334" s="1">
        <v>42636</v>
      </c>
      <c r="B2334">
        <f>0.3</f>
        <v>0.3</v>
      </c>
      <c r="C2334">
        <f>0</f>
        <v>0</v>
      </c>
      <c r="D2334" t="e">
        <f>NA()</f>
        <v>#N/A</v>
      </c>
      <c r="E2334" t="e">
        <f>NA()</f>
        <v>#N/A</v>
      </c>
      <c r="F2334" t="e">
        <f>NA()</f>
        <v>#N/A</v>
      </c>
      <c r="G2334" t="e">
        <f>NA()</f>
        <v>#N/A</v>
      </c>
      <c r="H2334" t="e">
        <f>NA()</f>
        <v>#N/A</v>
      </c>
      <c r="I2334" t="e">
        <f>NA()</f>
        <v>#N/A</v>
      </c>
      <c r="J2334" t="e">
        <f>NA()</f>
        <v>#N/A</v>
      </c>
      <c r="K2334" t="e">
        <f>NA()</f>
        <v>#N/A</v>
      </c>
      <c r="L2334" t="e">
        <f>NA()</f>
        <v>#N/A</v>
      </c>
      <c r="M2334" t="e">
        <f>NA()</f>
        <v>#N/A</v>
      </c>
      <c r="N2334" t="e">
        <f>NA()</f>
        <v>#N/A</v>
      </c>
      <c r="O2334">
        <f t="shared" si="95"/>
        <v>0.4</v>
      </c>
    </row>
    <row r="2335" spans="1:15" x14ac:dyDescent="0.25">
      <c r="A2335" s="1">
        <v>42635</v>
      </c>
      <c r="B2335" t="e">
        <f>NA()</f>
        <v>#N/A</v>
      </c>
      <c r="C2335" t="e">
        <f>NA()</f>
        <v>#N/A</v>
      </c>
      <c r="D2335" t="e">
        <f>NA()</f>
        <v>#N/A</v>
      </c>
      <c r="E2335" t="e">
        <f>NA()</f>
        <v>#N/A</v>
      </c>
      <c r="F2335" t="e">
        <f>NA()</f>
        <v>#N/A</v>
      </c>
      <c r="G2335" t="e">
        <f>NA()</f>
        <v>#N/A</v>
      </c>
      <c r="H2335" t="e">
        <f>NA()</f>
        <v>#N/A</v>
      </c>
      <c r="I2335" t="e">
        <f>NA()</f>
        <v>#N/A</v>
      </c>
      <c r="J2335" t="e">
        <f>NA()</f>
        <v>#N/A</v>
      </c>
      <c r="K2335" t="e">
        <f>NA()</f>
        <v>#N/A</v>
      </c>
      <c r="L2335" t="e">
        <f>NA()</f>
        <v>#N/A</v>
      </c>
      <c r="M2335" t="e">
        <f>NA()</f>
        <v>#N/A</v>
      </c>
      <c r="N2335" t="e">
        <f>NA()</f>
        <v>#N/A</v>
      </c>
      <c r="O2335">
        <f t="shared" si="95"/>
        <v>0.4</v>
      </c>
    </row>
    <row r="2336" spans="1:15" x14ac:dyDescent="0.25">
      <c r="A2336" s="1">
        <v>42634</v>
      </c>
      <c r="B2336" t="e">
        <f>NA()</f>
        <v>#N/A</v>
      </c>
      <c r="C2336" t="e">
        <f>NA()</f>
        <v>#N/A</v>
      </c>
      <c r="D2336" t="e">
        <f>NA()</f>
        <v>#N/A</v>
      </c>
      <c r="E2336" t="e">
        <f>NA()</f>
        <v>#N/A</v>
      </c>
      <c r="F2336" t="e">
        <f>NA()</f>
        <v>#N/A</v>
      </c>
      <c r="G2336" t="e">
        <f>NA()</f>
        <v>#N/A</v>
      </c>
      <c r="H2336" t="e">
        <f>NA()</f>
        <v>#N/A</v>
      </c>
      <c r="I2336" t="e">
        <f>NA()</f>
        <v>#N/A</v>
      </c>
      <c r="J2336" t="e">
        <f>NA()</f>
        <v>#N/A</v>
      </c>
      <c r="K2336" t="e">
        <f>NA()</f>
        <v>#N/A</v>
      </c>
      <c r="L2336" t="e">
        <f>NA()</f>
        <v>#N/A</v>
      </c>
      <c r="M2336" t="e">
        <f>NA()</f>
        <v>#N/A</v>
      </c>
      <c r="N2336" t="e">
        <f>NA()</f>
        <v>#N/A</v>
      </c>
      <c r="O2336">
        <f t="shared" si="95"/>
        <v>0.4</v>
      </c>
    </row>
    <row r="2337" spans="1:15" x14ac:dyDescent="0.25">
      <c r="A2337" s="1">
        <v>42633</v>
      </c>
      <c r="B2337" t="e">
        <f>NA()</f>
        <v>#N/A</v>
      </c>
      <c r="C2337" t="e">
        <f>NA()</f>
        <v>#N/A</v>
      </c>
      <c r="D2337" t="e">
        <f>NA()</f>
        <v>#N/A</v>
      </c>
      <c r="E2337" t="e">
        <f>NA()</f>
        <v>#N/A</v>
      </c>
      <c r="F2337" t="e">
        <f>NA()</f>
        <v>#N/A</v>
      </c>
      <c r="G2337" t="e">
        <f>NA()</f>
        <v>#N/A</v>
      </c>
      <c r="H2337" t="e">
        <f>NA()</f>
        <v>#N/A</v>
      </c>
      <c r="I2337" t="e">
        <f>NA()</f>
        <v>#N/A</v>
      </c>
      <c r="J2337" t="e">
        <f>NA()</f>
        <v>#N/A</v>
      </c>
      <c r="K2337" t="e">
        <f>NA()</f>
        <v>#N/A</v>
      </c>
      <c r="L2337" t="e">
        <f>NA()</f>
        <v>#N/A</v>
      </c>
      <c r="M2337" t="e">
        <f>NA()</f>
        <v>#N/A</v>
      </c>
      <c r="N2337" t="e">
        <f>NA()</f>
        <v>#N/A</v>
      </c>
      <c r="O2337">
        <f t="shared" si="95"/>
        <v>0.4</v>
      </c>
    </row>
    <row r="2338" spans="1:15" x14ac:dyDescent="0.25">
      <c r="A2338" s="1">
        <v>42632</v>
      </c>
      <c r="B2338" t="e">
        <f>NA()</f>
        <v>#N/A</v>
      </c>
      <c r="C2338" t="e">
        <f>NA()</f>
        <v>#N/A</v>
      </c>
      <c r="D2338" t="e">
        <f>NA()</f>
        <v>#N/A</v>
      </c>
      <c r="E2338" t="e">
        <f>NA()</f>
        <v>#N/A</v>
      </c>
      <c r="F2338" t="e">
        <f>NA()</f>
        <v>#N/A</v>
      </c>
      <c r="G2338" t="e">
        <f>NA()</f>
        <v>#N/A</v>
      </c>
      <c r="H2338" t="e">
        <f>NA()</f>
        <v>#N/A</v>
      </c>
      <c r="I2338" t="e">
        <f>NA()</f>
        <v>#N/A</v>
      </c>
      <c r="J2338" t="e">
        <f>NA()</f>
        <v>#N/A</v>
      </c>
      <c r="K2338" t="e">
        <f>NA()</f>
        <v>#N/A</v>
      </c>
      <c r="L2338" t="e">
        <f>NA()</f>
        <v>#N/A</v>
      </c>
      <c r="M2338" t="e">
        <f>NA()</f>
        <v>#N/A</v>
      </c>
      <c r="N2338" t="e">
        <f>NA()</f>
        <v>#N/A</v>
      </c>
      <c r="O2338">
        <f t="shared" si="95"/>
        <v>0.4</v>
      </c>
    </row>
    <row r="2339" spans="1:15" x14ac:dyDescent="0.25">
      <c r="A2339" s="1">
        <v>42629</v>
      </c>
      <c r="B2339">
        <f>0.5</f>
        <v>0.5</v>
      </c>
      <c r="C2339">
        <f>0</f>
        <v>0</v>
      </c>
      <c r="D2339" t="e">
        <f>NA()</f>
        <v>#N/A</v>
      </c>
      <c r="E2339" t="e">
        <f>NA()</f>
        <v>#N/A</v>
      </c>
      <c r="F2339" t="e">
        <f>NA()</f>
        <v>#N/A</v>
      </c>
      <c r="G2339" t="e">
        <f>NA()</f>
        <v>#N/A</v>
      </c>
      <c r="H2339" t="e">
        <f>NA()</f>
        <v>#N/A</v>
      </c>
      <c r="I2339" t="e">
        <f>NA()</f>
        <v>#N/A</v>
      </c>
      <c r="J2339" t="e">
        <f>NA()</f>
        <v>#N/A</v>
      </c>
      <c r="K2339" t="e">
        <f>NA()</f>
        <v>#N/A</v>
      </c>
      <c r="L2339" t="e">
        <f>NA()</f>
        <v>#N/A</v>
      </c>
      <c r="M2339" t="e">
        <f>NA()</f>
        <v>#N/A</v>
      </c>
      <c r="N2339" t="e">
        <f>NA()</f>
        <v>#N/A</v>
      </c>
      <c r="O2339">
        <f t="shared" si="95"/>
        <v>0.4</v>
      </c>
    </row>
    <row r="2340" spans="1:15" x14ac:dyDescent="0.25">
      <c r="A2340" s="1">
        <v>42628</v>
      </c>
      <c r="B2340" t="e">
        <f>NA()</f>
        <v>#N/A</v>
      </c>
      <c r="C2340" t="e">
        <f>NA()</f>
        <v>#N/A</v>
      </c>
      <c r="D2340" t="e">
        <f>NA()</f>
        <v>#N/A</v>
      </c>
      <c r="E2340" t="e">
        <f>NA()</f>
        <v>#N/A</v>
      </c>
      <c r="F2340" t="e">
        <f>NA()</f>
        <v>#N/A</v>
      </c>
      <c r="G2340" t="e">
        <f>NA()</f>
        <v>#N/A</v>
      </c>
      <c r="H2340" t="e">
        <f>NA()</f>
        <v>#N/A</v>
      </c>
      <c r="I2340" t="e">
        <f>NA()</f>
        <v>#N/A</v>
      </c>
      <c r="J2340" t="e">
        <f>NA()</f>
        <v>#N/A</v>
      </c>
      <c r="K2340" t="e">
        <f>NA()</f>
        <v>#N/A</v>
      </c>
      <c r="L2340" t="e">
        <f>NA()</f>
        <v>#N/A</v>
      </c>
      <c r="M2340" t="e">
        <f>NA()</f>
        <v>#N/A</v>
      </c>
      <c r="N2340" t="e">
        <f>NA()</f>
        <v>#N/A</v>
      </c>
      <c r="O2340">
        <f t="shared" si="95"/>
        <v>0.4</v>
      </c>
    </row>
    <row r="2341" spans="1:15" x14ac:dyDescent="0.25">
      <c r="A2341" s="1">
        <v>42627</v>
      </c>
      <c r="B2341" t="e">
        <f>NA()</f>
        <v>#N/A</v>
      </c>
      <c r="C2341" t="e">
        <f>NA()</f>
        <v>#N/A</v>
      </c>
      <c r="D2341" t="e">
        <f>NA()</f>
        <v>#N/A</v>
      </c>
      <c r="E2341" t="e">
        <f>NA()</f>
        <v>#N/A</v>
      </c>
      <c r="F2341" t="e">
        <f>NA()</f>
        <v>#N/A</v>
      </c>
      <c r="G2341" t="e">
        <f>NA()</f>
        <v>#N/A</v>
      </c>
      <c r="H2341" t="e">
        <f>NA()</f>
        <v>#N/A</v>
      </c>
      <c r="I2341" t="e">
        <f>NA()</f>
        <v>#N/A</v>
      </c>
      <c r="J2341" t="e">
        <f>NA()</f>
        <v>#N/A</v>
      </c>
      <c r="K2341" t="e">
        <f>NA()</f>
        <v>#N/A</v>
      </c>
      <c r="L2341" t="e">
        <f>NA()</f>
        <v>#N/A</v>
      </c>
      <c r="M2341" t="e">
        <f>NA()</f>
        <v>#N/A</v>
      </c>
      <c r="N2341" t="e">
        <f>NA()</f>
        <v>#N/A</v>
      </c>
      <c r="O2341">
        <f t="shared" si="95"/>
        <v>0.4</v>
      </c>
    </row>
    <row r="2342" spans="1:15" x14ac:dyDescent="0.25">
      <c r="A2342" s="1">
        <v>42626</v>
      </c>
      <c r="B2342" t="e">
        <f>NA()</f>
        <v>#N/A</v>
      </c>
      <c r="C2342" t="e">
        <f>NA()</f>
        <v>#N/A</v>
      </c>
      <c r="D2342" t="e">
        <f>NA()</f>
        <v>#N/A</v>
      </c>
      <c r="E2342" t="e">
        <f>NA()</f>
        <v>#N/A</v>
      </c>
      <c r="F2342" t="e">
        <f>NA()</f>
        <v>#N/A</v>
      </c>
      <c r="G2342" t="e">
        <f>NA()</f>
        <v>#N/A</v>
      </c>
      <c r="H2342" t="e">
        <f>NA()</f>
        <v>#N/A</v>
      </c>
      <c r="I2342" t="e">
        <f>NA()</f>
        <v>#N/A</v>
      </c>
      <c r="J2342" t="e">
        <f>NA()</f>
        <v>#N/A</v>
      </c>
      <c r="K2342" t="e">
        <f>NA()</f>
        <v>#N/A</v>
      </c>
      <c r="L2342" t="e">
        <f>NA()</f>
        <v>#N/A</v>
      </c>
      <c r="M2342" t="e">
        <f>NA()</f>
        <v>#N/A</v>
      </c>
      <c r="N2342" t="e">
        <f>NA()</f>
        <v>#N/A</v>
      </c>
      <c r="O2342">
        <f t="shared" si="95"/>
        <v>0.4</v>
      </c>
    </row>
    <row r="2343" spans="1:15" x14ac:dyDescent="0.25">
      <c r="A2343" s="1">
        <v>42625</v>
      </c>
      <c r="B2343" t="e">
        <f>NA()</f>
        <v>#N/A</v>
      </c>
      <c r="C2343" t="e">
        <f>NA()</f>
        <v>#N/A</v>
      </c>
      <c r="D2343" t="e">
        <f>NA()</f>
        <v>#N/A</v>
      </c>
      <c r="E2343" t="e">
        <f>NA()</f>
        <v>#N/A</v>
      </c>
      <c r="F2343" t="e">
        <f>NA()</f>
        <v>#N/A</v>
      </c>
      <c r="G2343" t="e">
        <f>NA()</f>
        <v>#N/A</v>
      </c>
      <c r="H2343" t="e">
        <f>NA()</f>
        <v>#N/A</v>
      </c>
      <c r="I2343" t="e">
        <f>NA()</f>
        <v>#N/A</v>
      </c>
      <c r="J2343" t="e">
        <f>NA()</f>
        <v>#N/A</v>
      </c>
      <c r="K2343" t="e">
        <f>NA()</f>
        <v>#N/A</v>
      </c>
      <c r="L2343" t="e">
        <f>NA()</f>
        <v>#N/A</v>
      </c>
      <c r="M2343" t="e">
        <f>NA()</f>
        <v>#N/A</v>
      </c>
      <c r="N2343" t="e">
        <f>NA()</f>
        <v>#N/A</v>
      </c>
      <c r="O2343">
        <f t="shared" si="95"/>
        <v>0.4</v>
      </c>
    </row>
    <row r="2344" spans="1:15" x14ac:dyDescent="0.25">
      <c r="A2344" s="1">
        <v>42622</v>
      </c>
      <c r="B2344">
        <f>0.3</f>
        <v>0.3</v>
      </c>
      <c r="C2344">
        <f>0</f>
        <v>0</v>
      </c>
      <c r="D2344" t="e">
        <f>NA()</f>
        <v>#N/A</v>
      </c>
      <c r="E2344" t="e">
        <f>NA()</f>
        <v>#N/A</v>
      </c>
      <c r="F2344" t="e">
        <f>NA()</f>
        <v>#N/A</v>
      </c>
      <c r="G2344" t="e">
        <f>NA()</f>
        <v>#N/A</v>
      </c>
      <c r="H2344" t="e">
        <f>NA()</f>
        <v>#N/A</v>
      </c>
      <c r="I2344" t="e">
        <f>NA()</f>
        <v>#N/A</v>
      </c>
      <c r="J2344" t="e">
        <f>NA()</f>
        <v>#N/A</v>
      </c>
      <c r="K2344" t="e">
        <f>NA()</f>
        <v>#N/A</v>
      </c>
      <c r="L2344" t="e">
        <f>NA()</f>
        <v>#N/A</v>
      </c>
      <c r="M2344" t="e">
        <f>NA()</f>
        <v>#N/A</v>
      </c>
      <c r="N2344" t="e">
        <f>NA()</f>
        <v>#N/A</v>
      </c>
      <c r="O2344">
        <f t="shared" si="95"/>
        <v>0.4</v>
      </c>
    </row>
    <row r="2345" spans="1:15" x14ac:dyDescent="0.25">
      <c r="A2345" s="1">
        <v>42621</v>
      </c>
      <c r="B2345" t="e">
        <f>NA()</f>
        <v>#N/A</v>
      </c>
      <c r="C2345" t="e">
        <f>NA()</f>
        <v>#N/A</v>
      </c>
      <c r="D2345" t="e">
        <f>NA()</f>
        <v>#N/A</v>
      </c>
      <c r="E2345" t="e">
        <f>NA()</f>
        <v>#N/A</v>
      </c>
      <c r="F2345" t="e">
        <f>NA()</f>
        <v>#N/A</v>
      </c>
      <c r="G2345" t="e">
        <f>NA()</f>
        <v>#N/A</v>
      </c>
      <c r="H2345" t="e">
        <f>NA()</f>
        <v>#N/A</v>
      </c>
      <c r="I2345" t="e">
        <f>NA()</f>
        <v>#N/A</v>
      </c>
      <c r="J2345" t="e">
        <f>NA()</f>
        <v>#N/A</v>
      </c>
      <c r="K2345" t="e">
        <f>NA()</f>
        <v>#N/A</v>
      </c>
      <c r="L2345" t="e">
        <f>NA()</f>
        <v>#N/A</v>
      </c>
      <c r="M2345" t="e">
        <f>NA()</f>
        <v>#N/A</v>
      </c>
      <c r="N2345" t="e">
        <f>NA()</f>
        <v>#N/A</v>
      </c>
      <c r="O2345">
        <f t="shared" si="95"/>
        <v>0.4</v>
      </c>
    </row>
    <row r="2346" spans="1:15" x14ac:dyDescent="0.25">
      <c r="A2346" s="1">
        <v>42620</v>
      </c>
      <c r="B2346" t="e">
        <f>NA()</f>
        <v>#N/A</v>
      </c>
      <c r="C2346" t="e">
        <f>NA()</f>
        <v>#N/A</v>
      </c>
      <c r="D2346" t="e">
        <f>NA()</f>
        <v>#N/A</v>
      </c>
      <c r="E2346" t="e">
        <f>NA()</f>
        <v>#N/A</v>
      </c>
      <c r="F2346" t="e">
        <f>NA()</f>
        <v>#N/A</v>
      </c>
      <c r="G2346" t="e">
        <f>NA()</f>
        <v>#N/A</v>
      </c>
      <c r="H2346" t="e">
        <f>NA()</f>
        <v>#N/A</v>
      </c>
      <c r="I2346" t="e">
        <f>NA()</f>
        <v>#N/A</v>
      </c>
      <c r="J2346" t="e">
        <f>NA()</f>
        <v>#N/A</v>
      </c>
      <c r="K2346" t="e">
        <f>NA()</f>
        <v>#N/A</v>
      </c>
      <c r="L2346" t="e">
        <f>NA()</f>
        <v>#N/A</v>
      </c>
      <c r="M2346" t="e">
        <f>NA()</f>
        <v>#N/A</v>
      </c>
      <c r="N2346" t="e">
        <f>NA()</f>
        <v>#N/A</v>
      </c>
      <c r="O2346">
        <f t="shared" si="95"/>
        <v>0.4</v>
      </c>
    </row>
    <row r="2347" spans="1:15" x14ac:dyDescent="0.25">
      <c r="A2347" s="1">
        <v>42619</v>
      </c>
      <c r="B2347" t="e">
        <f>NA()</f>
        <v>#N/A</v>
      </c>
      <c r="C2347" t="e">
        <f>NA()</f>
        <v>#N/A</v>
      </c>
      <c r="D2347" t="e">
        <f>NA()</f>
        <v>#N/A</v>
      </c>
      <c r="E2347" t="e">
        <f>NA()</f>
        <v>#N/A</v>
      </c>
      <c r="F2347" t="e">
        <f>NA()</f>
        <v>#N/A</v>
      </c>
      <c r="G2347" t="e">
        <f>NA()</f>
        <v>#N/A</v>
      </c>
      <c r="H2347" t="e">
        <f>NA()</f>
        <v>#N/A</v>
      </c>
      <c r="I2347" t="e">
        <f>NA()</f>
        <v>#N/A</v>
      </c>
      <c r="J2347" t="e">
        <f>NA()</f>
        <v>#N/A</v>
      </c>
      <c r="K2347" t="e">
        <f>NA()</f>
        <v>#N/A</v>
      </c>
      <c r="L2347" t="e">
        <f>NA()</f>
        <v>#N/A</v>
      </c>
      <c r="M2347" t="e">
        <f>NA()</f>
        <v>#N/A</v>
      </c>
      <c r="N2347" t="e">
        <f>NA()</f>
        <v>#N/A</v>
      </c>
      <c r="O2347">
        <f t="shared" si="95"/>
        <v>0.4</v>
      </c>
    </row>
    <row r="2348" spans="1:15" x14ac:dyDescent="0.25">
      <c r="A2348" s="1">
        <v>42615</v>
      </c>
      <c r="B2348">
        <f>0.3</f>
        <v>0.3</v>
      </c>
      <c r="C2348">
        <f>0</f>
        <v>0</v>
      </c>
      <c r="D2348" t="e">
        <f>NA()</f>
        <v>#N/A</v>
      </c>
      <c r="E2348" t="e">
        <f>NA()</f>
        <v>#N/A</v>
      </c>
      <c r="F2348" t="e">
        <f>NA()</f>
        <v>#N/A</v>
      </c>
      <c r="G2348" t="e">
        <f>NA()</f>
        <v>#N/A</v>
      </c>
      <c r="H2348" t="e">
        <f>NA()</f>
        <v>#N/A</v>
      </c>
      <c r="I2348" t="e">
        <f>NA()</f>
        <v>#N/A</v>
      </c>
      <c r="J2348" t="e">
        <f>NA()</f>
        <v>#N/A</v>
      </c>
      <c r="K2348" t="e">
        <f>NA()</f>
        <v>#N/A</v>
      </c>
      <c r="L2348" t="e">
        <f>NA()</f>
        <v>#N/A</v>
      </c>
      <c r="M2348" t="e">
        <f>NA()</f>
        <v>#N/A</v>
      </c>
      <c r="N2348" t="e">
        <f>NA()</f>
        <v>#N/A</v>
      </c>
      <c r="O2348">
        <f t="shared" si="95"/>
        <v>0.4</v>
      </c>
    </row>
    <row r="2349" spans="1:15" x14ac:dyDescent="0.25">
      <c r="A2349" s="1">
        <v>42614</v>
      </c>
      <c r="B2349" t="e">
        <f>NA()</f>
        <v>#N/A</v>
      </c>
      <c r="C2349" t="e">
        <f>NA()</f>
        <v>#N/A</v>
      </c>
      <c r="D2349" t="e">
        <f>NA()</f>
        <v>#N/A</v>
      </c>
      <c r="E2349" t="e">
        <f>NA()</f>
        <v>#N/A</v>
      </c>
      <c r="F2349" t="e">
        <f>NA()</f>
        <v>#N/A</v>
      </c>
      <c r="G2349" t="e">
        <f>NA()</f>
        <v>#N/A</v>
      </c>
      <c r="H2349" t="e">
        <f>NA()</f>
        <v>#N/A</v>
      </c>
      <c r="I2349" t="e">
        <f>NA()</f>
        <v>#N/A</v>
      </c>
      <c r="J2349" t="e">
        <f>NA()</f>
        <v>#N/A</v>
      </c>
      <c r="K2349" t="e">
        <f>NA()</f>
        <v>#N/A</v>
      </c>
      <c r="L2349" t="e">
        <f>NA()</f>
        <v>#N/A</v>
      </c>
      <c r="M2349" t="e">
        <f>NA()</f>
        <v>#N/A</v>
      </c>
      <c r="N2349" t="e">
        <f>NA()</f>
        <v>#N/A</v>
      </c>
      <c r="O2349">
        <f t="shared" si="95"/>
        <v>0.4</v>
      </c>
    </row>
    <row r="2350" spans="1:15" x14ac:dyDescent="0.25">
      <c r="A2350" s="1">
        <v>42613</v>
      </c>
      <c r="B2350" t="e">
        <f>NA()</f>
        <v>#N/A</v>
      </c>
      <c r="C2350" t="e">
        <f>NA()</f>
        <v>#N/A</v>
      </c>
      <c r="D2350">
        <f>0.1</f>
        <v>0.1</v>
      </c>
      <c r="E2350">
        <f>1.4</f>
        <v>1.4</v>
      </c>
      <c r="F2350">
        <f>5677</f>
        <v>5677</v>
      </c>
      <c r="G2350">
        <f>62.9</f>
        <v>62.9</v>
      </c>
      <c r="H2350">
        <f>3.2</f>
        <v>3.2</v>
      </c>
      <c r="I2350">
        <f>240.8</f>
        <v>240.8</v>
      </c>
      <c r="J2350">
        <f>1.1</f>
        <v>1.1000000000000001</v>
      </c>
      <c r="K2350">
        <f>49.8</f>
        <v>49.8</v>
      </c>
      <c r="L2350">
        <f>-0.1</f>
        <v>-0.1</v>
      </c>
      <c r="M2350" t="e">
        <f>NA()</f>
        <v>#N/A</v>
      </c>
      <c r="N2350">
        <f>4.9</f>
        <v>4.9000000000000004</v>
      </c>
      <c r="O2350">
        <f>0.3</f>
        <v>0.3</v>
      </c>
    </row>
    <row r="2351" spans="1:15" x14ac:dyDescent="0.25">
      <c r="A2351" s="1">
        <v>42612</v>
      </c>
      <c r="B2351" t="e">
        <f>NA()</f>
        <v>#N/A</v>
      </c>
      <c r="C2351" t="e">
        <f>NA()</f>
        <v>#N/A</v>
      </c>
      <c r="D2351" t="e">
        <f>NA()</f>
        <v>#N/A</v>
      </c>
      <c r="E2351" t="e">
        <f>NA()</f>
        <v>#N/A</v>
      </c>
      <c r="F2351" t="e">
        <f>NA()</f>
        <v>#N/A</v>
      </c>
      <c r="G2351" t="e">
        <f>NA()</f>
        <v>#N/A</v>
      </c>
      <c r="H2351" t="e">
        <f>NA()</f>
        <v>#N/A</v>
      </c>
      <c r="I2351" t="e">
        <f>NA()</f>
        <v>#N/A</v>
      </c>
      <c r="J2351" t="e">
        <f>NA()</f>
        <v>#N/A</v>
      </c>
      <c r="K2351" t="e">
        <f>NA()</f>
        <v>#N/A</v>
      </c>
      <c r="L2351" t="e">
        <f>NA()</f>
        <v>#N/A</v>
      </c>
      <c r="M2351" t="e">
        <f>NA()</f>
        <v>#N/A</v>
      </c>
      <c r="N2351" t="e">
        <f>NA()</f>
        <v>#N/A</v>
      </c>
      <c r="O2351">
        <f t="shared" ref="O2351:O2372" si="96">0.4</f>
        <v>0.4</v>
      </c>
    </row>
    <row r="2352" spans="1:15" x14ac:dyDescent="0.25">
      <c r="A2352" s="1">
        <v>42611</v>
      </c>
      <c r="B2352" t="e">
        <f>NA()</f>
        <v>#N/A</v>
      </c>
      <c r="C2352" t="e">
        <f>NA()</f>
        <v>#N/A</v>
      </c>
      <c r="D2352" t="e">
        <f>NA()</f>
        <v>#N/A</v>
      </c>
      <c r="E2352" t="e">
        <f>NA()</f>
        <v>#N/A</v>
      </c>
      <c r="F2352" t="e">
        <f>NA()</f>
        <v>#N/A</v>
      </c>
      <c r="G2352" t="e">
        <f>NA()</f>
        <v>#N/A</v>
      </c>
      <c r="H2352" t="e">
        <f>NA()</f>
        <v>#N/A</v>
      </c>
      <c r="I2352" t="e">
        <f>NA()</f>
        <v>#N/A</v>
      </c>
      <c r="J2352" t="e">
        <f>NA()</f>
        <v>#N/A</v>
      </c>
      <c r="K2352" t="e">
        <f>NA()</f>
        <v>#N/A</v>
      </c>
      <c r="L2352" t="e">
        <f>NA()</f>
        <v>#N/A</v>
      </c>
      <c r="M2352" t="e">
        <f>NA()</f>
        <v>#N/A</v>
      </c>
      <c r="N2352" t="e">
        <f>NA()</f>
        <v>#N/A</v>
      </c>
      <c r="O2352">
        <f t="shared" si="96"/>
        <v>0.4</v>
      </c>
    </row>
    <row r="2353" spans="1:15" x14ac:dyDescent="0.25">
      <c r="A2353" s="1">
        <v>42608</v>
      </c>
      <c r="B2353">
        <f>0.3</f>
        <v>0.3</v>
      </c>
      <c r="C2353">
        <f>0</f>
        <v>0</v>
      </c>
      <c r="D2353" t="e">
        <f>NA()</f>
        <v>#N/A</v>
      </c>
      <c r="E2353" t="e">
        <f>NA()</f>
        <v>#N/A</v>
      </c>
      <c r="F2353" t="e">
        <f>NA()</f>
        <v>#N/A</v>
      </c>
      <c r="G2353" t="e">
        <f>NA()</f>
        <v>#N/A</v>
      </c>
      <c r="H2353" t="e">
        <f>NA()</f>
        <v>#N/A</v>
      </c>
      <c r="I2353" t="e">
        <f>NA()</f>
        <v>#N/A</v>
      </c>
      <c r="J2353" t="e">
        <f>NA()</f>
        <v>#N/A</v>
      </c>
      <c r="K2353" t="e">
        <f>NA()</f>
        <v>#N/A</v>
      </c>
      <c r="L2353" t="e">
        <f>NA()</f>
        <v>#N/A</v>
      </c>
      <c r="M2353" t="e">
        <f>NA()</f>
        <v>#N/A</v>
      </c>
      <c r="N2353" t="e">
        <f>NA()</f>
        <v>#N/A</v>
      </c>
      <c r="O2353">
        <f t="shared" si="96"/>
        <v>0.4</v>
      </c>
    </row>
    <row r="2354" spans="1:15" x14ac:dyDescent="0.25">
      <c r="A2354" s="1">
        <v>42607</v>
      </c>
      <c r="B2354" t="e">
        <f>NA()</f>
        <v>#N/A</v>
      </c>
      <c r="C2354" t="e">
        <f>NA()</f>
        <v>#N/A</v>
      </c>
      <c r="D2354" t="e">
        <f>NA()</f>
        <v>#N/A</v>
      </c>
      <c r="E2354" t="e">
        <f>NA()</f>
        <v>#N/A</v>
      </c>
      <c r="F2354" t="e">
        <f>NA()</f>
        <v>#N/A</v>
      </c>
      <c r="G2354" t="e">
        <f>NA()</f>
        <v>#N/A</v>
      </c>
      <c r="H2354" t="e">
        <f>NA()</f>
        <v>#N/A</v>
      </c>
      <c r="I2354" t="e">
        <f>NA()</f>
        <v>#N/A</v>
      </c>
      <c r="J2354" t="e">
        <f>NA()</f>
        <v>#N/A</v>
      </c>
      <c r="K2354" t="e">
        <f>NA()</f>
        <v>#N/A</v>
      </c>
      <c r="L2354" t="e">
        <f>NA()</f>
        <v>#N/A</v>
      </c>
      <c r="M2354" t="e">
        <f>NA()</f>
        <v>#N/A</v>
      </c>
      <c r="N2354" t="e">
        <f>NA()</f>
        <v>#N/A</v>
      </c>
      <c r="O2354">
        <f t="shared" si="96"/>
        <v>0.4</v>
      </c>
    </row>
    <row r="2355" spans="1:15" x14ac:dyDescent="0.25">
      <c r="A2355" s="1">
        <v>42606</v>
      </c>
      <c r="B2355" t="e">
        <f>NA()</f>
        <v>#N/A</v>
      </c>
      <c r="C2355" t="e">
        <f>NA()</f>
        <v>#N/A</v>
      </c>
      <c r="D2355" t="e">
        <f>NA()</f>
        <v>#N/A</v>
      </c>
      <c r="E2355" t="e">
        <f>NA()</f>
        <v>#N/A</v>
      </c>
      <c r="F2355" t="e">
        <f>NA()</f>
        <v>#N/A</v>
      </c>
      <c r="G2355" t="e">
        <f>NA()</f>
        <v>#N/A</v>
      </c>
      <c r="H2355" t="e">
        <f>NA()</f>
        <v>#N/A</v>
      </c>
      <c r="I2355" t="e">
        <f>NA()</f>
        <v>#N/A</v>
      </c>
      <c r="J2355" t="e">
        <f>NA()</f>
        <v>#N/A</v>
      </c>
      <c r="K2355" t="e">
        <f>NA()</f>
        <v>#N/A</v>
      </c>
      <c r="L2355" t="e">
        <f>NA()</f>
        <v>#N/A</v>
      </c>
      <c r="M2355" t="e">
        <f>NA()</f>
        <v>#N/A</v>
      </c>
      <c r="N2355" t="e">
        <f>NA()</f>
        <v>#N/A</v>
      </c>
      <c r="O2355">
        <f t="shared" si="96"/>
        <v>0.4</v>
      </c>
    </row>
    <row r="2356" spans="1:15" x14ac:dyDescent="0.25">
      <c r="A2356" s="1">
        <v>42605</v>
      </c>
      <c r="B2356" t="e">
        <f>NA()</f>
        <v>#N/A</v>
      </c>
      <c r="C2356" t="e">
        <f>NA()</f>
        <v>#N/A</v>
      </c>
      <c r="D2356" t="e">
        <f>NA()</f>
        <v>#N/A</v>
      </c>
      <c r="E2356" t="e">
        <f>NA()</f>
        <v>#N/A</v>
      </c>
      <c r="F2356" t="e">
        <f>NA()</f>
        <v>#N/A</v>
      </c>
      <c r="G2356" t="e">
        <f>NA()</f>
        <v>#N/A</v>
      </c>
      <c r="H2356" t="e">
        <f>NA()</f>
        <v>#N/A</v>
      </c>
      <c r="I2356" t="e">
        <f>NA()</f>
        <v>#N/A</v>
      </c>
      <c r="J2356" t="e">
        <f>NA()</f>
        <v>#N/A</v>
      </c>
      <c r="K2356" t="e">
        <f>NA()</f>
        <v>#N/A</v>
      </c>
      <c r="L2356" t="e">
        <f>NA()</f>
        <v>#N/A</v>
      </c>
      <c r="M2356" t="e">
        <f>NA()</f>
        <v>#N/A</v>
      </c>
      <c r="N2356" t="e">
        <f>NA()</f>
        <v>#N/A</v>
      </c>
      <c r="O2356">
        <f t="shared" si="96"/>
        <v>0.4</v>
      </c>
    </row>
    <row r="2357" spans="1:15" x14ac:dyDescent="0.25">
      <c r="A2357" s="1">
        <v>42604</v>
      </c>
      <c r="B2357" t="e">
        <f>NA()</f>
        <v>#N/A</v>
      </c>
      <c r="C2357" t="e">
        <f>NA()</f>
        <v>#N/A</v>
      </c>
      <c r="D2357" t="e">
        <f>NA()</f>
        <v>#N/A</v>
      </c>
      <c r="E2357" t="e">
        <f>NA()</f>
        <v>#N/A</v>
      </c>
      <c r="F2357" t="e">
        <f>NA()</f>
        <v>#N/A</v>
      </c>
      <c r="G2357" t="e">
        <f>NA()</f>
        <v>#N/A</v>
      </c>
      <c r="H2357" t="e">
        <f>NA()</f>
        <v>#N/A</v>
      </c>
      <c r="I2357" t="e">
        <f>NA()</f>
        <v>#N/A</v>
      </c>
      <c r="J2357" t="e">
        <f>NA()</f>
        <v>#N/A</v>
      </c>
      <c r="K2357" t="e">
        <f>NA()</f>
        <v>#N/A</v>
      </c>
      <c r="L2357" t="e">
        <f>NA()</f>
        <v>#N/A</v>
      </c>
      <c r="M2357" t="e">
        <f>NA()</f>
        <v>#N/A</v>
      </c>
      <c r="N2357" t="e">
        <f>NA()</f>
        <v>#N/A</v>
      </c>
      <c r="O2357">
        <f t="shared" si="96"/>
        <v>0.4</v>
      </c>
    </row>
    <row r="2358" spans="1:15" x14ac:dyDescent="0.25">
      <c r="A2358" s="1">
        <v>42601</v>
      </c>
      <c r="B2358">
        <f>0.2</f>
        <v>0.2</v>
      </c>
      <c r="C2358">
        <f>0</f>
        <v>0</v>
      </c>
      <c r="D2358" t="e">
        <f>NA()</f>
        <v>#N/A</v>
      </c>
      <c r="E2358" t="e">
        <f>NA()</f>
        <v>#N/A</v>
      </c>
      <c r="F2358" t="e">
        <f>NA()</f>
        <v>#N/A</v>
      </c>
      <c r="G2358" t="e">
        <f>NA()</f>
        <v>#N/A</v>
      </c>
      <c r="H2358" t="e">
        <f>NA()</f>
        <v>#N/A</v>
      </c>
      <c r="I2358" t="e">
        <f>NA()</f>
        <v>#N/A</v>
      </c>
      <c r="J2358" t="e">
        <f>NA()</f>
        <v>#N/A</v>
      </c>
      <c r="K2358" t="e">
        <f>NA()</f>
        <v>#N/A</v>
      </c>
      <c r="L2358" t="e">
        <f>NA()</f>
        <v>#N/A</v>
      </c>
      <c r="M2358" t="e">
        <f>NA()</f>
        <v>#N/A</v>
      </c>
      <c r="N2358" t="e">
        <f>NA()</f>
        <v>#N/A</v>
      </c>
      <c r="O2358">
        <f t="shared" si="96"/>
        <v>0.4</v>
      </c>
    </row>
    <row r="2359" spans="1:15" x14ac:dyDescent="0.25">
      <c r="A2359" s="1">
        <v>42600</v>
      </c>
      <c r="B2359" t="e">
        <f>NA()</f>
        <v>#N/A</v>
      </c>
      <c r="C2359" t="e">
        <f>NA()</f>
        <v>#N/A</v>
      </c>
      <c r="D2359" t="e">
        <f>NA()</f>
        <v>#N/A</v>
      </c>
      <c r="E2359" t="e">
        <f>NA()</f>
        <v>#N/A</v>
      </c>
      <c r="F2359" t="e">
        <f>NA()</f>
        <v>#N/A</v>
      </c>
      <c r="G2359" t="e">
        <f>NA()</f>
        <v>#N/A</v>
      </c>
      <c r="H2359" t="e">
        <f>NA()</f>
        <v>#N/A</v>
      </c>
      <c r="I2359" t="e">
        <f>NA()</f>
        <v>#N/A</v>
      </c>
      <c r="J2359" t="e">
        <f>NA()</f>
        <v>#N/A</v>
      </c>
      <c r="K2359" t="e">
        <f>NA()</f>
        <v>#N/A</v>
      </c>
      <c r="L2359" t="e">
        <f>NA()</f>
        <v>#N/A</v>
      </c>
      <c r="M2359" t="e">
        <f>NA()</f>
        <v>#N/A</v>
      </c>
      <c r="N2359" t="e">
        <f>NA()</f>
        <v>#N/A</v>
      </c>
      <c r="O2359">
        <f t="shared" si="96"/>
        <v>0.4</v>
      </c>
    </row>
    <row r="2360" spans="1:15" x14ac:dyDescent="0.25">
      <c r="A2360" s="1">
        <v>42599</v>
      </c>
      <c r="B2360" t="e">
        <f>NA()</f>
        <v>#N/A</v>
      </c>
      <c r="C2360" t="e">
        <f>NA()</f>
        <v>#N/A</v>
      </c>
      <c r="D2360" t="e">
        <f>NA()</f>
        <v>#N/A</v>
      </c>
      <c r="E2360" t="e">
        <f>NA()</f>
        <v>#N/A</v>
      </c>
      <c r="F2360" t="e">
        <f>NA()</f>
        <v>#N/A</v>
      </c>
      <c r="G2360" t="e">
        <f>NA()</f>
        <v>#N/A</v>
      </c>
      <c r="H2360" t="e">
        <f>NA()</f>
        <v>#N/A</v>
      </c>
      <c r="I2360" t="e">
        <f>NA()</f>
        <v>#N/A</v>
      </c>
      <c r="J2360" t="e">
        <f>NA()</f>
        <v>#N/A</v>
      </c>
      <c r="K2360" t="e">
        <f>NA()</f>
        <v>#N/A</v>
      </c>
      <c r="L2360" t="e">
        <f>NA()</f>
        <v>#N/A</v>
      </c>
      <c r="M2360" t="e">
        <f>NA()</f>
        <v>#N/A</v>
      </c>
      <c r="N2360" t="e">
        <f>NA()</f>
        <v>#N/A</v>
      </c>
      <c r="O2360">
        <f t="shared" si="96"/>
        <v>0.4</v>
      </c>
    </row>
    <row r="2361" spans="1:15" x14ac:dyDescent="0.25">
      <c r="A2361" s="1">
        <v>42598</v>
      </c>
      <c r="B2361" t="e">
        <f>NA()</f>
        <v>#N/A</v>
      </c>
      <c r="C2361" t="e">
        <f>NA()</f>
        <v>#N/A</v>
      </c>
      <c r="D2361" t="e">
        <f>NA()</f>
        <v>#N/A</v>
      </c>
      <c r="E2361" t="e">
        <f>NA()</f>
        <v>#N/A</v>
      </c>
      <c r="F2361" t="e">
        <f>NA()</f>
        <v>#N/A</v>
      </c>
      <c r="G2361" t="e">
        <f>NA()</f>
        <v>#N/A</v>
      </c>
      <c r="H2361" t="e">
        <f>NA()</f>
        <v>#N/A</v>
      </c>
      <c r="I2361" t="e">
        <f>NA()</f>
        <v>#N/A</v>
      </c>
      <c r="J2361" t="e">
        <f>NA()</f>
        <v>#N/A</v>
      </c>
      <c r="K2361" t="e">
        <f>NA()</f>
        <v>#N/A</v>
      </c>
      <c r="L2361" t="e">
        <f>NA()</f>
        <v>#N/A</v>
      </c>
      <c r="M2361" t="e">
        <f>NA()</f>
        <v>#N/A</v>
      </c>
      <c r="N2361" t="e">
        <f>NA()</f>
        <v>#N/A</v>
      </c>
      <c r="O2361">
        <f t="shared" si="96"/>
        <v>0.4</v>
      </c>
    </row>
    <row r="2362" spans="1:15" x14ac:dyDescent="0.25">
      <c r="A2362" s="1">
        <v>42597</v>
      </c>
      <c r="B2362" t="e">
        <f>NA()</f>
        <v>#N/A</v>
      </c>
      <c r="C2362" t="e">
        <f>NA()</f>
        <v>#N/A</v>
      </c>
      <c r="D2362" t="e">
        <f>NA()</f>
        <v>#N/A</v>
      </c>
      <c r="E2362" t="e">
        <f>NA()</f>
        <v>#N/A</v>
      </c>
      <c r="F2362" t="e">
        <f>NA()</f>
        <v>#N/A</v>
      </c>
      <c r="G2362" t="e">
        <f>NA()</f>
        <v>#N/A</v>
      </c>
      <c r="H2362" t="e">
        <f>NA()</f>
        <v>#N/A</v>
      </c>
      <c r="I2362" t="e">
        <f>NA()</f>
        <v>#N/A</v>
      </c>
      <c r="J2362" t="e">
        <f>NA()</f>
        <v>#N/A</v>
      </c>
      <c r="K2362" t="e">
        <f>NA()</f>
        <v>#N/A</v>
      </c>
      <c r="L2362" t="e">
        <f>NA()</f>
        <v>#N/A</v>
      </c>
      <c r="M2362" t="e">
        <f>NA()</f>
        <v>#N/A</v>
      </c>
      <c r="N2362" t="e">
        <f>NA()</f>
        <v>#N/A</v>
      </c>
      <c r="O2362">
        <f t="shared" si="96"/>
        <v>0.4</v>
      </c>
    </row>
    <row r="2363" spans="1:15" x14ac:dyDescent="0.25">
      <c r="A2363" s="1">
        <v>42594</v>
      </c>
      <c r="B2363">
        <f>0.2</f>
        <v>0.2</v>
      </c>
      <c r="C2363">
        <f>0</f>
        <v>0</v>
      </c>
      <c r="D2363" t="e">
        <f>NA()</f>
        <v>#N/A</v>
      </c>
      <c r="E2363" t="e">
        <f>NA()</f>
        <v>#N/A</v>
      </c>
      <c r="F2363" t="e">
        <f>NA()</f>
        <v>#N/A</v>
      </c>
      <c r="G2363" t="e">
        <f>NA()</f>
        <v>#N/A</v>
      </c>
      <c r="H2363" t="e">
        <f>NA()</f>
        <v>#N/A</v>
      </c>
      <c r="I2363" t="e">
        <f>NA()</f>
        <v>#N/A</v>
      </c>
      <c r="J2363" t="e">
        <f>NA()</f>
        <v>#N/A</v>
      </c>
      <c r="K2363" t="e">
        <f>NA()</f>
        <v>#N/A</v>
      </c>
      <c r="L2363" t="e">
        <f>NA()</f>
        <v>#N/A</v>
      </c>
      <c r="M2363" t="e">
        <f>NA()</f>
        <v>#N/A</v>
      </c>
      <c r="N2363" t="e">
        <f>NA()</f>
        <v>#N/A</v>
      </c>
      <c r="O2363">
        <f t="shared" si="96"/>
        <v>0.4</v>
      </c>
    </row>
    <row r="2364" spans="1:15" x14ac:dyDescent="0.25">
      <c r="A2364" s="1">
        <v>42593</v>
      </c>
      <c r="B2364" t="e">
        <f>NA()</f>
        <v>#N/A</v>
      </c>
      <c r="C2364" t="e">
        <f>NA()</f>
        <v>#N/A</v>
      </c>
      <c r="D2364" t="e">
        <f>NA()</f>
        <v>#N/A</v>
      </c>
      <c r="E2364" t="e">
        <f>NA()</f>
        <v>#N/A</v>
      </c>
      <c r="F2364" t="e">
        <f>NA()</f>
        <v>#N/A</v>
      </c>
      <c r="G2364" t="e">
        <f>NA()</f>
        <v>#N/A</v>
      </c>
      <c r="H2364" t="e">
        <f>NA()</f>
        <v>#N/A</v>
      </c>
      <c r="I2364" t="e">
        <f>NA()</f>
        <v>#N/A</v>
      </c>
      <c r="J2364" t="e">
        <f>NA()</f>
        <v>#N/A</v>
      </c>
      <c r="K2364" t="e">
        <f>NA()</f>
        <v>#N/A</v>
      </c>
      <c r="L2364" t="e">
        <f>NA()</f>
        <v>#N/A</v>
      </c>
      <c r="M2364" t="e">
        <f>NA()</f>
        <v>#N/A</v>
      </c>
      <c r="N2364" t="e">
        <f>NA()</f>
        <v>#N/A</v>
      </c>
      <c r="O2364">
        <f t="shared" si="96"/>
        <v>0.4</v>
      </c>
    </row>
    <row r="2365" spans="1:15" x14ac:dyDescent="0.25">
      <c r="A2365" s="1">
        <v>42592</v>
      </c>
      <c r="B2365" t="e">
        <f>NA()</f>
        <v>#N/A</v>
      </c>
      <c r="C2365" t="e">
        <f>NA()</f>
        <v>#N/A</v>
      </c>
      <c r="D2365" t="e">
        <f>NA()</f>
        <v>#N/A</v>
      </c>
      <c r="E2365" t="e">
        <f>NA()</f>
        <v>#N/A</v>
      </c>
      <c r="F2365" t="e">
        <f>NA()</f>
        <v>#N/A</v>
      </c>
      <c r="G2365" t="e">
        <f>NA()</f>
        <v>#N/A</v>
      </c>
      <c r="H2365" t="e">
        <f>NA()</f>
        <v>#N/A</v>
      </c>
      <c r="I2365" t="e">
        <f>NA()</f>
        <v>#N/A</v>
      </c>
      <c r="J2365" t="e">
        <f>NA()</f>
        <v>#N/A</v>
      </c>
      <c r="K2365" t="e">
        <f>NA()</f>
        <v>#N/A</v>
      </c>
      <c r="L2365" t="e">
        <f>NA()</f>
        <v>#N/A</v>
      </c>
      <c r="M2365" t="e">
        <f>NA()</f>
        <v>#N/A</v>
      </c>
      <c r="N2365" t="e">
        <f>NA()</f>
        <v>#N/A</v>
      </c>
      <c r="O2365">
        <f t="shared" si="96"/>
        <v>0.4</v>
      </c>
    </row>
    <row r="2366" spans="1:15" x14ac:dyDescent="0.25">
      <c r="A2366" s="1">
        <v>42591</v>
      </c>
      <c r="B2366" t="e">
        <f>NA()</f>
        <v>#N/A</v>
      </c>
      <c r="C2366" t="e">
        <f>NA()</f>
        <v>#N/A</v>
      </c>
      <c r="D2366" t="e">
        <f>NA()</f>
        <v>#N/A</v>
      </c>
      <c r="E2366" t="e">
        <f>NA()</f>
        <v>#N/A</v>
      </c>
      <c r="F2366" t="e">
        <f>NA()</f>
        <v>#N/A</v>
      </c>
      <c r="G2366" t="e">
        <f>NA()</f>
        <v>#N/A</v>
      </c>
      <c r="H2366" t="e">
        <f>NA()</f>
        <v>#N/A</v>
      </c>
      <c r="I2366" t="e">
        <f>NA()</f>
        <v>#N/A</v>
      </c>
      <c r="J2366" t="e">
        <f>NA()</f>
        <v>#N/A</v>
      </c>
      <c r="K2366" t="e">
        <f>NA()</f>
        <v>#N/A</v>
      </c>
      <c r="L2366" t="e">
        <f>NA()</f>
        <v>#N/A</v>
      </c>
      <c r="M2366" t="e">
        <f>NA()</f>
        <v>#N/A</v>
      </c>
      <c r="N2366" t="e">
        <f>NA()</f>
        <v>#N/A</v>
      </c>
      <c r="O2366">
        <f t="shared" si="96"/>
        <v>0.4</v>
      </c>
    </row>
    <row r="2367" spans="1:15" x14ac:dyDescent="0.25">
      <c r="A2367" s="1">
        <v>42590</v>
      </c>
      <c r="B2367" t="e">
        <f>NA()</f>
        <v>#N/A</v>
      </c>
      <c r="C2367" t="e">
        <f>NA()</f>
        <v>#N/A</v>
      </c>
      <c r="D2367" t="e">
        <f>NA()</f>
        <v>#N/A</v>
      </c>
      <c r="E2367" t="e">
        <f>NA()</f>
        <v>#N/A</v>
      </c>
      <c r="F2367" t="e">
        <f>NA()</f>
        <v>#N/A</v>
      </c>
      <c r="G2367" t="e">
        <f>NA()</f>
        <v>#N/A</v>
      </c>
      <c r="H2367" t="e">
        <f>NA()</f>
        <v>#N/A</v>
      </c>
      <c r="I2367" t="e">
        <f>NA()</f>
        <v>#N/A</v>
      </c>
      <c r="J2367" t="e">
        <f>NA()</f>
        <v>#N/A</v>
      </c>
      <c r="K2367" t="e">
        <f>NA()</f>
        <v>#N/A</v>
      </c>
      <c r="L2367" t="e">
        <f>NA()</f>
        <v>#N/A</v>
      </c>
      <c r="M2367" t="e">
        <f>NA()</f>
        <v>#N/A</v>
      </c>
      <c r="N2367" t="e">
        <f>NA()</f>
        <v>#N/A</v>
      </c>
      <c r="O2367">
        <f t="shared" si="96"/>
        <v>0.4</v>
      </c>
    </row>
    <row r="2368" spans="1:15" x14ac:dyDescent="0.25">
      <c r="A2368" s="1">
        <v>42587</v>
      </c>
      <c r="B2368">
        <f>0.3</f>
        <v>0.3</v>
      </c>
      <c r="C2368">
        <f>0</f>
        <v>0</v>
      </c>
      <c r="D2368" t="e">
        <f>NA()</f>
        <v>#N/A</v>
      </c>
      <c r="E2368" t="e">
        <f>NA()</f>
        <v>#N/A</v>
      </c>
      <c r="F2368" t="e">
        <f>NA()</f>
        <v>#N/A</v>
      </c>
      <c r="G2368" t="e">
        <f>NA()</f>
        <v>#N/A</v>
      </c>
      <c r="H2368" t="e">
        <f>NA()</f>
        <v>#N/A</v>
      </c>
      <c r="I2368" t="e">
        <f>NA()</f>
        <v>#N/A</v>
      </c>
      <c r="J2368" t="e">
        <f>NA()</f>
        <v>#N/A</v>
      </c>
      <c r="K2368" t="e">
        <f>NA()</f>
        <v>#N/A</v>
      </c>
      <c r="L2368" t="e">
        <f>NA()</f>
        <v>#N/A</v>
      </c>
      <c r="M2368" t="e">
        <f>NA()</f>
        <v>#N/A</v>
      </c>
      <c r="N2368" t="e">
        <f>NA()</f>
        <v>#N/A</v>
      </c>
      <c r="O2368">
        <f t="shared" si="96"/>
        <v>0.4</v>
      </c>
    </row>
    <row r="2369" spans="1:15" x14ac:dyDescent="0.25">
      <c r="A2369" s="1">
        <v>42586</v>
      </c>
      <c r="B2369" t="e">
        <f>NA()</f>
        <v>#N/A</v>
      </c>
      <c r="C2369" t="e">
        <f>NA()</f>
        <v>#N/A</v>
      </c>
      <c r="D2369" t="e">
        <f>NA()</f>
        <v>#N/A</v>
      </c>
      <c r="E2369" t="e">
        <f>NA()</f>
        <v>#N/A</v>
      </c>
      <c r="F2369" t="e">
        <f>NA()</f>
        <v>#N/A</v>
      </c>
      <c r="G2369" t="e">
        <f>NA()</f>
        <v>#N/A</v>
      </c>
      <c r="H2369" t="e">
        <f>NA()</f>
        <v>#N/A</v>
      </c>
      <c r="I2369" t="e">
        <f>NA()</f>
        <v>#N/A</v>
      </c>
      <c r="J2369" t="e">
        <f>NA()</f>
        <v>#N/A</v>
      </c>
      <c r="K2369" t="e">
        <f>NA()</f>
        <v>#N/A</v>
      </c>
      <c r="L2369" t="e">
        <f>NA()</f>
        <v>#N/A</v>
      </c>
      <c r="M2369" t="e">
        <f>NA()</f>
        <v>#N/A</v>
      </c>
      <c r="N2369" t="e">
        <f>NA()</f>
        <v>#N/A</v>
      </c>
      <c r="O2369">
        <f t="shared" si="96"/>
        <v>0.4</v>
      </c>
    </row>
    <row r="2370" spans="1:15" x14ac:dyDescent="0.25">
      <c r="A2370" s="1">
        <v>42585</v>
      </c>
      <c r="B2370" t="e">
        <f>NA()</f>
        <v>#N/A</v>
      </c>
      <c r="C2370" t="e">
        <f>NA()</f>
        <v>#N/A</v>
      </c>
      <c r="D2370" t="e">
        <f>NA()</f>
        <v>#N/A</v>
      </c>
      <c r="E2370" t="e">
        <f>NA()</f>
        <v>#N/A</v>
      </c>
      <c r="F2370" t="e">
        <f>NA()</f>
        <v>#N/A</v>
      </c>
      <c r="G2370" t="e">
        <f>NA()</f>
        <v>#N/A</v>
      </c>
      <c r="H2370" t="e">
        <f>NA()</f>
        <v>#N/A</v>
      </c>
      <c r="I2370" t="e">
        <f>NA()</f>
        <v>#N/A</v>
      </c>
      <c r="J2370" t="e">
        <f>NA()</f>
        <v>#N/A</v>
      </c>
      <c r="K2370" t="e">
        <f>NA()</f>
        <v>#N/A</v>
      </c>
      <c r="L2370" t="e">
        <f>NA()</f>
        <v>#N/A</v>
      </c>
      <c r="M2370" t="e">
        <f>NA()</f>
        <v>#N/A</v>
      </c>
      <c r="N2370" t="e">
        <f>NA()</f>
        <v>#N/A</v>
      </c>
      <c r="O2370">
        <f t="shared" si="96"/>
        <v>0.4</v>
      </c>
    </row>
    <row r="2371" spans="1:15" x14ac:dyDescent="0.25">
      <c r="A2371" s="1">
        <v>42584</v>
      </c>
      <c r="B2371" t="e">
        <f>NA()</f>
        <v>#N/A</v>
      </c>
      <c r="C2371" t="e">
        <f>NA()</f>
        <v>#N/A</v>
      </c>
      <c r="D2371" t="e">
        <f>NA()</f>
        <v>#N/A</v>
      </c>
      <c r="E2371" t="e">
        <f>NA()</f>
        <v>#N/A</v>
      </c>
      <c r="F2371" t="e">
        <f>NA()</f>
        <v>#N/A</v>
      </c>
      <c r="G2371" t="e">
        <f>NA()</f>
        <v>#N/A</v>
      </c>
      <c r="H2371" t="e">
        <f>NA()</f>
        <v>#N/A</v>
      </c>
      <c r="I2371" t="e">
        <f>NA()</f>
        <v>#N/A</v>
      </c>
      <c r="J2371" t="e">
        <f>NA()</f>
        <v>#N/A</v>
      </c>
      <c r="K2371" t="e">
        <f>NA()</f>
        <v>#N/A</v>
      </c>
      <c r="L2371" t="e">
        <f>NA()</f>
        <v>#N/A</v>
      </c>
      <c r="M2371" t="e">
        <f>NA()</f>
        <v>#N/A</v>
      </c>
      <c r="N2371" t="e">
        <f>NA()</f>
        <v>#N/A</v>
      </c>
      <c r="O2371">
        <f t="shared" si="96"/>
        <v>0.4</v>
      </c>
    </row>
    <row r="2372" spans="1:15" x14ac:dyDescent="0.25">
      <c r="A2372" s="1">
        <v>42583</v>
      </c>
      <c r="B2372" t="e">
        <f>NA()</f>
        <v>#N/A</v>
      </c>
      <c r="C2372" t="e">
        <f>NA()</f>
        <v>#N/A</v>
      </c>
      <c r="D2372" t="e">
        <f>NA()</f>
        <v>#N/A</v>
      </c>
      <c r="E2372" t="e">
        <f>NA()</f>
        <v>#N/A</v>
      </c>
      <c r="F2372" t="e">
        <f>NA()</f>
        <v>#N/A</v>
      </c>
      <c r="G2372" t="e">
        <f>NA()</f>
        <v>#N/A</v>
      </c>
      <c r="H2372" t="e">
        <f>NA()</f>
        <v>#N/A</v>
      </c>
      <c r="I2372" t="e">
        <f>NA()</f>
        <v>#N/A</v>
      </c>
      <c r="J2372" t="e">
        <f>NA()</f>
        <v>#N/A</v>
      </c>
      <c r="K2372" t="e">
        <f>NA()</f>
        <v>#N/A</v>
      </c>
      <c r="L2372" t="e">
        <f>NA()</f>
        <v>#N/A</v>
      </c>
      <c r="M2372" t="e">
        <f>NA()</f>
        <v>#N/A</v>
      </c>
      <c r="N2372" t="e">
        <f>NA()</f>
        <v>#N/A</v>
      </c>
      <c r="O2372">
        <f t="shared" si="96"/>
        <v>0.4</v>
      </c>
    </row>
    <row r="2373" spans="1:15" x14ac:dyDescent="0.25">
      <c r="A2373" s="1">
        <v>42582</v>
      </c>
      <c r="B2373" t="e">
        <f>NA()</f>
        <v>#N/A</v>
      </c>
      <c r="C2373" t="e">
        <f>NA()</f>
        <v>#N/A</v>
      </c>
      <c r="D2373">
        <f>0.3</f>
        <v>0.3</v>
      </c>
      <c r="E2373">
        <f>1.8</f>
        <v>1.8</v>
      </c>
      <c r="F2373">
        <f>5962</f>
        <v>5962</v>
      </c>
      <c r="G2373">
        <f>62.8</f>
        <v>62.8</v>
      </c>
      <c r="H2373">
        <f>3.2</f>
        <v>3.2</v>
      </c>
      <c r="I2373">
        <f>240.6</f>
        <v>240.6</v>
      </c>
      <c r="J2373">
        <f>0.8</f>
        <v>0.8</v>
      </c>
      <c r="K2373">
        <f>52.7</f>
        <v>52.7</v>
      </c>
      <c r="L2373">
        <f>0.1</f>
        <v>0.1</v>
      </c>
      <c r="M2373" t="e">
        <f>NA()</f>
        <v>#N/A</v>
      </c>
      <c r="N2373">
        <f>4.8</f>
        <v>4.8</v>
      </c>
      <c r="O2373" t="e">
        <f>NA()</f>
        <v>#N/A</v>
      </c>
    </row>
    <row r="2374" spans="1:15" x14ac:dyDescent="0.25">
      <c r="A2374" s="1">
        <v>42580</v>
      </c>
      <c r="B2374">
        <f>0.2</f>
        <v>0.2</v>
      </c>
      <c r="C2374">
        <f>0</f>
        <v>0</v>
      </c>
      <c r="D2374" t="e">
        <f>NA()</f>
        <v>#N/A</v>
      </c>
      <c r="E2374" t="e">
        <f>NA()</f>
        <v>#N/A</v>
      </c>
      <c r="F2374" t="e">
        <f>NA()</f>
        <v>#N/A</v>
      </c>
      <c r="G2374" t="e">
        <f>NA()</f>
        <v>#N/A</v>
      </c>
      <c r="H2374" t="e">
        <f>NA()</f>
        <v>#N/A</v>
      </c>
      <c r="I2374" t="e">
        <f>NA()</f>
        <v>#N/A</v>
      </c>
      <c r="J2374" t="e">
        <f>NA()</f>
        <v>#N/A</v>
      </c>
      <c r="K2374" t="e">
        <f>NA()</f>
        <v>#N/A</v>
      </c>
      <c r="L2374" t="e">
        <f>NA()</f>
        <v>#N/A</v>
      </c>
      <c r="M2374" t="e">
        <f>NA()</f>
        <v>#N/A</v>
      </c>
      <c r="N2374" t="e">
        <f>NA()</f>
        <v>#N/A</v>
      </c>
      <c r="O2374">
        <f>0.3</f>
        <v>0.3</v>
      </c>
    </row>
    <row r="2375" spans="1:15" x14ac:dyDescent="0.25">
      <c r="A2375" s="1">
        <v>42579</v>
      </c>
      <c r="B2375" t="e">
        <f>NA()</f>
        <v>#N/A</v>
      </c>
      <c r="C2375" t="e">
        <f>NA()</f>
        <v>#N/A</v>
      </c>
      <c r="D2375" t="e">
        <f>NA()</f>
        <v>#N/A</v>
      </c>
      <c r="E2375" t="e">
        <f>NA()</f>
        <v>#N/A</v>
      </c>
      <c r="F2375" t="e">
        <f>NA()</f>
        <v>#N/A</v>
      </c>
      <c r="G2375" t="e">
        <f>NA()</f>
        <v>#N/A</v>
      </c>
      <c r="H2375" t="e">
        <f>NA()</f>
        <v>#N/A</v>
      </c>
      <c r="I2375" t="e">
        <f>NA()</f>
        <v>#N/A</v>
      </c>
      <c r="J2375" t="e">
        <f>NA()</f>
        <v>#N/A</v>
      </c>
      <c r="K2375" t="e">
        <f>NA()</f>
        <v>#N/A</v>
      </c>
      <c r="L2375" t="e">
        <f>NA()</f>
        <v>#N/A</v>
      </c>
      <c r="M2375" t="e">
        <f>NA()</f>
        <v>#N/A</v>
      </c>
      <c r="N2375" t="e">
        <f>NA()</f>
        <v>#N/A</v>
      </c>
      <c r="O2375">
        <f t="shared" ref="O2375:O2393" si="97">0.4</f>
        <v>0.4</v>
      </c>
    </row>
    <row r="2376" spans="1:15" x14ac:dyDescent="0.25">
      <c r="A2376" s="1">
        <v>42578</v>
      </c>
      <c r="B2376" t="e">
        <f>NA()</f>
        <v>#N/A</v>
      </c>
      <c r="C2376" t="e">
        <f>NA()</f>
        <v>#N/A</v>
      </c>
      <c r="D2376" t="e">
        <f>NA()</f>
        <v>#N/A</v>
      </c>
      <c r="E2376" t="e">
        <f>NA()</f>
        <v>#N/A</v>
      </c>
      <c r="F2376" t="e">
        <f>NA()</f>
        <v>#N/A</v>
      </c>
      <c r="G2376" t="e">
        <f>NA()</f>
        <v>#N/A</v>
      </c>
      <c r="H2376" t="e">
        <f>NA()</f>
        <v>#N/A</v>
      </c>
      <c r="I2376" t="e">
        <f>NA()</f>
        <v>#N/A</v>
      </c>
      <c r="J2376" t="e">
        <f>NA()</f>
        <v>#N/A</v>
      </c>
      <c r="K2376" t="e">
        <f>NA()</f>
        <v>#N/A</v>
      </c>
      <c r="L2376" t="e">
        <f>NA()</f>
        <v>#N/A</v>
      </c>
      <c r="M2376" t="e">
        <f>NA()</f>
        <v>#N/A</v>
      </c>
      <c r="N2376" t="e">
        <f>NA()</f>
        <v>#N/A</v>
      </c>
      <c r="O2376">
        <f t="shared" si="97"/>
        <v>0.4</v>
      </c>
    </row>
    <row r="2377" spans="1:15" x14ac:dyDescent="0.25">
      <c r="A2377" s="1">
        <v>42577</v>
      </c>
      <c r="B2377" t="e">
        <f>NA()</f>
        <v>#N/A</v>
      </c>
      <c r="C2377" t="e">
        <f>NA()</f>
        <v>#N/A</v>
      </c>
      <c r="D2377" t="e">
        <f>NA()</f>
        <v>#N/A</v>
      </c>
      <c r="E2377" t="e">
        <f>NA()</f>
        <v>#N/A</v>
      </c>
      <c r="F2377" t="e">
        <f>NA()</f>
        <v>#N/A</v>
      </c>
      <c r="G2377" t="e">
        <f>NA()</f>
        <v>#N/A</v>
      </c>
      <c r="H2377" t="e">
        <f>NA()</f>
        <v>#N/A</v>
      </c>
      <c r="I2377" t="e">
        <f>NA()</f>
        <v>#N/A</v>
      </c>
      <c r="J2377" t="e">
        <f>NA()</f>
        <v>#N/A</v>
      </c>
      <c r="K2377" t="e">
        <f>NA()</f>
        <v>#N/A</v>
      </c>
      <c r="L2377" t="e">
        <f>NA()</f>
        <v>#N/A</v>
      </c>
      <c r="M2377" t="e">
        <f>NA()</f>
        <v>#N/A</v>
      </c>
      <c r="N2377" t="e">
        <f>NA()</f>
        <v>#N/A</v>
      </c>
      <c r="O2377">
        <f t="shared" si="97"/>
        <v>0.4</v>
      </c>
    </row>
    <row r="2378" spans="1:15" x14ac:dyDescent="0.25">
      <c r="A2378" s="1">
        <v>42576</v>
      </c>
      <c r="B2378" t="e">
        <f>NA()</f>
        <v>#N/A</v>
      </c>
      <c r="C2378" t="e">
        <f>NA()</f>
        <v>#N/A</v>
      </c>
      <c r="D2378" t="e">
        <f>NA()</f>
        <v>#N/A</v>
      </c>
      <c r="E2378" t="e">
        <f>NA()</f>
        <v>#N/A</v>
      </c>
      <c r="F2378" t="e">
        <f>NA()</f>
        <v>#N/A</v>
      </c>
      <c r="G2378" t="e">
        <f>NA()</f>
        <v>#N/A</v>
      </c>
      <c r="H2378" t="e">
        <f>NA()</f>
        <v>#N/A</v>
      </c>
      <c r="I2378" t="e">
        <f>NA()</f>
        <v>#N/A</v>
      </c>
      <c r="J2378" t="e">
        <f>NA()</f>
        <v>#N/A</v>
      </c>
      <c r="K2378" t="e">
        <f>NA()</f>
        <v>#N/A</v>
      </c>
      <c r="L2378" t="e">
        <f>NA()</f>
        <v>#N/A</v>
      </c>
      <c r="M2378" t="e">
        <f>NA()</f>
        <v>#N/A</v>
      </c>
      <c r="N2378" t="e">
        <f>NA()</f>
        <v>#N/A</v>
      </c>
      <c r="O2378">
        <f t="shared" si="97"/>
        <v>0.4</v>
      </c>
    </row>
    <row r="2379" spans="1:15" x14ac:dyDescent="0.25">
      <c r="A2379" s="1">
        <v>42573</v>
      </c>
      <c r="B2379">
        <f>0.1</f>
        <v>0.1</v>
      </c>
      <c r="C2379">
        <f>0</f>
        <v>0</v>
      </c>
      <c r="D2379" t="e">
        <f>NA()</f>
        <v>#N/A</v>
      </c>
      <c r="E2379" t="e">
        <f>NA()</f>
        <v>#N/A</v>
      </c>
      <c r="F2379" t="e">
        <f>NA()</f>
        <v>#N/A</v>
      </c>
      <c r="G2379" t="e">
        <f>NA()</f>
        <v>#N/A</v>
      </c>
      <c r="H2379" t="e">
        <f>NA()</f>
        <v>#N/A</v>
      </c>
      <c r="I2379" t="e">
        <f>NA()</f>
        <v>#N/A</v>
      </c>
      <c r="J2379" t="e">
        <f>NA()</f>
        <v>#N/A</v>
      </c>
      <c r="K2379" t="e">
        <f>NA()</f>
        <v>#N/A</v>
      </c>
      <c r="L2379" t="e">
        <f>NA()</f>
        <v>#N/A</v>
      </c>
      <c r="M2379" t="e">
        <f>NA()</f>
        <v>#N/A</v>
      </c>
      <c r="N2379" t="e">
        <f>NA()</f>
        <v>#N/A</v>
      </c>
      <c r="O2379">
        <f t="shared" si="97"/>
        <v>0.4</v>
      </c>
    </row>
    <row r="2380" spans="1:15" x14ac:dyDescent="0.25">
      <c r="A2380" s="1">
        <v>42572</v>
      </c>
      <c r="B2380" t="e">
        <f>NA()</f>
        <v>#N/A</v>
      </c>
      <c r="C2380" t="e">
        <f>NA()</f>
        <v>#N/A</v>
      </c>
      <c r="D2380" t="e">
        <f>NA()</f>
        <v>#N/A</v>
      </c>
      <c r="E2380" t="e">
        <f>NA()</f>
        <v>#N/A</v>
      </c>
      <c r="F2380" t="e">
        <f>NA()</f>
        <v>#N/A</v>
      </c>
      <c r="G2380" t="e">
        <f>NA()</f>
        <v>#N/A</v>
      </c>
      <c r="H2380" t="e">
        <f>NA()</f>
        <v>#N/A</v>
      </c>
      <c r="I2380" t="e">
        <f>NA()</f>
        <v>#N/A</v>
      </c>
      <c r="J2380" t="e">
        <f>NA()</f>
        <v>#N/A</v>
      </c>
      <c r="K2380" t="e">
        <f>NA()</f>
        <v>#N/A</v>
      </c>
      <c r="L2380" t="e">
        <f>NA()</f>
        <v>#N/A</v>
      </c>
      <c r="M2380" t="e">
        <f>NA()</f>
        <v>#N/A</v>
      </c>
      <c r="N2380" t="e">
        <f>NA()</f>
        <v>#N/A</v>
      </c>
      <c r="O2380">
        <f t="shared" si="97"/>
        <v>0.4</v>
      </c>
    </row>
    <row r="2381" spans="1:15" x14ac:dyDescent="0.25">
      <c r="A2381" s="1">
        <v>42571</v>
      </c>
      <c r="B2381" t="e">
        <f>NA()</f>
        <v>#N/A</v>
      </c>
      <c r="C2381" t="e">
        <f>NA()</f>
        <v>#N/A</v>
      </c>
      <c r="D2381" t="e">
        <f>NA()</f>
        <v>#N/A</v>
      </c>
      <c r="E2381" t="e">
        <f>NA()</f>
        <v>#N/A</v>
      </c>
      <c r="F2381" t="e">
        <f>NA()</f>
        <v>#N/A</v>
      </c>
      <c r="G2381" t="e">
        <f>NA()</f>
        <v>#N/A</v>
      </c>
      <c r="H2381" t="e">
        <f>NA()</f>
        <v>#N/A</v>
      </c>
      <c r="I2381" t="e">
        <f>NA()</f>
        <v>#N/A</v>
      </c>
      <c r="J2381" t="e">
        <f>NA()</f>
        <v>#N/A</v>
      </c>
      <c r="K2381" t="e">
        <f>NA()</f>
        <v>#N/A</v>
      </c>
      <c r="L2381" t="e">
        <f>NA()</f>
        <v>#N/A</v>
      </c>
      <c r="M2381" t="e">
        <f>NA()</f>
        <v>#N/A</v>
      </c>
      <c r="N2381" t="e">
        <f>NA()</f>
        <v>#N/A</v>
      </c>
      <c r="O2381">
        <f t="shared" si="97"/>
        <v>0.4</v>
      </c>
    </row>
    <row r="2382" spans="1:15" x14ac:dyDescent="0.25">
      <c r="A2382" s="1">
        <v>42570</v>
      </c>
      <c r="B2382" t="e">
        <f>NA()</f>
        <v>#N/A</v>
      </c>
      <c r="C2382" t="e">
        <f>NA()</f>
        <v>#N/A</v>
      </c>
      <c r="D2382" t="e">
        <f>NA()</f>
        <v>#N/A</v>
      </c>
      <c r="E2382" t="e">
        <f>NA()</f>
        <v>#N/A</v>
      </c>
      <c r="F2382" t="e">
        <f>NA()</f>
        <v>#N/A</v>
      </c>
      <c r="G2382" t="e">
        <f>NA()</f>
        <v>#N/A</v>
      </c>
      <c r="H2382" t="e">
        <f>NA()</f>
        <v>#N/A</v>
      </c>
      <c r="I2382" t="e">
        <f>NA()</f>
        <v>#N/A</v>
      </c>
      <c r="J2382" t="e">
        <f>NA()</f>
        <v>#N/A</v>
      </c>
      <c r="K2382" t="e">
        <f>NA()</f>
        <v>#N/A</v>
      </c>
      <c r="L2382" t="e">
        <f>NA()</f>
        <v>#N/A</v>
      </c>
      <c r="M2382" t="e">
        <f>NA()</f>
        <v>#N/A</v>
      </c>
      <c r="N2382" t="e">
        <f>NA()</f>
        <v>#N/A</v>
      </c>
      <c r="O2382">
        <f t="shared" si="97"/>
        <v>0.4</v>
      </c>
    </row>
    <row r="2383" spans="1:15" x14ac:dyDescent="0.25">
      <c r="A2383" s="1">
        <v>42569</v>
      </c>
      <c r="B2383" t="e">
        <f>NA()</f>
        <v>#N/A</v>
      </c>
      <c r="C2383" t="e">
        <f>NA()</f>
        <v>#N/A</v>
      </c>
      <c r="D2383" t="e">
        <f>NA()</f>
        <v>#N/A</v>
      </c>
      <c r="E2383" t="e">
        <f>NA()</f>
        <v>#N/A</v>
      </c>
      <c r="F2383" t="e">
        <f>NA()</f>
        <v>#N/A</v>
      </c>
      <c r="G2383" t="e">
        <f>NA()</f>
        <v>#N/A</v>
      </c>
      <c r="H2383" t="e">
        <f>NA()</f>
        <v>#N/A</v>
      </c>
      <c r="I2383" t="e">
        <f>NA()</f>
        <v>#N/A</v>
      </c>
      <c r="J2383" t="e">
        <f>NA()</f>
        <v>#N/A</v>
      </c>
      <c r="K2383" t="e">
        <f>NA()</f>
        <v>#N/A</v>
      </c>
      <c r="L2383" t="e">
        <f>NA()</f>
        <v>#N/A</v>
      </c>
      <c r="M2383" t="e">
        <f>NA()</f>
        <v>#N/A</v>
      </c>
      <c r="N2383" t="e">
        <f>NA()</f>
        <v>#N/A</v>
      </c>
      <c r="O2383">
        <f t="shared" si="97"/>
        <v>0.4</v>
      </c>
    </row>
    <row r="2384" spans="1:15" x14ac:dyDescent="0.25">
      <c r="A2384" s="1">
        <v>42566</v>
      </c>
      <c r="B2384">
        <f>-0.1</f>
        <v>-0.1</v>
      </c>
      <c r="C2384">
        <f>0</f>
        <v>0</v>
      </c>
      <c r="D2384" t="e">
        <f>NA()</f>
        <v>#N/A</v>
      </c>
      <c r="E2384" t="e">
        <f>NA()</f>
        <v>#N/A</v>
      </c>
      <c r="F2384" t="e">
        <f>NA()</f>
        <v>#N/A</v>
      </c>
      <c r="G2384" t="e">
        <f>NA()</f>
        <v>#N/A</v>
      </c>
      <c r="H2384" t="e">
        <f>NA()</f>
        <v>#N/A</v>
      </c>
      <c r="I2384" t="e">
        <f>NA()</f>
        <v>#N/A</v>
      </c>
      <c r="J2384" t="e">
        <f>NA()</f>
        <v>#N/A</v>
      </c>
      <c r="K2384" t="e">
        <f>NA()</f>
        <v>#N/A</v>
      </c>
      <c r="L2384" t="e">
        <f>NA()</f>
        <v>#N/A</v>
      </c>
      <c r="M2384" t="e">
        <f>NA()</f>
        <v>#N/A</v>
      </c>
      <c r="N2384" t="e">
        <f>NA()</f>
        <v>#N/A</v>
      </c>
      <c r="O2384">
        <f t="shared" si="97"/>
        <v>0.4</v>
      </c>
    </row>
    <row r="2385" spans="1:15" x14ac:dyDescent="0.25">
      <c r="A2385" s="1">
        <v>42565</v>
      </c>
      <c r="B2385" t="e">
        <f>NA()</f>
        <v>#N/A</v>
      </c>
      <c r="C2385" t="e">
        <f>NA()</f>
        <v>#N/A</v>
      </c>
      <c r="D2385" t="e">
        <f>NA()</f>
        <v>#N/A</v>
      </c>
      <c r="E2385" t="e">
        <f>NA()</f>
        <v>#N/A</v>
      </c>
      <c r="F2385" t="e">
        <f>NA()</f>
        <v>#N/A</v>
      </c>
      <c r="G2385" t="e">
        <f>NA()</f>
        <v>#N/A</v>
      </c>
      <c r="H2385" t="e">
        <f>NA()</f>
        <v>#N/A</v>
      </c>
      <c r="I2385" t="e">
        <f>NA()</f>
        <v>#N/A</v>
      </c>
      <c r="J2385" t="e">
        <f>NA()</f>
        <v>#N/A</v>
      </c>
      <c r="K2385" t="e">
        <f>NA()</f>
        <v>#N/A</v>
      </c>
      <c r="L2385" t="e">
        <f>NA()</f>
        <v>#N/A</v>
      </c>
      <c r="M2385" t="e">
        <f>NA()</f>
        <v>#N/A</v>
      </c>
      <c r="N2385" t="e">
        <f>NA()</f>
        <v>#N/A</v>
      </c>
      <c r="O2385">
        <f t="shared" si="97"/>
        <v>0.4</v>
      </c>
    </row>
    <row r="2386" spans="1:15" x14ac:dyDescent="0.25">
      <c r="A2386" s="1">
        <v>42564</v>
      </c>
      <c r="B2386" t="e">
        <f>NA()</f>
        <v>#N/A</v>
      </c>
      <c r="C2386" t="e">
        <f>NA()</f>
        <v>#N/A</v>
      </c>
      <c r="D2386" t="e">
        <f>NA()</f>
        <v>#N/A</v>
      </c>
      <c r="E2386" t="e">
        <f>NA()</f>
        <v>#N/A</v>
      </c>
      <c r="F2386" t="e">
        <f>NA()</f>
        <v>#N/A</v>
      </c>
      <c r="G2386" t="e">
        <f>NA()</f>
        <v>#N/A</v>
      </c>
      <c r="H2386" t="e">
        <f>NA()</f>
        <v>#N/A</v>
      </c>
      <c r="I2386" t="e">
        <f>NA()</f>
        <v>#N/A</v>
      </c>
      <c r="J2386" t="e">
        <f>NA()</f>
        <v>#N/A</v>
      </c>
      <c r="K2386" t="e">
        <f>NA()</f>
        <v>#N/A</v>
      </c>
      <c r="L2386" t="e">
        <f>NA()</f>
        <v>#N/A</v>
      </c>
      <c r="M2386" t="e">
        <f>NA()</f>
        <v>#N/A</v>
      </c>
      <c r="N2386" t="e">
        <f>NA()</f>
        <v>#N/A</v>
      </c>
      <c r="O2386">
        <f t="shared" si="97"/>
        <v>0.4</v>
      </c>
    </row>
    <row r="2387" spans="1:15" x14ac:dyDescent="0.25">
      <c r="A2387" s="1">
        <v>42563</v>
      </c>
      <c r="B2387" t="e">
        <f>NA()</f>
        <v>#N/A</v>
      </c>
      <c r="C2387" t="e">
        <f>NA()</f>
        <v>#N/A</v>
      </c>
      <c r="D2387" t="e">
        <f>NA()</f>
        <v>#N/A</v>
      </c>
      <c r="E2387" t="e">
        <f>NA()</f>
        <v>#N/A</v>
      </c>
      <c r="F2387" t="e">
        <f>NA()</f>
        <v>#N/A</v>
      </c>
      <c r="G2387" t="e">
        <f>NA()</f>
        <v>#N/A</v>
      </c>
      <c r="H2387" t="e">
        <f>NA()</f>
        <v>#N/A</v>
      </c>
      <c r="I2387" t="e">
        <f>NA()</f>
        <v>#N/A</v>
      </c>
      <c r="J2387" t="e">
        <f>NA()</f>
        <v>#N/A</v>
      </c>
      <c r="K2387" t="e">
        <f>NA()</f>
        <v>#N/A</v>
      </c>
      <c r="L2387" t="e">
        <f>NA()</f>
        <v>#N/A</v>
      </c>
      <c r="M2387" t="e">
        <f>NA()</f>
        <v>#N/A</v>
      </c>
      <c r="N2387" t="e">
        <f>NA()</f>
        <v>#N/A</v>
      </c>
      <c r="O2387">
        <f t="shared" si="97"/>
        <v>0.4</v>
      </c>
    </row>
    <row r="2388" spans="1:15" x14ac:dyDescent="0.25">
      <c r="A2388" s="1">
        <v>42562</v>
      </c>
      <c r="B2388" t="e">
        <f>NA()</f>
        <v>#N/A</v>
      </c>
      <c r="C2388" t="e">
        <f>NA()</f>
        <v>#N/A</v>
      </c>
      <c r="D2388" t="e">
        <f>NA()</f>
        <v>#N/A</v>
      </c>
      <c r="E2388" t="e">
        <f>NA()</f>
        <v>#N/A</v>
      </c>
      <c r="F2388" t="e">
        <f>NA()</f>
        <v>#N/A</v>
      </c>
      <c r="G2388" t="e">
        <f>NA()</f>
        <v>#N/A</v>
      </c>
      <c r="H2388" t="e">
        <f>NA()</f>
        <v>#N/A</v>
      </c>
      <c r="I2388" t="e">
        <f>NA()</f>
        <v>#N/A</v>
      </c>
      <c r="J2388" t="e">
        <f>NA()</f>
        <v>#N/A</v>
      </c>
      <c r="K2388" t="e">
        <f>NA()</f>
        <v>#N/A</v>
      </c>
      <c r="L2388" t="e">
        <f>NA()</f>
        <v>#N/A</v>
      </c>
      <c r="M2388" t="e">
        <f>NA()</f>
        <v>#N/A</v>
      </c>
      <c r="N2388" t="e">
        <f>NA()</f>
        <v>#N/A</v>
      </c>
      <c r="O2388">
        <f t="shared" si="97"/>
        <v>0.4</v>
      </c>
    </row>
    <row r="2389" spans="1:15" x14ac:dyDescent="0.25">
      <c r="A2389" s="1">
        <v>42559</v>
      </c>
      <c r="B2389">
        <f>0.2</f>
        <v>0.2</v>
      </c>
      <c r="C2389">
        <f>0</f>
        <v>0</v>
      </c>
      <c r="D2389" t="e">
        <f>NA()</f>
        <v>#N/A</v>
      </c>
      <c r="E2389" t="e">
        <f>NA()</f>
        <v>#N/A</v>
      </c>
      <c r="F2389" t="e">
        <f>NA()</f>
        <v>#N/A</v>
      </c>
      <c r="G2389" t="e">
        <f>NA()</f>
        <v>#N/A</v>
      </c>
      <c r="H2389" t="e">
        <f>NA()</f>
        <v>#N/A</v>
      </c>
      <c r="I2389" t="e">
        <f>NA()</f>
        <v>#N/A</v>
      </c>
      <c r="J2389" t="e">
        <f>NA()</f>
        <v>#N/A</v>
      </c>
      <c r="K2389" t="e">
        <f>NA()</f>
        <v>#N/A</v>
      </c>
      <c r="L2389" t="e">
        <f>NA()</f>
        <v>#N/A</v>
      </c>
      <c r="M2389" t="e">
        <f>NA()</f>
        <v>#N/A</v>
      </c>
      <c r="N2389" t="e">
        <f>NA()</f>
        <v>#N/A</v>
      </c>
      <c r="O2389">
        <f t="shared" si="97"/>
        <v>0.4</v>
      </c>
    </row>
    <row r="2390" spans="1:15" x14ac:dyDescent="0.25">
      <c r="A2390" s="1">
        <v>42558</v>
      </c>
      <c r="B2390" t="e">
        <f>NA()</f>
        <v>#N/A</v>
      </c>
      <c r="C2390" t="e">
        <f>NA()</f>
        <v>#N/A</v>
      </c>
      <c r="D2390" t="e">
        <f>NA()</f>
        <v>#N/A</v>
      </c>
      <c r="E2390" t="e">
        <f>NA()</f>
        <v>#N/A</v>
      </c>
      <c r="F2390" t="e">
        <f>NA()</f>
        <v>#N/A</v>
      </c>
      <c r="G2390" t="e">
        <f>NA()</f>
        <v>#N/A</v>
      </c>
      <c r="H2390" t="e">
        <f>NA()</f>
        <v>#N/A</v>
      </c>
      <c r="I2390" t="e">
        <f>NA()</f>
        <v>#N/A</v>
      </c>
      <c r="J2390" t="e">
        <f>NA()</f>
        <v>#N/A</v>
      </c>
      <c r="K2390" t="e">
        <f>NA()</f>
        <v>#N/A</v>
      </c>
      <c r="L2390" t="e">
        <f>NA()</f>
        <v>#N/A</v>
      </c>
      <c r="M2390" t="e">
        <f>NA()</f>
        <v>#N/A</v>
      </c>
      <c r="N2390" t="e">
        <f>NA()</f>
        <v>#N/A</v>
      </c>
      <c r="O2390">
        <f t="shared" si="97"/>
        <v>0.4</v>
      </c>
    </row>
    <row r="2391" spans="1:15" x14ac:dyDescent="0.25">
      <c r="A2391" s="1">
        <v>42557</v>
      </c>
      <c r="B2391" t="e">
        <f>NA()</f>
        <v>#N/A</v>
      </c>
      <c r="C2391" t="e">
        <f>NA()</f>
        <v>#N/A</v>
      </c>
      <c r="D2391" t="e">
        <f>NA()</f>
        <v>#N/A</v>
      </c>
      <c r="E2391" t="e">
        <f>NA()</f>
        <v>#N/A</v>
      </c>
      <c r="F2391" t="e">
        <f>NA()</f>
        <v>#N/A</v>
      </c>
      <c r="G2391" t="e">
        <f>NA()</f>
        <v>#N/A</v>
      </c>
      <c r="H2391" t="e">
        <f>NA()</f>
        <v>#N/A</v>
      </c>
      <c r="I2391" t="e">
        <f>NA()</f>
        <v>#N/A</v>
      </c>
      <c r="J2391" t="e">
        <f>NA()</f>
        <v>#N/A</v>
      </c>
      <c r="K2391" t="e">
        <f>NA()</f>
        <v>#N/A</v>
      </c>
      <c r="L2391" t="e">
        <f>NA()</f>
        <v>#N/A</v>
      </c>
      <c r="M2391" t="e">
        <f>NA()</f>
        <v>#N/A</v>
      </c>
      <c r="N2391" t="e">
        <f>NA()</f>
        <v>#N/A</v>
      </c>
      <c r="O2391">
        <f t="shared" si="97"/>
        <v>0.4</v>
      </c>
    </row>
    <row r="2392" spans="1:15" x14ac:dyDescent="0.25">
      <c r="A2392" s="1">
        <v>42556</v>
      </c>
      <c r="B2392" t="e">
        <f>NA()</f>
        <v>#N/A</v>
      </c>
      <c r="C2392" t="e">
        <f>NA()</f>
        <v>#N/A</v>
      </c>
      <c r="D2392" t="e">
        <f>NA()</f>
        <v>#N/A</v>
      </c>
      <c r="E2392" t="e">
        <f>NA()</f>
        <v>#N/A</v>
      </c>
      <c r="F2392" t="e">
        <f>NA()</f>
        <v>#N/A</v>
      </c>
      <c r="G2392" t="e">
        <f>NA()</f>
        <v>#N/A</v>
      </c>
      <c r="H2392" t="e">
        <f>NA()</f>
        <v>#N/A</v>
      </c>
      <c r="I2392" t="e">
        <f>NA()</f>
        <v>#N/A</v>
      </c>
      <c r="J2392" t="e">
        <f>NA()</f>
        <v>#N/A</v>
      </c>
      <c r="K2392" t="e">
        <f>NA()</f>
        <v>#N/A</v>
      </c>
      <c r="L2392" t="e">
        <f>NA()</f>
        <v>#N/A</v>
      </c>
      <c r="M2392" t="e">
        <f>NA()</f>
        <v>#N/A</v>
      </c>
      <c r="N2392" t="e">
        <f>NA()</f>
        <v>#N/A</v>
      </c>
      <c r="O2392">
        <f t="shared" si="97"/>
        <v>0.4</v>
      </c>
    </row>
    <row r="2393" spans="1:15" x14ac:dyDescent="0.25">
      <c r="A2393" s="1">
        <v>42552</v>
      </c>
      <c r="B2393">
        <f>0.6</f>
        <v>0.6</v>
      </c>
      <c r="C2393">
        <f>0</f>
        <v>0</v>
      </c>
      <c r="D2393" t="e">
        <f>NA()</f>
        <v>#N/A</v>
      </c>
      <c r="E2393" t="e">
        <f>NA()</f>
        <v>#N/A</v>
      </c>
      <c r="F2393" t="e">
        <f>NA()</f>
        <v>#N/A</v>
      </c>
      <c r="G2393" t="e">
        <f>NA()</f>
        <v>#N/A</v>
      </c>
      <c r="H2393" t="e">
        <f>NA()</f>
        <v>#N/A</v>
      </c>
      <c r="I2393" t="e">
        <f>NA()</f>
        <v>#N/A</v>
      </c>
      <c r="J2393" t="e">
        <f>NA()</f>
        <v>#N/A</v>
      </c>
      <c r="K2393" t="e">
        <f>NA()</f>
        <v>#N/A</v>
      </c>
      <c r="L2393" t="e">
        <f>NA()</f>
        <v>#N/A</v>
      </c>
      <c r="M2393" t="e">
        <f>NA()</f>
        <v>#N/A</v>
      </c>
      <c r="N2393" t="e">
        <f>NA()</f>
        <v>#N/A</v>
      </c>
      <c r="O2393">
        <f t="shared" si="97"/>
        <v>0.4</v>
      </c>
    </row>
    <row r="2394" spans="1:15" x14ac:dyDescent="0.25">
      <c r="A2394" s="1">
        <v>42551</v>
      </c>
      <c r="B2394" t="e">
        <f>NA()</f>
        <v>#N/A</v>
      </c>
      <c r="C2394" t="e">
        <f>NA()</f>
        <v>#N/A</v>
      </c>
      <c r="D2394">
        <f>0.2</f>
        <v>0.2</v>
      </c>
      <c r="E2394">
        <f>1.5</f>
        <v>1.5</v>
      </c>
      <c r="F2394">
        <f>5742</f>
        <v>5742</v>
      </c>
      <c r="G2394">
        <f>62.7</f>
        <v>62.7</v>
      </c>
      <c r="H2394">
        <f>3.4</f>
        <v>3.4</v>
      </c>
      <c r="I2394">
        <f>241</f>
        <v>241</v>
      </c>
      <c r="J2394">
        <f>1</f>
        <v>1</v>
      </c>
      <c r="K2394">
        <f>52.2</f>
        <v>52.2</v>
      </c>
      <c r="L2394">
        <f>0.5</f>
        <v>0.5</v>
      </c>
      <c r="M2394">
        <f>1.3</f>
        <v>1.3</v>
      </c>
      <c r="N2394">
        <f>4.9</f>
        <v>4.9000000000000004</v>
      </c>
      <c r="O2394">
        <f>0.3</f>
        <v>0.3</v>
      </c>
    </row>
    <row r="2395" spans="1:15" x14ac:dyDescent="0.25">
      <c r="A2395" s="1">
        <v>42550</v>
      </c>
      <c r="B2395" t="e">
        <f>NA()</f>
        <v>#N/A</v>
      </c>
      <c r="C2395" t="e">
        <f>NA()</f>
        <v>#N/A</v>
      </c>
      <c r="D2395" t="e">
        <f>NA()</f>
        <v>#N/A</v>
      </c>
      <c r="E2395" t="e">
        <f>NA()</f>
        <v>#N/A</v>
      </c>
      <c r="F2395" t="e">
        <f>NA()</f>
        <v>#N/A</v>
      </c>
      <c r="G2395" t="e">
        <f>NA()</f>
        <v>#N/A</v>
      </c>
      <c r="H2395" t="e">
        <f>NA()</f>
        <v>#N/A</v>
      </c>
      <c r="I2395" t="e">
        <f>NA()</f>
        <v>#N/A</v>
      </c>
      <c r="J2395" t="e">
        <f>NA()</f>
        <v>#N/A</v>
      </c>
      <c r="K2395" t="e">
        <f>NA()</f>
        <v>#N/A</v>
      </c>
      <c r="L2395" t="e">
        <f>NA()</f>
        <v>#N/A</v>
      </c>
      <c r="M2395" t="e">
        <f>NA()</f>
        <v>#N/A</v>
      </c>
      <c r="N2395" t="e">
        <f>NA()</f>
        <v>#N/A</v>
      </c>
      <c r="O2395">
        <f t="shared" ref="O2395:O2415" si="98">0.4</f>
        <v>0.4</v>
      </c>
    </row>
    <row r="2396" spans="1:15" x14ac:dyDescent="0.25">
      <c r="A2396" s="1">
        <v>42549</v>
      </c>
      <c r="B2396" t="e">
        <f>NA()</f>
        <v>#N/A</v>
      </c>
      <c r="C2396" t="e">
        <f>NA()</f>
        <v>#N/A</v>
      </c>
      <c r="D2396" t="e">
        <f>NA()</f>
        <v>#N/A</v>
      </c>
      <c r="E2396" t="e">
        <f>NA()</f>
        <v>#N/A</v>
      </c>
      <c r="F2396" t="e">
        <f>NA()</f>
        <v>#N/A</v>
      </c>
      <c r="G2396" t="e">
        <f>NA()</f>
        <v>#N/A</v>
      </c>
      <c r="H2396" t="e">
        <f>NA()</f>
        <v>#N/A</v>
      </c>
      <c r="I2396" t="e">
        <f>NA()</f>
        <v>#N/A</v>
      </c>
      <c r="J2396" t="e">
        <f>NA()</f>
        <v>#N/A</v>
      </c>
      <c r="K2396" t="e">
        <f>NA()</f>
        <v>#N/A</v>
      </c>
      <c r="L2396" t="e">
        <f>NA()</f>
        <v>#N/A</v>
      </c>
      <c r="M2396" t="e">
        <f>NA()</f>
        <v>#N/A</v>
      </c>
      <c r="N2396" t="e">
        <f>NA()</f>
        <v>#N/A</v>
      </c>
      <c r="O2396">
        <f t="shared" si="98"/>
        <v>0.4</v>
      </c>
    </row>
    <row r="2397" spans="1:15" x14ac:dyDescent="0.25">
      <c r="A2397" s="1">
        <v>42548</v>
      </c>
      <c r="B2397" t="e">
        <f>NA()</f>
        <v>#N/A</v>
      </c>
      <c r="C2397" t="e">
        <f>NA()</f>
        <v>#N/A</v>
      </c>
      <c r="D2397" t="e">
        <f>NA()</f>
        <v>#N/A</v>
      </c>
      <c r="E2397" t="e">
        <f>NA()</f>
        <v>#N/A</v>
      </c>
      <c r="F2397" t="e">
        <f>NA()</f>
        <v>#N/A</v>
      </c>
      <c r="G2397" t="e">
        <f>NA()</f>
        <v>#N/A</v>
      </c>
      <c r="H2397" t="e">
        <f>NA()</f>
        <v>#N/A</v>
      </c>
      <c r="I2397" t="e">
        <f>NA()</f>
        <v>#N/A</v>
      </c>
      <c r="J2397" t="e">
        <f>NA()</f>
        <v>#N/A</v>
      </c>
      <c r="K2397" t="e">
        <f>NA()</f>
        <v>#N/A</v>
      </c>
      <c r="L2397" t="e">
        <f>NA()</f>
        <v>#N/A</v>
      </c>
      <c r="M2397" t="e">
        <f>NA()</f>
        <v>#N/A</v>
      </c>
      <c r="N2397" t="e">
        <f>NA()</f>
        <v>#N/A</v>
      </c>
      <c r="O2397">
        <f t="shared" si="98"/>
        <v>0.4</v>
      </c>
    </row>
    <row r="2398" spans="1:15" x14ac:dyDescent="0.25">
      <c r="A2398" s="1">
        <v>42545</v>
      </c>
      <c r="B2398">
        <f>0.2</f>
        <v>0.2</v>
      </c>
      <c r="C2398">
        <f>0</f>
        <v>0</v>
      </c>
      <c r="D2398" t="e">
        <f>NA()</f>
        <v>#N/A</v>
      </c>
      <c r="E2398" t="e">
        <f>NA()</f>
        <v>#N/A</v>
      </c>
      <c r="F2398" t="e">
        <f>NA()</f>
        <v>#N/A</v>
      </c>
      <c r="G2398" t="e">
        <f>NA()</f>
        <v>#N/A</v>
      </c>
      <c r="H2398" t="e">
        <f>NA()</f>
        <v>#N/A</v>
      </c>
      <c r="I2398" t="e">
        <f>NA()</f>
        <v>#N/A</v>
      </c>
      <c r="J2398" t="e">
        <f>NA()</f>
        <v>#N/A</v>
      </c>
      <c r="K2398" t="e">
        <f>NA()</f>
        <v>#N/A</v>
      </c>
      <c r="L2398" t="e">
        <f>NA()</f>
        <v>#N/A</v>
      </c>
      <c r="M2398" t="e">
        <f>NA()</f>
        <v>#N/A</v>
      </c>
      <c r="N2398" t="e">
        <f>NA()</f>
        <v>#N/A</v>
      </c>
      <c r="O2398">
        <f t="shared" si="98"/>
        <v>0.4</v>
      </c>
    </row>
    <row r="2399" spans="1:15" x14ac:dyDescent="0.25">
      <c r="A2399" s="1">
        <v>42544</v>
      </c>
      <c r="B2399" t="e">
        <f>NA()</f>
        <v>#N/A</v>
      </c>
      <c r="C2399" t="e">
        <f>NA()</f>
        <v>#N/A</v>
      </c>
      <c r="D2399" t="e">
        <f>NA()</f>
        <v>#N/A</v>
      </c>
      <c r="E2399" t="e">
        <f>NA()</f>
        <v>#N/A</v>
      </c>
      <c r="F2399" t="e">
        <f>NA()</f>
        <v>#N/A</v>
      </c>
      <c r="G2399" t="e">
        <f>NA()</f>
        <v>#N/A</v>
      </c>
      <c r="H2399" t="e">
        <f>NA()</f>
        <v>#N/A</v>
      </c>
      <c r="I2399" t="e">
        <f>NA()</f>
        <v>#N/A</v>
      </c>
      <c r="J2399" t="e">
        <f>NA()</f>
        <v>#N/A</v>
      </c>
      <c r="K2399" t="e">
        <f>NA()</f>
        <v>#N/A</v>
      </c>
      <c r="L2399" t="e">
        <f>NA()</f>
        <v>#N/A</v>
      </c>
      <c r="M2399" t="e">
        <f>NA()</f>
        <v>#N/A</v>
      </c>
      <c r="N2399" t="e">
        <f>NA()</f>
        <v>#N/A</v>
      </c>
      <c r="O2399">
        <f t="shared" si="98"/>
        <v>0.4</v>
      </c>
    </row>
    <row r="2400" spans="1:15" x14ac:dyDescent="0.25">
      <c r="A2400" s="1">
        <v>42543</v>
      </c>
      <c r="B2400" t="e">
        <f>NA()</f>
        <v>#N/A</v>
      </c>
      <c r="C2400" t="e">
        <f>NA()</f>
        <v>#N/A</v>
      </c>
      <c r="D2400" t="e">
        <f>NA()</f>
        <v>#N/A</v>
      </c>
      <c r="E2400" t="e">
        <f>NA()</f>
        <v>#N/A</v>
      </c>
      <c r="F2400" t="e">
        <f>NA()</f>
        <v>#N/A</v>
      </c>
      <c r="G2400" t="e">
        <f>NA()</f>
        <v>#N/A</v>
      </c>
      <c r="H2400" t="e">
        <f>NA()</f>
        <v>#N/A</v>
      </c>
      <c r="I2400" t="e">
        <f>NA()</f>
        <v>#N/A</v>
      </c>
      <c r="J2400" t="e">
        <f>NA()</f>
        <v>#N/A</v>
      </c>
      <c r="K2400" t="e">
        <f>NA()</f>
        <v>#N/A</v>
      </c>
      <c r="L2400" t="e">
        <f>NA()</f>
        <v>#N/A</v>
      </c>
      <c r="M2400" t="e">
        <f>NA()</f>
        <v>#N/A</v>
      </c>
      <c r="N2400" t="e">
        <f>NA()</f>
        <v>#N/A</v>
      </c>
      <c r="O2400">
        <f t="shared" si="98"/>
        <v>0.4</v>
      </c>
    </row>
    <row r="2401" spans="1:15" x14ac:dyDescent="0.25">
      <c r="A2401" s="1">
        <v>42542</v>
      </c>
      <c r="B2401" t="e">
        <f>NA()</f>
        <v>#N/A</v>
      </c>
      <c r="C2401" t="e">
        <f>NA()</f>
        <v>#N/A</v>
      </c>
      <c r="D2401" t="e">
        <f>NA()</f>
        <v>#N/A</v>
      </c>
      <c r="E2401" t="e">
        <f>NA()</f>
        <v>#N/A</v>
      </c>
      <c r="F2401" t="e">
        <f>NA()</f>
        <v>#N/A</v>
      </c>
      <c r="G2401" t="e">
        <f>NA()</f>
        <v>#N/A</v>
      </c>
      <c r="H2401" t="e">
        <f>NA()</f>
        <v>#N/A</v>
      </c>
      <c r="I2401" t="e">
        <f>NA()</f>
        <v>#N/A</v>
      </c>
      <c r="J2401" t="e">
        <f>NA()</f>
        <v>#N/A</v>
      </c>
      <c r="K2401" t="e">
        <f>NA()</f>
        <v>#N/A</v>
      </c>
      <c r="L2401" t="e">
        <f>NA()</f>
        <v>#N/A</v>
      </c>
      <c r="M2401" t="e">
        <f>NA()</f>
        <v>#N/A</v>
      </c>
      <c r="N2401" t="e">
        <f>NA()</f>
        <v>#N/A</v>
      </c>
      <c r="O2401">
        <f t="shared" si="98"/>
        <v>0.4</v>
      </c>
    </row>
    <row r="2402" spans="1:15" x14ac:dyDescent="0.25">
      <c r="A2402" s="1">
        <v>42541</v>
      </c>
      <c r="B2402" t="e">
        <f>NA()</f>
        <v>#N/A</v>
      </c>
      <c r="C2402" t="e">
        <f>NA()</f>
        <v>#N/A</v>
      </c>
      <c r="D2402" t="e">
        <f>NA()</f>
        <v>#N/A</v>
      </c>
      <c r="E2402" t="e">
        <f>NA()</f>
        <v>#N/A</v>
      </c>
      <c r="F2402" t="e">
        <f>NA()</f>
        <v>#N/A</v>
      </c>
      <c r="G2402" t="e">
        <f>NA()</f>
        <v>#N/A</v>
      </c>
      <c r="H2402" t="e">
        <f>NA()</f>
        <v>#N/A</v>
      </c>
      <c r="I2402" t="e">
        <f>NA()</f>
        <v>#N/A</v>
      </c>
      <c r="J2402" t="e">
        <f>NA()</f>
        <v>#N/A</v>
      </c>
      <c r="K2402" t="e">
        <f>NA()</f>
        <v>#N/A</v>
      </c>
      <c r="L2402" t="e">
        <f>NA()</f>
        <v>#N/A</v>
      </c>
      <c r="M2402" t="e">
        <f>NA()</f>
        <v>#N/A</v>
      </c>
      <c r="N2402" t="e">
        <f>NA()</f>
        <v>#N/A</v>
      </c>
      <c r="O2402">
        <f t="shared" si="98"/>
        <v>0.4</v>
      </c>
    </row>
    <row r="2403" spans="1:15" x14ac:dyDescent="0.25">
      <c r="A2403" s="1">
        <v>42538</v>
      </c>
      <c r="B2403">
        <f>0.6</f>
        <v>0.6</v>
      </c>
      <c r="C2403">
        <f>0</f>
        <v>0</v>
      </c>
      <c r="D2403" t="e">
        <f>NA()</f>
        <v>#N/A</v>
      </c>
      <c r="E2403" t="e">
        <f>NA()</f>
        <v>#N/A</v>
      </c>
      <c r="F2403" t="e">
        <f>NA()</f>
        <v>#N/A</v>
      </c>
      <c r="G2403" t="e">
        <f>NA()</f>
        <v>#N/A</v>
      </c>
      <c r="H2403" t="e">
        <f>NA()</f>
        <v>#N/A</v>
      </c>
      <c r="I2403" t="e">
        <f>NA()</f>
        <v>#N/A</v>
      </c>
      <c r="J2403" t="e">
        <f>NA()</f>
        <v>#N/A</v>
      </c>
      <c r="K2403" t="e">
        <f>NA()</f>
        <v>#N/A</v>
      </c>
      <c r="L2403" t="e">
        <f>NA()</f>
        <v>#N/A</v>
      </c>
      <c r="M2403" t="e">
        <f>NA()</f>
        <v>#N/A</v>
      </c>
      <c r="N2403" t="e">
        <f>NA()</f>
        <v>#N/A</v>
      </c>
      <c r="O2403">
        <f t="shared" si="98"/>
        <v>0.4</v>
      </c>
    </row>
    <row r="2404" spans="1:15" x14ac:dyDescent="0.25">
      <c r="A2404" s="1">
        <v>42537</v>
      </c>
      <c r="B2404" t="e">
        <f>NA()</f>
        <v>#N/A</v>
      </c>
      <c r="C2404" t="e">
        <f>NA()</f>
        <v>#N/A</v>
      </c>
      <c r="D2404" t="e">
        <f>NA()</f>
        <v>#N/A</v>
      </c>
      <c r="E2404" t="e">
        <f>NA()</f>
        <v>#N/A</v>
      </c>
      <c r="F2404" t="e">
        <f>NA()</f>
        <v>#N/A</v>
      </c>
      <c r="G2404" t="e">
        <f>NA()</f>
        <v>#N/A</v>
      </c>
      <c r="H2404" t="e">
        <f>NA()</f>
        <v>#N/A</v>
      </c>
      <c r="I2404" t="e">
        <f>NA()</f>
        <v>#N/A</v>
      </c>
      <c r="J2404" t="e">
        <f>NA()</f>
        <v>#N/A</v>
      </c>
      <c r="K2404" t="e">
        <f>NA()</f>
        <v>#N/A</v>
      </c>
      <c r="L2404" t="e">
        <f>NA()</f>
        <v>#N/A</v>
      </c>
      <c r="M2404" t="e">
        <f>NA()</f>
        <v>#N/A</v>
      </c>
      <c r="N2404" t="e">
        <f>NA()</f>
        <v>#N/A</v>
      </c>
      <c r="O2404">
        <f t="shared" si="98"/>
        <v>0.4</v>
      </c>
    </row>
    <row r="2405" spans="1:15" x14ac:dyDescent="0.25">
      <c r="A2405" s="1">
        <v>42536</v>
      </c>
      <c r="B2405" t="e">
        <f>NA()</f>
        <v>#N/A</v>
      </c>
      <c r="C2405" t="e">
        <f>NA()</f>
        <v>#N/A</v>
      </c>
      <c r="D2405" t="e">
        <f>NA()</f>
        <v>#N/A</v>
      </c>
      <c r="E2405" t="e">
        <f>NA()</f>
        <v>#N/A</v>
      </c>
      <c r="F2405" t="e">
        <f>NA()</f>
        <v>#N/A</v>
      </c>
      <c r="G2405" t="e">
        <f>NA()</f>
        <v>#N/A</v>
      </c>
      <c r="H2405" t="e">
        <f>NA()</f>
        <v>#N/A</v>
      </c>
      <c r="I2405" t="e">
        <f>NA()</f>
        <v>#N/A</v>
      </c>
      <c r="J2405" t="e">
        <f>NA()</f>
        <v>#N/A</v>
      </c>
      <c r="K2405" t="e">
        <f>NA()</f>
        <v>#N/A</v>
      </c>
      <c r="L2405" t="e">
        <f>NA()</f>
        <v>#N/A</v>
      </c>
      <c r="M2405" t="e">
        <f>NA()</f>
        <v>#N/A</v>
      </c>
      <c r="N2405" t="e">
        <f>NA()</f>
        <v>#N/A</v>
      </c>
      <c r="O2405">
        <f t="shared" si="98"/>
        <v>0.4</v>
      </c>
    </row>
    <row r="2406" spans="1:15" x14ac:dyDescent="0.25">
      <c r="A2406" s="1">
        <v>42535</v>
      </c>
      <c r="B2406" t="e">
        <f>NA()</f>
        <v>#N/A</v>
      </c>
      <c r="C2406" t="e">
        <f>NA()</f>
        <v>#N/A</v>
      </c>
      <c r="D2406" t="e">
        <f>NA()</f>
        <v>#N/A</v>
      </c>
      <c r="E2406" t="e">
        <f>NA()</f>
        <v>#N/A</v>
      </c>
      <c r="F2406" t="e">
        <f>NA()</f>
        <v>#N/A</v>
      </c>
      <c r="G2406" t="e">
        <f>NA()</f>
        <v>#N/A</v>
      </c>
      <c r="H2406" t="e">
        <f>NA()</f>
        <v>#N/A</v>
      </c>
      <c r="I2406" t="e">
        <f>NA()</f>
        <v>#N/A</v>
      </c>
      <c r="J2406" t="e">
        <f>NA()</f>
        <v>#N/A</v>
      </c>
      <c r="K2406" t="e">
        <f>NA()</f>
        <v>#N/A</v>
      </c>
      <c r="L2406" t="e">
        <f>NA()</f>
        <v>#N/A</v>
      </c>
      <c r="M2406" t="e">
        <f>NA()</f>
        <v>#N/A</v>
      </c>
      <c r="N2406" t="e">
        <f>NA()</f>
        <v>#N/A</v>
      </c>
      <c r="O2406">
        <f t="shared" si="98"/>
        <v>0.4</v>
      </c>
    </row>
    <row r="2407" spans="1:15" x14ac:dyDescent="0.25">
      <c r="A2407" s="1">
        <v>42534</v>
      </c>
      <c r="B2407" t="e">
        <f>NA()</f>
        <v>#N/A</v>
      </c>
      <c r="C2407" t="e">
        <f>NA()</f>
        <v>#N/A</v>
      </c>
      <c r="D2407" t="e">
        <f>NA()</f>
        <v>#N/A</v>
      </c>
      <c r="E2407" t="e">
        <f>NA()</f>
        <v>#N/A</v>
      </c>
      <c r="F2407" t="e">
        <f>NA()</f>
        <v>#N/A</v>
      </c>
      <c r="G2407" t="e">
        <f>NA()</f>
        <v>#N/A</v>
      </c>
      <c r="H2407" t="e">
        <f>NA()</f>
        <v>#N/A</v>
      </c>
      <c r="I2407" t="e">
        <f>NA()</f>
        <v>#N/A</v>
      </c>
      <c r="J2407" t="e">
        <f>NA()</f>
        <v>#N/A</v>
      </c>
      <c r="K2407" t="e">
        <f>NA()</f>
        <v>#N/A</v>
      </c>
      <c r="L2407" t="e">
        <f>NA()</f>
        <v>#N/A</v>
      </c>
      <c r="M2407" t="e">
        <f>NA()</f>
        <v>#N/A</v>
      </c>
      <c r="N2407" t="e">
        <f>NA()</f>
        <v>#N/A</v>
      </c>
      <c r="O2407">
        <f t="shared" si="98"/>
        <v>0.4</v>
      </c>
    </row>
    <row r="2408" spans="1:15" x14ac:dyDescent="0.25">
      <c r="A2408" s="1">
        <v>42531</v>
      </c>
      <c r="B2408">
        <f>0.1</f>
        <v>0.1</v>
      </c>
      <c r="C2408">
        <f>0</f>
        <v>0</v>
      </c>
      <c r="D2408" t="e">
        <f>NA()</f>
        <v>#N/A</v>
      </c>
      <c r="E2408" t="e">
        <f>NA()</f>
        <v>#N/A</v>
      </c>
      <c r="F2408" t="e">
        <f>NA()</f>
        <v>#N/A</v>
      </c>
      <c r="G2408" t="e">
        <f>NA()</f>
        <v>#N/A</v>
      </c>
      <c r="H2408" t="e">
        <f>NA()</f>
        <v>#N/A</v>
      </c>
      <c r="I2408" t="e">
        <f>NA()</f>
        <v>#N/A</v>
      </c>
      <c r="J2408" t="e">
        <f>NA()</f>
        <v>#N/A</v>
      </c>
      <c r="K2408" t="e">
        <f>NA()</f>
        <v>#N/A</v>
      </c>
      <c r="L2408" t="e">
        <f>NA()</f>
        <v>#N/A</v>
      </c>
      <c r="M2408" t="e">
        <f>NA()</f>
        <v>#N/A</v>
      </c>
      <c r="N2408" t="e">
        <f>NA()</f>
        <v>#N/A</v>
      </c>
      <c r="O2408">
        <f t="shared" si="98"/>
        <v>0.4</v>
      </c>
    </row>
    <row r="2409" spans="1:15" x14ac:dyDescent="0.25">
      <c r="A2409" s="1">
        <v>42530</v>
      </c>
      <c r="B2409" t="e">
        <f>NA()</f>
        <v>#N/A</v>
      </c>
      <c r="C2409" t="e">
        <f>NA()</f>
        <v>#N/A</v>
      </c>
      <c r="D2409" t="e">
        <f>NA()</f>
        <v>#N/A</v>
      </c>
      <c r="E2409" t="e">
        <f>NA()</f>
        <v>#N/A</v>
      </c>
      <c r="F2409" t="e">
        <f>NA()</f>
        <v>#N/A</v>
      </c>
      <c r="G2409" t="e">
        <f>NA()</f>
        <v>#N/A</v>
      </c>
      <c r="H2409" t="e">
        <f>NA()</f>
        <v>#N/A</v>
      </c>
      <c r="I2409" t="e">
        <f>NA()</f>
        <v>#N/A</v>
      </c>
      <c r="J2409" t="e">
        <f>NA()</f>
        <v>#N/A</v>
      </c>
      <c r="K2409" t="e">
        <f>NA()</f>
        <v>#N/A</v>
      </c>
      <c r="L2409" t="e">
        <f>NA()</f>
        <v>#N/A</v>
      </c>
      <c r="M2409" t="e">
        <f>NA()</f>
        <v>#N/A</v>
      </c>
      <c r="N2409" t="e">
        <f>NA()</f>
        <v>#N/A</v>
      </c>
      <c r="O2409">
        <f t="shared" si="98"/>
        <v>0.4</v>
      </c>
    </row>
    <row r="2410" spans="1:15" x14ac:dyDescent="0.25">
      <c r="A2410" s="1">
        <v>42529</v>
      </c>
      <c r="B2410" t="e">
        <f>NA()</f>
        <v>#N/A</v>
      </c>
      <c r="C2410" t="e">
        <f>NA()</f>
        <v>#N/A</v>
      </c>
      <c r="D2410" t="e">
        <f>NA()</f>
        <v>#N/A</v>
      </c>
      <c r="E2410" t="e">
        <f>NA()</f>
        <v>#N/A</v>
      </c>
      <c r="F2410" t="e">
        <f>NA()</f>
        <v>#N/A</v>
      </c>
      <c r="G2410" t="e">
        <f>NA()</f>
        <v>#N/A</v>
      </c>
      <c r="H2410" t="e">
        <f>NA()</f>
        <v>#N/A</v>
      </c>
      <c r="I2410" t="e">
        <f>NA()</f>
        <v>#N/A</v>
      </c>
      <c r="J2410" t="e">
        <f>NA()</f>
        <v>#N/A</v>
      </c>
      <c r="K2410" t="e">
        <f>NA()</f>
        <v>#N/A</v>
      </c>
      <c r="L2410" t="e">
        <f>NA()</f>
        <v>#N/A</v>
      </c>
      <c r="M2410" t="e">
        <f>NA()</f>
        <v>#N/A</v>
      </c>
      <c r="N2410" t="e">
        <f>NA()</f>
        <v>#N/A</v>
      </c>
      <c r="O2410">
        <f t="shared" si="98"/>
        <v>0.4</v>
      </c>
    </row>
    <row r="2411" spans="1:15" x14ac:dyDescent="0.25">
      <c r="A2411" s="1">
        <v>42528</v>
      </c>
      <c r="B2411" t="e">
        <f>NA()</f>
        <v>#N/A</v>
      </c>
      <c r="C2411" t="e">
        <f>NA()</f>
        <v>#N/A</v>
      </c>
      <c r="D2411" t="e">
        <f>NA()</f>
        <v>#N/A</v>
      </c>
      <c r="E2411" t="e">
        <f>NA()</f>
        <v>#N/A</v>
      </c>
      <c r="F2411" t="e">
        <f>NA()</f>
        <v>#N/A</v>
      </c>
      <c r="G2411" t="e">
        <f>NA()</f>
        <v>#N/A</v>
      </c>
      <c r="H2411" t="e">
        <f>NA()</f>
        <v>#N/A</v>
      </c>
      <c r="I2411" t="e">
        <f>NA()</f>
        <v>#N/A</v>
      </c>
      <c r="J2411" t="e">
        <f>NA()</f>
        <v>#N/A</v>
      </c>
      <c r="K2411" t="e">
        <f>NA()</f>
        <v>#N/A</v>
      </c>
      <c r="L2411" t="e">
        <f>NA()</f>
        <v>#N/A</v>
      </c>
      <c r="M2411" t="e">
        <f>NA()</f>
        <v>#N/A</v>
      </c>
      <c r="N2411" t="e">
        <f>NA()</f>
        <v>#N/A</v>
      </c>
      <c r="O2411">
        <f t="shared" si="98"/>
        <v>0.4</v>
      </c>
    </row>
    <row r="2412" spans="1:15" x14ac:dyDescent="0.25">
      <c r="A2412" s="1">
        <v>42527</v>
      </c>
      <c r="B2412" t="e">
        <f>NA()</f>
        <v>#N/A</v>
      </c>
      <c r="C2412" t="e">
        <f>NA()</f>
        <v>#N/A</v>
      </c>
      <c r="D2412" t="e">
        <f>NA()</f>
        <v>#N/A</v>
      </c>
      <c r="E2412" t="e">
        <f>NA()</f>
        <v>#N/A</v>
      </c>
      <c r="F2412" t="e">
        <f>NA()</f>
        <v>#N/A</v>
      </c>
      <c r="G2412" t="e">
        <f>NA()</f>
        <v>#N/A</v>
      </c>
      <c r="H2412" t="e">
        <f>NA()</f>
        <v>#N/A</v>
      </c>
      <c r="I2412" t="e">
        <f>NA()</f>
        <v>#N/A</v>
      </c>
      <c r="J2412" t="e">
        <f>NA()</f>
        <v>#N/A</v>
      </c>
      <c r="K2412" t="e">
        <f>NA()</f>
        <v>#N/A</v>
      </c>
      <c r="L2412" t="e">
        <f>NA()</f>
        <v>#N/A</v>
      </c>
      <c r="M2412" t="e">
        <f>NA()</f>
        <v>#N/A</v>
      </c>
      <c r="N2412" t="e">
        <f>NA()</f>
        <v>#N/A</v>
      </c>
      <c r="O2412">
        <f t="shared" si="98"/>
        <v>0.4</v>
      </c>
    </row>
    <row r="2413" spans="1:15" x14ac:dyDescent="0.25">
      <c r="A2413" s="1">
        <v>42524</v>
      </c>
      <c r="B2413">
        <f>0.1</f>
        <v>0.1</v>
      </c>
      <c r="C2413">
        <f>0</f>
        <v>0</v>
      </c>
      <c r="D2413" t="e">
        <f>NA()</f>
        <v>#N/A</v>
      </c>
      <c r="E2413" t="e">
        <f>NA()</f>
        <v>#N/A</v>
      </c>
      <c r="F2413" t="e">
        <f>NA()</f>
        <v>#N/A</v>
      </c>
      <c r="G2413" t="e">
        <f>NA()</f>
        <v>#N/A</v>
      </c>
      <c r="H2413" t="e">
        <f>NA()</f>
        <v>#N/A</v>
      </c>
      <c r="I2413" t="e">
        <f>NA()</f>
        <v>#N/A</v>
      </c>
      <c r="J2413" t="e">
        <f>NA()</f>
        <v>#N/A</v>
      </c>
      <c r="K2413" t="e">
        <f>NA()</f>
        <v>#N/A</v>
      </c>
      <c r="L2413" t="e">
        <f>NA()</f>
        <v>#N/A</v>
      </c>
      <c r="M2413" t="e">
        <f>NA()</f>
        <v>#N/A</v>
      </c>
      <c r="N2413" t="e">
        <f>NA()</f>
        <v>#N/A</v>
      </c>
      <c r="O2413">
        <f t="shared" si="98"/>
        <v>0.4</v>
      </c>
    </row>
    <row r="2414" spans="1:15" x14ac:dyDescent="0.25">
      <c r="A2414" s="1">
        <v>42523</v>
      </c>
      <c r="B2414" t="e">
        <f>NA()</f>
        <v>#N/A</v>
      </c>
      <c r="C2414" t="e">
        <f>NA()</f>
        <v>#N/A</v>
      </c>
      <c r="D2414" t="e">
        <f>NA()</f>
        <v>#N/A</v>
      </c>
      <c r="E2414" t="e">
        <f>NA()</f>
        <v>#N/A</v>
      </c>
      <c r="F2414" t="e">
        <f>NA()</f>
        <v>#N/A</v>
      </c>
      <c r="G2414" t="e">
        <f>NA()</f>
        <v>#N/A</v>
      </c>
      <c r="H2414" t="e">
        <f>NA()</f>
        <v>#N/A</v>
      </c>
      <c r="I2414" t="e">
        <f>NA()</f>
        <v>#N/A</v>
      </c>
      <c r="J2414" t="e">
        <f>NA()</f>
        <v>#N/A</v>
      </c>
      <c r="K2414" t="e">
        <f>NA()</f>
        <v>#N/A</v>
      </c>
      <c r="L2414" t="e">
        <f>NA()</f>
        <v>#N/A</v>
      </c>
      <c r="M2414" t="e">
        <f>NA()</f>
        <v>#N/A</v>
      </c>
      <c r="N2414" t="e">
        <f>NA()</f>
        <v>#N/A</v>
      </c>
      <c r="O2414">
        <f t="shared" si="98"/>
        <v>0.4</v>
      </c>
    </row>
    <row r="2415" spans="1:15" x14ac:dyDescent="0.25">
      <c r="A2415" s="1">
        <v>42522</v>
      </c>
      <c r="B2415" t="e">
        <f>NA()</f>
        <v>#N/A</v>
      </c>
      <c r="C2415" t="e">
        <f>NA()</f>
        <v>#N/A</v>
      </c>
      <c r="D2415" t="e">
        <f>NA()</f>
        <v>#N/A</v>
      </c>
      <c r="E2415" t="e">
        <f>NA()</f>
        <v>#N/A</v>
      </c>
      <c r="F2415" t="e">
        <f>NA()</f>
        <v>#N/A</v>
      </c>
      <c r="G2415" t="e">
        <f>NA()</f>
        <v>#N/A</v>
      </c>
      <c r="H2415" t="e">
        <f>NA()</f>
        <v>#N/A</v>
      </c>
      <c r="I2415" t="e">
        <f>NA()</f>
        <v>#N/A</v>
      </c>
      <c r="J2415" t="e">
        <f>NA()</f>
        <v>#N/A</v>
      </c>
      <c r="K2415" t="e">
        <f>NA()</f>
        <v>#N/A</v>
      </c>
      <c r="L2415" t="e">
        <f>NA()</f>
        <v>#N/A</v>
      </c>
      <c r="M2415" t="e">
        <f>NA()</f>
        <v>#N/A</v>
      </c>
      <c r="N2415" t="e">
        <f>NA()</f>
        <v>#N/A</v>
      </c>
      <c r="O2415">
        <f t="shared" si="98"/>
        <v>0.4</v>
      </c>
    </row>
    <row r="2416" spans="1:15" x14ac:dyDescent="0.25">
      <c r="A2416" s="1">
        <v>42521</v>
      </c>
      <c r="B2416" t="e">
        <f>NA()</f>
        <v>#N/A</v>
      </c>
      <c r="C2416" t="e">
        <f>NA()</f>
        <v>#N/A</v>
      </c>
      <c r="D2416">
        <f>0.2</f>
        <v>0.2</v>
      </c>
      <c r="E2416">
        <f>1.3</f>
        <v>1.3</v>
      </c>
      <c r="F2416">
        <f>5777</f>
        <v>5777</v>
      </c>
      <c r="G2416">
        <f>62.7</f>
        <v>62.7</v>
      </c>
      <c r="H2416">
        <f>3.1</f>
        <v>3.1</v>
      </c>
      <c r="I2416">
        <f>240.2</f>
        <v>240.2</v>
      </c>
      <c r="J2416">
        <f>1</f>
        <v>1</v>
      </c>
      <c r="K2416">
        <f>51.4</f>
        <v>51.4</v>
      </c>
      <c r="L2416">
        <f>-0.2</f>
        <v>-0.2</v>
      </c>
      <c r="M2416" t="e">
        <f>NA()</f>
        <v>#N/A</v>
      </c>
      <c r="N2416">
        <f>4.8</f>
        <v>4.8</v>
      </c>
      <c r="O2416">
        <f>0.3</f>
        <v>0.3</v>
      </c>
    </row>
    <row r="2417" spans="1:15" x14ac:dyDescent="0.25">
      <c r="A2417" s="1">
        <v>42517</v>
      </c>
      <c r="B2417">
        <f>0</f>
        <v>0</v>
      </c>
      <c r="C2417">
        <f>0</f>
        <v>0</v>
      </c>
      <c r="D2417" t="e">
        <f>NA()</f>
        <v>#N/A</v>
      </c>
      <c r="E2417" t="e">
        <f>NA()</f>
        <v>#N/A</v>
      </c>
      <c r="F2417" t="e">
        <f>NA()</f>
        <v>#N/A</v>
      </c>
      <c r="G2417" t="e">
        <f>NA()</f>
        <v>#N/A</v>
      </c>
      <c r="H2417" t="e">
        <f>NA()</f>
        <v>#N/A</v>
      </c>
      <c r="I2417" t="e">
        <f>NA()</f>
        <v>#N/A</v>
      </c>
      <c r="J2417" t="e">
        <f>NA()</f>
        <v>#N/A</v>
      </c>
      <c r="K2417" t="e">
        <f>NA()</f>
        <v>#N/A</v>
      </c>
      <c r="L2417" t="e">
        <f>NA()</f>
        <v>#N/A</v>
      </c>
      <c r="M2417" t="e">
        <f>NA()</f>
        <v>#N/A</v>
      </c>
      <c r="N2417" t="e">
        <f>NA()</f>
        <v>#N/A</v>
      </c>
      <c r="O2417">
        <f t="shared" ref="O2417:O2436" si="99">0.4</f>
        <v>0.4</v>
      </c>
    </row>
    <row r="2418" spans="1:15" x14ac:dyDescent="0.25">
      <c r="A2418" s="1">
        <v>42516</v>
      </c>
      <c r="B2418" t="e">
        <f>NA()</f>
        <v>#N/A</v>
      </c>
      <c r="C2418" t="e">
        <f>NA()</f>
        <v>#N/A</v>
      </c>
      <c r="D2418" t="e">
        <f>NA()</f>
        <v>#N/A</v>
      </c>
      <c r="E2418" t="e">
        <f>NA()</f>
        <v>#N/A</v>
      </c>
      <c r="F2418" t="e">
        <f>NA()</f>
        <v>#N/A</v>
      </c>
      <c r="G2418" t="e">
        <f>NA()</f>
        <v>#N/A</v>
      </c>
      <c r="H2418" t="e">
        <f>NA()</f>
        <v>#N/A</v>
      </c>
      <c r="I2418" t="e">
        <f>NA()</f>
        <v>#N/A</v>
      </c>
      <c r="J2418" t="e">
        <f>NA()</f>
        <v>#N/A</v>
      </c>
      <c r="K2418" t="e">
        <f>NA()</f>
        <v>#N/A</v>
      </c>
      <c r="L2418" t="e">
        <f>NA()</f>
        <v>#N/A</v>
      </c>
      <c r="M2418" t="e">
        <f>NA()</f>
        <v>#N/A</v>
      </c>
      <c r="N2418" t="e">
        <f>NA()</f>
        <v>#N/A</v>
      </c>
      <c r="O2418">
        <f t="shared" si="99"/>
        <v>0.4</v>
      </c>
    </row>
    <row r="2419" spans="1:15" x14ac:dyDescent="0.25">
      <c r="A2419" s="1">
        <v>42515</v>
      </c>
      <c r="B2419" t="e">
        <f>NA()</f>
        <v>#N/A</v>
      </c>
      <c r="C2419" t="e">
        <f>NA()</f>
        <v>#N/A</v>
      </c>
      <c r="D2419" t="e">
        <f>NA()</f>
        <v>#N/A</v>
      </c>
      <c r="E2419" t="e">
        <f>NA()</f>
        <v>#N/A</v>
      </c>
      <c r="F2419" t="e">
        <f>NA()</f>
        <v>#N/A</v>
      </c>
      <c r="G2419" t="e">
        <f>NA()</f>
        <v>#N/A</v>
      </c>
      <c r="H2419" t="e">
        <f>NA()</f>
        <v>#N/A</v>
      </c>
      <c r="I2419" t="e">
        <f>NA()</f>
        <v>#N/A</v>
      </c>
      <c r="J2419" t="e">
        <f>NA()</f>
        <v>#N/A</v>
      </c>
      <c r="K2419" t="e">
        <f>NA()</f>
        <v>#N/A</v>
      </c>
      <c r="L2419" t="e">
        <f>NA()</f>
        <v>#N/A</v>
      </c>
      <c r="M2419" t="e">
        <f>NA()</f>
        <v>#N/A</v>
      </c>
      <c r="N2419" t="e">
        <f>NA()</f>
        <v>#N/A</v>
      </c>
      <c r="O2419">
        <f t="shared" si="99"/>
        <v>0.4</v>
      </c>
    </row>
    <row r="2420" spans="1:15" x14ac:dyDescent="0.25">
      <c r="A2420" s="1">
        <v>42514</v>
      </c>
      <c r="B2420" t="e">
        <f>NA()</f>
        <v>#N/A</v>
      </c>
      <c r="C2420" t="e">
        <f>NA()</f>
        <v>#N/A</v>
      </c>
      <c r="D2420" t="e">
        <f>NA()</f>
        <v>#N/A</v>
      </c>
      <c r="E2420" t="e">
        <f>NA()</f>
        <v>#N/A</v>
      </c>
      <c r="F2420" t="e">
        <f>NA()</f>
        <v>#N/A</v>
      </c>
      <c r="G2420" t="e">
        <f>NA()</f>
        <v>#N/A</v>
      </c>
      <c r="H2420" t="e">
        <f>NA()</f>
        <v>#N/A</v>
      </c>
      <c r="I2420" t="e">
        <f>NA()</f>
        <v>#N/A</v>
      </c>
      <c r="J2420" t="e">
        <f>NA()</f>
        <v>#N/A</v>
      </c>
      <c r="K2420" t="e">
        <f>NA()</f>
        <v>#N/A</v>
      </c>
      <c r="L2420" t="e">
        <f>NA()</f>
        <v>#N/A</v>
      </c>
      <c r="M2420" t="e">
        <f>NA()</f>
        <v>#N/A</v>
      </c>
      <c r="N2420" t="e">
        <f>NA()</f>
        <v>#N/A</v>
      </c>
      <c r="O2420">
        <f t="shared" si="99"/>
        <v>0.4</v>
      </c>
    </row>
    <row r="2421" spans="1:15" x14ac:dyDescent="0.25">
      <c r="A2421" s="1">
        <v>42513</v>
      </c>
      <c r="B2421" t="e">
        <f>NA()</f>
        <v>#N/A</v>
      </c>
      <c r="C2421" t="e">
        <f>NA()</f>
        <v>#N/A</v>
      </c>
      <c r="D2421" t="e">
        <f>NA()</f>
        <v>#N/A</v>
      </c>
      <c r="E2421" t="e">
        <f>NA()</f>
        <v>#N/A</v>
      </c>
      <c r="F2421" t="e">
        <f>NA()</f>
        <v>#N/A</v>
      </c>
      <c r="G2421" t="e">
        <f>NA()</f>
        <v>#N/A</v>
      </c>
      <c r="H2421" t="e">
        <f>NA()</f>
        <v>#N/A</v>
      </c>
      <c r="I2421" t="e">
        <f>NA()</f>
        <v>#N/A</v>
      </c>
      <c r="J2421" t="e">
        <f>NA()</f>
        <v>#N/A</v>
      </c>
      <c r="K2421" t="e">
        <f>NA()</f>
        <v>#N/A</v>
      </c>
      <c r="L2421" t="e">
        <f>NA()</f>
        <v>#N/A</v>
      </c>
      <c r="M2421" t="e">
        <f>NA()</f>
        <v>#N/A</v>
      </c>
      <c r="N2421" t="e">
        <f>NA()</f>
        <v>#N/A</v>
      </c>
      <c r="O2421">
        <f t="shared" si="99"/>
        <v>0.4</v>
      </c>
    </row>
    <row r="2422" spans="1:15" x14ac:dyDescent="0.25">
      <c r="A2422" s="1">
        <v>42510</v>
      </c>
      <c r="B2422">
        <f>0.1</f>
        <v>0.1</v>
      </c>
      <c r="C2422">
        <f>0</f>
        <v>0</v>
      </c>
      <c r="D2422" t="e">
        <f>NA()</f>
        <v>#N/A</v>
      </c>
      <c r="E2422" t="e">
        <f>NA()</f>
        <v>#N/A</v>
      </c>
      <c r="F2422" t="e">
        <f>NA()</f>
        <v>#N/A</v>
      </c>
      <c r="G2422" t="e">
        <f>NA()</f>
        <v>#N/A</v>
      </c>
      <c r="H2422" t="e">
        <f>NA()</f>
        <v>#N/A</v>
      </c>
      <c r="I2422" t="e">
        <f>NA()</f>
        <v>#N/A</v>
      </c>
      <c r="J2422" t="e">
        <f>NA()</f>
        <v>#N/A</v>
      </c>
      <c r="K2422" t="e">
        <f>NA()</f>
        <v>#N/A</v>
      </c>
      <c r="L2422" t="e">
        <f>NA()</f>
        <v>#N/A</v>
      </c>
      <c r="M2422" t="e">
        <f>NA()</f>
        <v>#N/A</v>
      </c>
      <c r="N2422" t="e">
        <f>NA()</f>
        <v>#N/A</v>
      </c>
      <c r="O2422">
        <f t="shared" si="99"/>
        <v>0.4</v>
      </c>
    </row>
    <row r="2423" spans="1:15" x14ac:dyDescent="0.25">
      <c r="A2423" s="1">
        <v>42509</v>
      </c>
      <c r="B2423" t="e">
        <f>NA()</f>
        <v>#N/A</v>
      </c>
      <c r="C2423" t="e">
        <f>NA()</f>
        <v>#N/A</v>
      </c>
      <c r="D2423" t="e">
        <f>NA()</f>
        <v>#N/A</v>
      </c>
      <c r="E2423" t="e">
        <f>NA()</f>
        <v>#N/A</v>
      </c>
      <c r="F2423" t="e">
        <f>NA()</f>
        <v>#N/A</v>
      </c>
      <c r="G2423" t="e">
        <f>NA()</f>
        <v>#N/A</v>
      </c>
      <c r="H2423" t="e">
        <f>NA()</f>
        <v>#N/A</v>
      </c>
      <c r="I2423" t="e">
        <f>NA()</f>
        <v>#N/A</v>
      </c>
      <c r="J2423" t="e">
        <f>NA()</f>
        <v>#N/A</v>
      </c>
      <c r="K2423" t="e">
        <f>NA()</f>
        <v>#N/A</v>
      </c>
      <c r="L2423" t="e">
        <f>NA()</f>
        <v>#N/A</v>
      </c>
      <c r="M2423" t="e">
        <f>NA()</f>
        <v>#N/A</v>
      </c>
      <c r="N2423" t="e">
        <f>NA()</f>
        <v>#N/A</v>
      </c>
      <c r="O2423">
        <f t="shared" si="99"/>
        <v>0.4</v>
      </c>
    </row>
    <row r="2424" spans="1:15" x14ac:dyDescent="0.25">
      <c r="A2424" s="1">
        <v>42508</v>
      </c>
      <c r="B2424" t="e">
        <f>NA()</f>
        <v>#N/A</v>
      </c>
      <c r="C2424" t="e">
        <f>NA()</f>
        <v>#N/A</v>
      </c>
      <c r="D2424" t="e">
        <f>NA()</f>
        <v>#N/A</v>
      </c>
      <c r="E2424" t="e">
        <f>NA()</f>
        <v>#N/A</v>
      </c>
      <c r="F2424" t="e">
        <f>NA()</f>
        <v>#N/A</v>
      </c>
      <c r="G2424" t="e">
        <f>NA()</f>
        <v>#N/A</v>
      </c>
      <c r="H2424" t="e">
        <f>NA()</f>
        <v>#N/A</v>
      </c>
      <c r="I2424" t="e">
        <f>NA()</f>
        <v>#N/A</v>
      </c>
      <c r="J2424" t="e">
        <f>NA()</f>
        <v>#N/A</v>
      </c>
      <c r="K2424" t="e">
        <f>NA()</f>
        <v>#N/A</v>
      </c>
      <c r="L2424" t="e">
        <f>NA()</f>
        <v>#N/A</v>
      </c>
      <c r="M2424" t="e">
        <f>NA()</f>
        <v>#N/A</v>
      </c>
      <c r="N2424" t="e">
        <f>NA()</f>
        <v>#N/A</v>
      </c>
      <c r="O2424">
        <f t="shared" si="99"/>
        <v>0.4</v>
      </c>
    </row>
    <row r="2425" spans="1:15" x14ac:dyDescent="0.25">
      <c r="A2425" s="1">
        <v>42507</v>
      </c>
      <c r="B2425" t="e">
        <f>NA()</f>
        <v>#N/A</v>
      </c>
      <c r="C2425" t="e">
        <f>NA()</f>
        <v>#N/A</v>
      </c>
      <c r="D2425" t="e">
        <f>NA()</f>
        <v>#N/A</v>
      </c>
      <c r="E2425" t="e">
        <f>NA()</f>
        <v>#N/A</v>
      </c>
      <c r="F2425" t="e">
        <f>NA()</f>
        <v>#N/A</v>
      </c>
      <c r="G2425" t="e">
        <f>NA()</f>
        <v>#N/A</v>
      </c>
      <c r="H2425" t="e">
        <f>NA()</f>
        <v>#N/A</v>
      </c>
      <c r="I2425" t="e">
        <f>NA()</f>
        <v>#N/A</v>
      </c>
      <c r="J2425" t="e">
        <f>NA()</f>
        <v>#N/A</v>
      </c>
      <c r="K2425" t="e">
        <f>NA()</f>
        <v>#N/A</v>
      </c>
      <c r="L2425" t="e">
        <f>NA()</f>
        <v>#N/A</v>
      </c>
      <c r="M2425" t="e">
        <f>NA()</f>
        <v>#N/A</v>
      </c>
      <c r="N2425" t="e">
        <f>NA()</f>
        <v>#N/A</v>
      </c>
      <c r="O2425">
        <f t="shared" si="99"/>
        <v>0.4</v>
      </c>
    </row>
    <row r="2426" spans="1:15" x14ac:dyDescent="0.25">
      <c r="A2426" s="1">
        <v>42506</v>
      </c>
      <c r="B2426" t="e">
        <f>NA()</f>
        <v>#N/A</v>
      </c>
      <c r="C2426" t="e">
        <f>NA()</f>
        <v>#N/A</v>
      </c>
      <c r="D2426" t="e">
        <f>NA()</f>
        <v>#N/A</v>
      </c>
      <c r="E2426" t="e">
        <f>NA()</f>
        <v>#N/A</v>
      </c>
      <c r="F2426" t="e">
        <f>NA()</f>
        <v>#N/A</v>
      </c>
      <c r="G2426" t="e">
        <f>NA()</f>
        <v>#N/A</v>
      </c>
      <c r="H2426" t="e">
        <f>NA()</f>
        <v>#N/A</v>
      </c>
      <c r="I2426" t="e">
        <f>NA()</f>
        <v>#N/A</v>
      </c>
      <c r="J2426" t="e">
        <f>NA()</f>
        <v>#N/A</v>
      </c>
      <c r="K2426" t="e">
        <f>NA()</f>
        <v>#N/A</v>
      </c>
      <c r="L2426" t="e">
        <f>NA()</f>
        <v>#N/A</v>
      </c>
      <c r="M2426" t="e">
        <f>NA()</f>
        <v>#N/A</v>
      </c>
      <c r="N2426" t="e">
        <f>NA()</f>
        <v>#N/A</v>
      </c>
      <c r="O2426">
        <f t="shared" si="99"/>
        <v>0.4</v>
      </c>
    </row>
    <row r="2427" spans="1:15" x14ac:dyDescent="0.25">
      <c r="A2427" s="1">
        <v>42503</v>
      </c>
      <c r="B2427">
        <f>0.2</f>
        <v>0.2</v>
      </c>
      <c r="C2427">
        <f>0</f>
        <v>0</v>
      </c>
      <c r="D2427" t="e">
        <f>NA()</f>
        <v>#N/A</v>
      </c>
      <c r="E2427" t="e">
        <f>NA()</f>
        <v>#N/A</v>
      </c>
      <c r="F2427" t="e">
        <f>NA()</f>
        <v>#N/A</v>
      </c>
      <c r="G2427" t="e">
        <f>NA()</f>
        <v>#N/A</v>
      </c>
      <c r="H2427" t="e">
        <f>NA()</f>
        <v>#N/A</v>
      </c>
      <c r="I2427" t="e">
        <f>NA()</f>
        <v>#N/A</v>
      </c>
      <c r="J2427" t="e">
        <f>NA()</f>
        <v>#N/A</v>
      </c>
      <c r="K2427" t="e">
        <f>NA()</f>
        <v>#N/A</v>
      </c>
      <c r="L2427" t="e">
        <f>NA()</f>
        <v>#N/A</v>
      </c>
      <c r="M2427" t="e">
        <f>NA()</f>
        <v>#N/A</v>
      </c>
      <c r="N2427" t="e">
        <f>NA()</f>
        <v>#N/A</v>
      </c>
      <c r="O2427">
        <f t="shared" si="99"/>
        <v>0.4</v>
      </c>
    </row>
    <row r="2428" spans="1:15" x14ac:dyDescent="0.25">
      <c r="A2428" s="1">
        <v>42502</v>
      </c>
      <c r="B2428" t="e">
        <f>NA()</f>
        <v>#N/A</v>
      </c>
      <c r="C2428" t="e">
        <f>NA()</f>
        <v>#N/A</v>
      </c>
      <c r="D2428" t="e">
        <f>NA()</f>
        <v>#N/A</v>
      </c>
      <c r="E2428" t="e">
        <f>NA()</f>
        <v>#N/A</v>
      </c>
      <c r="F2428" t="e">
        <f>NA()</f>
        <v>#N/A</v>
      </c>
      <c r="G2428" t="e">
        <f>NA()</f>
        <v>#N/A</v>
      </c>
      <c r="H2428" t="e">
        <f>NA()</f>
        <v>#N/A</v>
      </c>
      <c r="I2428" t="e">
        <f>NA()</f>
        <v>#N/A</v>
      </c>
      <c r="J2428" t="e">
        <f>NA()</f>
        <v>#N/A</v>
      </c>
      <c r="K2428" t="e">
        <f>NA()</f>
        <v>#N/A</v>
      </c>
      <c r="L2428" t="e">
        <f>NA()</f>
        <v>#N/A</v>
      </c>
      <c r="M2428" t="e">
        <f>NA()</f>
        <v>#N/A</v>
      </c>
      <c r="N2428" t="e">
        <f>NA()</f>
        <v>#N/A</v>
      </c>
      <c r="O2428">
        <f t="shared" si="99"/>
        <v>0.4</v>
      </c>
    </row>
    <row r="2429" spans="1:15" x14ac:dyDescent="0.25">
      <c r="A2429" s="1">
        <v>42501</v>
      </c>
      <c r="B2429" t="e">
        <f>NA()</f>
        <v>#N/A</v>
      </c>
      <c r="C2429" t="e">
        <f>NA()</f>
        <v>#N/A</v>
      </c>
      <c r="D2429" t="e">
        <f>NA()</f>
        <v>#N/A</v>
      </c>
      <c r="E2429" t="e">
        <f>NA()</f>
        <v>#N/A</v>
      </c>
      <c r="F2429" t="e">
        <f>NA()</f>
        <v>#N/A</v>
      </c>
      <c r="G2429" t="e">
        <f>NA()</f>
        <v>#N/A</v>
      </c>
      <c r="H2429" t="e">
        <f>NA()</f>
        <v>#N/A</v>
      </c>
      <c r="I2429" t="e">
        <f>NA()</f>
        <v>#N/A</v>
      </c>
      <c r="J2429" t="e">
        <f>NA()</f>
        <v>#N/A</v>
      </c>
      <c r="K2429" t="e">
        <f>NA()</f>
        <v>#N/A</v>
      </c>
      <c r="L2429" t="e">
        <f>NA()</f>
        <v>#N/A</v>
      </c>
      <c r="M2429" t="e">
        <f>NA()</f>
        <v>#N/A</v>
      </c>
      <c r="N2429" t="e">
        <f>NA()</f>
        <v>#N/A</v>
      </c>
      <c r="O2429">
        <f t="shared" si="99"/>
        <v>0.4</v>
      </c>
    </row>
    <row r="2430" spans="1:15" x14ac:dyDescent="0.25">
      <c r="A2430" s="1">
        <v>42500</v>
      </c>
      <c r="B2430" t="e">
        <f>NA()</f>
        <v>#N/A</v>
      </c>
      <c r="C2430" t="e">
        <f>NA()</f>
        <v>#N/A</v>
      </c>
      <c r="D2430" t="e">
        <f>NA()</f>
        <v>#N/A</v>
      </c>
      <c r="E2430" t="e">
        <f>NA()</f>
        <v>#N/A</v>
      </c>
      <c r="F2430" t="e">
        <f>NA()</f>
        <v>#N/A</v>
      </c>
      <c r="G2430" t="e">
        <f>NA()</f>
        <v>#N/A</v>
      </c>
      <c r="H2430" t="e">
        <f>NA()</f>
        <v>#N/A</v>
      </c>
      <c r="I2430" t="e">
        <f>NA()</f>
        <v>#N/A</v>
      </c>
      <c r="J2430" t="e">
        <f>NA()</f>
        <v>#N/A</v>
      </c>
      <c r="K2430" t="e">
        <f>NA()</f>
        <v>#N/A</v>
      </c>
      <c r="L2430" t="e">
        <f>NA()</f>
        <v>#N/A</v>
      </c>
      <c r="M2430" t="e">
        <f>NA()</f>
        <v>#N/A</v>
      </c>
      <c r="N2430" t="e">
        <f>NA()</f>
        <v>#N/A</v>
      </c>
      <c r="O2430">
        <f t="shared" si="99"/>
        <v>0.4</v>
      </c>
    </row>
    <row r="2431" spans="1:15" x14ac:dyDescent="0.25">
      <c r="A2431" s="1">
        <v>42499</v>
      </c>
      <c r="B2431" t="e">
        <f>NA()</f>
        <v>#N/A</v>
      </c>
      <c r="C2431" t="e">
        <f>NA()</f>
        <v>#N/A</v>
      </c>
      <c r="D2431" t="e">
        <f>NA()</f>
        <v>#N/A</v>
      </c>
      <c r="E2431" t="e">
        <f>NA()</f>
        <v>#N/A</v>
      </c>
      <c r="F2431" t="e">
        <f>NA()</f>
        <v>#N/A</v>
      </c>
      <c r="G2431" t="e">
        <f>NA()</f>
        <v>#N/A</v>
      </c>
      <c r="H2431" t="e">
        <f>NA()</f>
        <v>#N/A</v>
      </c>
      <c r="I2431" t="e">
        <f>NA()</f>
        <v>#N/A</v>
      </c>
      <c r="J2431" t="e">
        <f>NA()</f>
        <v>#N/A</v>
      </c>
      <c r="K2431" t="e">
        <f>NA()</f>
        <v>#N/A</v>
      </c>
      <c r="L2431" t="e">
        <f>NA()</f>
        <v>#N/A</v>
      </c>
      <c r="M2431" t="e">
        <f>NA()</f>
        <v>#N/A</v>
      </c>
      <c r="N2431" t="e">
        <f>NA()</f>
        <v>#N/A</v>
      </c>
      <c r="O2431">
        <f t="shared" si="99"/>
        <v>0.4</v>
      </c>
    </row>
    <row r="2432" spans="1:15" x14ac:dyDescent="0.25">
      <c r="A2432" s="1">
        <v>42496</v>
      </c>
      <c r="B2432">
        <f>0.3</f>
        <v>0.3</v>
      </c>
      <c r="C2432">
        <f>0</f>
        <v>0</v>
      </c>
      <c r="D2432" t="e">
        <f>NA()</f>
        <v>#N/A</v>
      </c>
      <c r="E2432" t="e">
        <f>NA()</f>
        <v>#N/A</v>
      </c>
      <c r="F2432" t="e">
        <f>NA()</f>
        <v>#N/A</v>
      </c>
      <c r="G2432" t="e">
        <f>NA()</f>
        <v>#N/A</v>
      </c>
      <c r="H2432" t="e">
        <f>NA()</f>
        <v>#N/A</v>
      </c>
      <c r="I2432" t="e">
        <f>NA()</f>
        <v>#N/A</v>
      </c>
      <c r="J2432" t="e">
        <f>NA()</f>
        <v>#N/A</v>
      </c>
      <c r="K2432" t="e">
        <f>NA()</f>
        <v>#N/A</v>
      </c>
      <c r="L2432" t="e">
        <f>NA()</f>
        <v>#N/A</v>
      </c>
      <c r="M2432" t="e">
        <f>NA()</f>
        <v>#N/A</v>
      </c>
      <c r="N2432" t="e">
        <f>NA()</f>
        <v>#N/A</v>
      </c>
      <c r="O2432">
        <f t="shared" si="99"/>
        <v>0.4</v>
      </c>
    </row>
    <row r="2433" spans="1:15" x14ac:dyDescent="0.25">
      <c r="A2433" s="1">
        <v>42495</v>
      </c>
      <c r="B2433" t="e">
        <f>NA()</f>
        <v>#N/A</v>
      </c>
      <c r="C2433" t="e">
        <f>NA()</f>
        <v>#N/A</v>
      </c>
      <c r="D2433" t="e">
        <f>NA()</f>
        <v>#N/A</v>
      </c>
      <c r="E2433" t="e">
        <f>NA()</f>
        <v>#N/A</v>
      </c>
      <c r="F2433" t="e">
        <f>NA()</f>
        <v>#N/A</v>
      </c>
      <c r="G2433" t="e">
        <f>NA()</f>
        <v>#N/A</v>
      </c>
      <c r="H2433" t="e">
        <f>NA()</f>
        <v>#N/A</v>
      </c>
      <c r="I2433" t="e">
        <f>NA()</f>
        <v>#N/A</v>
      </c>
      <c r="J2433" t="e">
        <f>NA()</f>
        <v>#N/A</v>
      </c>
      <c r="K2433" t="e">
        <f>NA()</f>
        <v>#N/A</v>
      </c>
      <c r="L2433" t="e">
        <f>NA()</f>
        <v>#N/A</v>
      </c>
      <c r="M2433" t="e">
        <f>NA()</f>
        <v>#N/A</v>
      </c>
      <c r="N2433" t="e">
        <f>NA()</f>
        <v>#N/A</v>
      </c>
      <c r="O2433">
        <f t="shared" si="99"/>
        <v>0.4</v>
      </c>
    </row>
    <row r="2434" spans="1:15" x14ac:dyDescent="0.25">
      <c r="A2434" s="1">
        <v>42494</v>
      </c>
      <c r="B2434" t="e">
        <f>NA()</f>
        <v>#N/A</v>
      </c>
      <c r="C2434" t="e">
        <f>NA()</f>
        <v>#N/A</v>
      </c>
      <c r="D2434" t="e">
        <f>NA()</f>
        <v>#N/A</v>
      </c>
      <c r="E2434" t="e">
        <f>NA()</f>
        <v>#N/A</v>
      </c>
      <c r="F2434" t="e">
        <f>NA()</f>
        <v>#N/A</v>
      </c>
      <c r="G2434" t="e">
        <f>NA()</f>
        <v>#N/A</v>
      </c>
      <c r="H2434" t="e">
        <f>NA()</f>
        <v>#N/A</v>
      </c>
      <c r="I2434" t="e">
        <f>NA()</f>
        <v>#N/A</v>
      </c>
      <c r="J2434" t="e">
        <f>NA()</f>
        <v>#N/A</v>
      </c>
      <c r="K2434" t="e">
        <f>NA()</f>
        <v>#N/A</v>
      </c>
      <c r="L2434" t="e">
        <f>NA()</f>
        <v>#N/A</v>
      </c>
      <c r="M2434" t="e">
        <f>NA()</f>
        <v>#N/A</v>
      </c>
      <c r="N2434" t="e">
        <f>NA()</f>
        <v>#N/A</v>
      </c>
      <c r="O2434">
        <f t="shared" si="99"/>
        <v>0.4</v>
      </c>
    </row>
    <row r="2435" spans="1:15" x14ac:dyDescent="0.25">
      <c r="A2435" s="1">
        <v>42493</v>
      </c>
      <c r="B2435" t="e">
        <f>NA()</f>
        <v>#N/A</v>
      </c>
      <c r="C2435" t="e">
        <f>NA()</f>
        <v>#N/A</v>
      </c>
      <c r="D2435" t="e">
        <f>NA()</f>
        <v>#N/A</v>
      </c>
      <c r="E2435" t="e">
        <f>NA()</f>
        <v>#N/A</v>
      </c>
      <c r="F2435" t="e">
        <f>NA()</f>
        <v>#N/A</v>
      </c>
      <c r="G2435" t="e">
        <f>NA()</f>
        <v>#N/A</v>
      </c>
      <c r="H2435" t="e">
        <f>NA()</f>
        <v>#N/A</v>
      </c>
      <c r="I2435" t="e">
        <f>NA()</f>
        <v>#N/A</v>
      </c>
      <c r="J2435" t="e">
        <f>NA()</f>
        <v>#N/A</v>
      </c>
      <c r="K2435" t="e">
        <f>NA()</f>
        <v>#N/A</v>
      </c>
      <c r="L2435" t="e">
        <f>NA()</f>
        <v>#N/A</v>
      </c>
      <c r="M2435" t="e">
        <f>NA()</f>
        <v>#N/A</v>
      </c>
      <c r="N2435" t="e">
        <f>NA()</f>
        <v>#N/A</v>
      </c>
      <c r="O2435">
        <f t="shared" si="99"/>
        <v>0.4</v>
      </c>
    </row>
    <row r="2436" spans="1:15" x14ac:dyDescent="0.25">
      <c r="A2436" s="1">
        <v>42492</v>
      </c>
      <c r="B2436" t="e">
        <f>NA()</f>
        <v>#N/A</v>
      </c>
      <c r="C2436" t="e">
        <f>NA()</f>
        <v>#N/A</v>
      </c>
      <c r="D2436" t="e">
        <f>NA()</f>
        <v>#N/A</v>
      </c>
      <c r="E2436" t="e">
        <f>NA()</f>
        <v>#N/A</v>
      </c>
      <c r="F2436" t="e">
        <f>NA()</f>
        <v>#N/A</v>
      </c>
      <c r="G2436" t="e">
        <f>NA()</f>
        <v>#N/A</v>
      </c>
      <c r="H2436" t="e">
        <f>NA()</f>
        <v>#N/A</v>
      </c>
      <c r="I2436" t="e">
        <f>NA()</f>
        <v>#N/A</v>
      </c>
      <c r="J2436" t="e">
        <f>NA()</f>
        <v>#N/A</v>
      </c>
      <c r="K2436" t="e">
        <f>NA()</f>
        <v>#N/A</v>
      </c>
      <c r="L2436" t="e">
        <f>NA()</f>
        <v>#N/A</v>
      </c>
      <c r="M2436" t="e">
        <f>NA()</f>
        <v>#N/A</v>
      </c>
      <c r="N2436" t="e">
        <f>NA()</f>
        <v>#N/A</v>
      </c>
      <c r="O2436">
        <f t="shared" si="99"/>
        <v>0.4</v>
      </c>
    </row>
    <row r="2437" spans="1:15" x14ac:dyDescent="0.25">
      <c r="A2437" s="1">
        <v>42490</v>
      </c>
      <c r="B2437" t="e">
        <f>NA()</f>
        <v>#N/A</v>
      </c>
      <c r="C2437" t="e">
        <f>NA()</f>
        <v>#N/A</v>
      </c>
      <c r="D2437">
        <f>0.3</f>
        <v>0.3</v>
      </c>
      <c r="E2437">
        <f>1.3</f>
        <v>1.3</v>
      </c>
      <c r="F2437">
        <f>5803</f>
        <v>5803</v>
      </c>
      <c r="G2437">
        <f>62.9</f>
        <v>62.9</v>
      </c>
      <c r="H2437">
        <f>3.3</f>
        <v>3.3</v>
      </c>
      <c r="I2437">
        <f>239.3</f>
        <v>239.3</v>
      </c>
      <c r="J2437">
        <f>1.1</f>
        <v>1.1000000000000001</v>
      </c>
      <c r="K2437">
        <f>51.3</f>
        <v>51.3</v>
      </c>
      <c r="L2437">
        <f>0.3</f>
        <v>0.3</v>
      </c>
      <c r="M2437" t="e">
        <f>NA()</f>
        <v>#N/A</v>
      </c>
      <c r="N2437">
        <f>5.1</f>
        <v>5.0999999999999996</v>
      </c>
      <c r="O2437" t="e">
        <f>NA()</f>
        <v>#N/A</v>
      </c>
    </row>
    <row r="2438" spans="1:15" x14ac:dyDescent="0.25">
      <c r="A2438" s="1">
        <v>42489</v>
      </c>
      <c r="B2438">
        <f>0.1</f>
        <v>0.1</v>
      </c>
      <c r="C2438">
        <f>0</f>
        <v>0</v>
      </c>
      <c r="D2438" t="e">
        <f>NA()</f>
        <v>#N/A</v>
      </c>
      <c r="E2438" t="e">
        <f>NA()</f>
        <v>#N/A</v>
      </c>
      <c r="F2438" t="e">
        <f>NA()</f>
        <v>#N/A</v>
      </c>
      <c r="G2438" t="e">
        <f>NA()</f>
        <v>#N/A</v>
      </c>
      <c r="H2438" t="e">
        <f>NA()</f>
        <v>#N/A</v>
      </c>
      <c r="I2438" t="e">
        <f>NA()</f>
        <v>#N/A</v>
      </c>
      <c r="J2438" t="e">
        <f>NA()</f>
        <v>#N/A</v>
      </c>
      <c r="K2438" t="e">
        <f>NA()</f>
        <v>#N/A</v>
      </c>
      <c r="L2438" t="e">
        <f>NA()</f>
        <v>#N/A</v>
      </c>
      <c r="M2438" t="e">
        <f>NA()</f>
        <v>#N/A</v>
      </c>
      <c r="N2438" t="e">
        <f>NA()</f>
        <v>#N/A</v>
      </c>
      <c r="O2438">
        <f>0.3</f>
        <v>0.3</v>
      </c>
    </row>
    <row r="2439" spans="1:15" x14ac:dyDescent="0.25">
      <c r="A2439" s="1">
        <v>42488</v>
      </c>
      <c r="B2439" t="e">
        <f>NA()</f>
        <v>#N/A</v>
      </c>
      <c r="C2439" t="e">
        <f>NA()</f>
        <v>#N/A</v>
      </c>
      <c r="D2439" t="e">
        <f>NA()</f>
        <v>#N/A</v>
      </c>
      <c r="E2439" t="e">
        <f>NA()</f>
        <v>#N/A</v>
      </c>
      <c r="F2439" t="e">
        <f>NA()</f>
        <v>#N/A</v>
      </c>
      <c r="G2439" t="e">
        <f>NA()</f>
        <v>#N/A</v>
      </c>
      <c r="H2439" t="e">
        <f>NA()</f>
        <v>#N/A</v>
      </c>
      <c r="I2439" t="e">
        <f>NA()</f>
        <v>#N/A</v>
      </c>
      <c r="J2439" t="e">
        <f>NA()</f>
        <v>#N/A</v>
      </c>
      <c r="K2439" t="e">
        <f>NA()</f>
        <v>#N/A</v>
      </c>
      <c r="L2439" t="e">
        <f>NA()</f>
        <v>#N/A</v>
      </c>
      <c r="M2439" t="e">
        <f>NA()</f>
        <v>#N/A</v>
      </c>
      <c r="N2439" t="e">
        <f>NA()</f>
        <v>#N/A</v>
      </c>
      <c r="O2439">
        <f t="shared" ref="O2439:O2458" si="100">0.4</f>
        <v>0.4</v>
      </c>
    </row>
    <row r="2440" spans="1:15" x14ac:dyDescent="0.25">
      <c r="A2440" s="1">
        <v>42487</v>
      </c>
      <c r="B2440" t="e">
        <f>NA()</f>
        <v>#N/A</v>
      </c>
      <c r="C2440" t="e">
        <f>NA()</f>
        <v>#N/A</v>
      </c>
      <c r="D2440" t="e">
        <f>NA()</f>
        <v>#N/A</v>
      </c>
      <c r="E2440" t="e">
        <f>NA()</f>
        <v>#N/A</v>
      </c>
      <c r="F2440" t="e">
        <f>NA()</f>
        <v>#N/A</v>
      </c>
      <c r="G2440" t="e">
        <f>NA()</f>
        <v>#N/A</v>
      </c>
      <c r="H2440" t="e">
        <f>NA()</f>
        <v>#N/A</v>
      </c>
      <c r="I2440" t="e">
        <f>NA()</f>
        <v>#N/A</v>
      </c>
      <c r="J2440" t="e">
        <f>NA()</f>
        <v>#N/A</v>
      </c>
      <c r="K2440" t="e">
        <f>NA()</f>
        <v>#N/A</v>
      </c>
      <c r="L2440" t="e">
        <f>NA()</f>
        <v>#N/A</v>
      </c>
      <c r="M2440" t="e">
        <f>NA()</f>
        <v>#N/A</v>
      </c>
      <c r="N2440" t="e">
        <f>NA()</f>
        <v>#N/A</v>
      </c>
      <c r="O2440">
        <f t="shared" si="100"/>
        <v>0.4</v>
      </c>
    </row>
    <row r="2441" spans="1:15" x14ac:dyDescent="0.25">
      <c r="A2441" s="1">
        <v>42486</v>
      </c>
      <c r="B2441" t="e">
        <f>NA()</f>
        <v>#N/A</v>
      </c>
      <c r="C2441" t="e">
        <f>NA()</f>
        <v>#N/A</v>
      </c>
      <c r="D2441" t="e">
        <f>NA()</f>
        <v>#N/A</v>
      </c>
      <c r="E2441" t="e">
        <f>NA()</f>
        <v>#N/A</v>
      </c>
      <c r="F2441" t="e">
        <f>NA()</f>
        <v>#N/A</v>
      </c>
      <c r="G2441" t="e">
        <f>NA()</f>
        <v>#N/A</v>
      </c>
      <c r="H2441" t="e">
        <f>NA()</f>
        <v>#N/A</v>
      </c>
      <c r="I2441" t="e">
        <f>NA()</f>
        <v>#N/A</v>
      </c>
      <c r="J2441" t="e">
        <f>NA()</f>
        <v>#N/A</v>
      </c>
      <c r="K2441" t="e">
        <f>NA()</f>
        <v>#N/A</v>
      </c>
      <c r="L2441" t="e">
        <f>NA()</f>
        <v>#N/A</v>
      </c>
      <c r="M2441" t="e">
        <f>NA()</f>
        <v>#N/A</v>
      </c>
      <c r="N2441" t="e">
        <f>NA()</f>
        <v>#N/A</v>
      </c>
      <c r="O2441">
        <f t="shared" si="100"/>
        <v>0.4</v>
      </c>
    </row>
    <row r="2442" spans="1:15" x14ac:dyDescent="0.25">
      <c r="A2442" s="1">
        <v>42485</v>
      </c>
      <c r="B2442" t="e">
        <f>NA()</f>
        <v>#N/A</v>
      </c>
      <c r="C2442" t="e">
        <f>NA()</f>
        <v>#N/A</v>
      </c>
      <c r="D2442" t="e">
        <f>NA()</f>
        <v>#N/A</v>
      </c>
      <c r="E2442" t="e">
        <f>NA()</f>
        <v>#N/A</v>
      </c>
      <c r="F2442" t="e">
        <f>NA()</f>
        <v>#N/A</v>
      </c>
      <c r="G2442" t="e">
        <f>NA()</f>
        <v>#N/A</v>
      </c>
      <c r="H2442" t="e">
        <f>NA()</f>
        <v>#N/A</v>
      </c>
      <c r="I2442" t="e">
        <f>NA()</f>
        <v>#N/A</v>
      </c>
      <c r="J2442" t="e">
        <f>NA()</f>
        <v>#N/A</v>
      </c>
      <c r="K2442" t="e">
        <f>NA()</f>
        <v>#N/A</v>
      </c>
      <c r="L2442" t="e">
        <f>NA()</f>
        <v>#N/A</v>
      </c>
      <c r="M2442" t="e">
        <f>NA()</f>
        <v>#N/A</v>
      </c>
      <c r="N2442" t="e">
        <f>NA()</f>
        <v>#N/A</v>
      </c>
      <c r="O2442">
        <f t="shared" si="100"/>
        <v>0.4</v>
      </c>
    </row>
    <row r="2443" spans="1:15" x14ac:dyDescent="0.25">
      <c r="A2443" s="1">
        <v>42482</v>
      </c>
      <c r="B2443">
        <f>0</f>
        <v>0</v>
      </c>
      <c r="C2443">
        <f>0</f>
        <v>0</v>
      </c>
      <c r="D2443" t="e">
        <f>NA()</f>
        <v>#N/A</v>
      </c>
      <c r="E2443" t="e">
        <f>NA()</f>
        <v>#N/A</v>
      </c>
      <c r="F2443" t="e">
        <f>NA()</f>
        <v>#N/A</v>
      </c>
      <c r="G2443" t="e">
        <f>NA()</f>
        <v>#N/A</v>
      </c>
      <c r="H2443" t="e">
        <f>NA()</f>
        <v>#N/A</v>
      </c>
      <c r="I2443" t="e">
        <f>NA()</f>
        <v>#N/A</v>
      </c>
      <c r="J2443" t="e">
        <f>NA()</f>
        <v>#N/A</v>
      </c>
      <c r="K2443" t="e">
        <f>NA()</f>
        <v>#N/A</v>
      </c>
      <c r="L2443" t="e">
        <f>NA()</f>
        <v>#N/A</v>
      </c>
      <c r="M2443" t="e">
        <f>NA()</f>
        <v>#N/A</v>
      </c>
      <c r="N2443" t="e">
        <f>NA()</f>
        <v>#N/A</v>
      </c>
      <c r="O2443">
        <f t="shared" si="100"/>
        <v>0.4</v>
      </c>
    </row>
    <row r="2444" spans="1:15" x14ac:dyDescent="0.25">
      <c r="A2444" s="1">
        <v>42481</v>
      </c>
      <c r="B2444" t="e">
        <f>NA()</f>
        <v>#N/A</v>
      </c>
      <c r="C2444" t="e">
        <f>NA()</f>
        <v>#N/A</v>
      </c>
      <c r="D2444" t="e">
        <f>NA()</f>
        <v>#N/A</v>
      </c>
      <c r="E2444" t="e">
        <f>NA()</f>
        <v>#N/A</v>
      </c>
      <c r="F2444" t="e">
        <f>NA()</f>
        <v>#N/A</v>
      </c>
      <c r="G2444" t="e">
        <f>NA()</f>
        <v>#N/A</v>
      </c>
      <c r="H2444" t="e">
        <f>NA()</f>
        <v>#N/A</v>
      </c>
      <c r="I2444" t="e">
        <f>NA()</f>
        <v>#N/A</v>
      </c>
      <c r="J2444" t="e">
        <f>NA()</f>
        <v>#N/A</v>
      </c>
      <c r="K2444" t="e">
        <f>NA()</f>
        <v>#N/A</v>
      </c>
      <c r="L2444" t="e">
        <f>NA()</f>
        <v>#N/A</v>
      </c>
      <c r="M2444" t="e">
        <f>NA()</f>
        <v>#N/A</v>
      </c>
      <c r="N2444" t="e">
        <f>NA()</f>
        <v>#N/A</v>
      </c>
      <c r="O2444">
        <f t="shared" si="100"/>
        <v>0.4</v>
      </c>
    </row>
    <row r="2445" spans="1:15" x14ac:dyDescent="0.25">
      <c r="A2445" s="1">
        <v>42480</v>
      </c>
      <c r="B2445" t="e">
        <f>NA()</f>
        <v>#N/A</v>
      </c>
      <c r="C2445" t="e">
        <f>NA()</f>
        <v>#N/A</v>
      </c>
      <c r="D2445" t="e">
        <f>NA()</f>
        <v>#N/A</v>
      </c>
      <c r="E2445" t="e">
        <f>NA()</f>
        <v>#N/A</v>
      </c>
      <c r="F2445" t="e">
        <f>NA()</f>
        <v>#N/A</v>
      </c>
      <c r="G2445" t="e">
        <f>NA()</f>
        <v>#N/A</v>
      </c>
      <c r="H2445" t="e">
        <f>NA()</f>
        <v>#N/A</v>
      </c>
      <c r="I2445" t="e">
        <f>NA()</f>
        <v>#N/A</v>
      </c>
      <c r="J2445" t="e">
        <f>NA()</f>
        <v>#N/A</v>
      </c>
      <c r="K2445" t="e">
        <f>NA()</f>
        <v>#N/A</v>
      </c>
      <c r="L2445" t="e">
        <f>NA()</f>
        <v>#N/A</v>
      </c>
      <c r="M2445" t="e">
        <f>NA()</f>
        <v>#N/A</v>
      </c>
      <c r="N2445" t="e">
        <f>NA()</f>
        <v>#N/A</v>
      </c>
      <c r="O2445">
        <f t="shared" si="100"/>
        <v>0.4</v>
      </c>
    </row>
    <row r="2446" spans="1:15" x14ac:dyDescent="0.25">
      <c r="A2446" s="1">
        <v>42479</v>
      </c>
      <c r="B2446" t="e">
        <f>NA()</f>
        <v>#N/A</v>
      </c>
      <c r="C2446" t="e">
        <f>NA()</f>
        <v>#N/A</v>
      </c>
      <c r="D2446" t="e">
        <f>NA()</f>
        <v>#N/A</v>
      </c>
      <c r="E2446" t="e">
        <f>NA()</f>
        <v>#N/A</v>
      </c>
      <c r="F2446" t="e">
        <f>NA()</f>
        <v>#N/A</v>
      </c>
      <c r="G2446" t="e">
        <f>NA()</f>
        <v>#N/A</v>
      </c>
      <c r="H2446" t="e">
        <f>NA()</f>
        <v>#N/A</v>
      </c>
      <c r="I2446" t="e">
        <f>NA()</f>
        <v>#N/A</v>
      </c>
      <c r="J2446" t="e">
        <f>NA()</f>
        <v>#N/A</v>
      </c>
      <c r="K2446" t="e">
        <f>NA()</f>
        <v>#N/A</v>
      </c>
      <c r="L2446" t="e">
        <f>NA()</f>
        <v>#N/A</v>
      </c>
      <c r="M2446" t="e">
        <f>NA()</f>
        <v>#N/A</v>
      </c>
      <c r="N2446" t="e">
        <f>NA()</f>
        <v>#N/A</v>
      </c>
      <c r="O2446">
        <f t="shared" si="100"/>
        <v>0.4</v>
      </c>
    </row>
    <row r="2447" spans="1:15" x14ac:dyDescent="0.25">
      <c r="A2447" s="1">
        <v>42478</v>
      </c>
      <c r="B2447" t="e">
        <f>NA()</f>
        <v>#N/A</v>
      </c>
      <c r="C2447" t="e">
        <f>NA()</f>
        <v>#N/A</v>
      </c>
      <c r="D2447" t="e">
        <f>NA()</f>
        <v>#N/A</v>
      </c>
      <c r="E2447" t="e">
        <f>NA()</f>
        <v>#N/A</v>
      </c>
      <c r="F2447" t="e">
        <f>NA()</f>
        <v>#N/A</v>
      </c>
      <c r="G2447" t="e">
        <f>NA()</f>
        <v>#N/A</v>
      </c>
      <c r="H2447" t="e">
        <f>NA()</f>
        <v>#N/A</v>
      </c>
      <c r="I2447" t="e">
        <f>NA()</f>
        <v>#N/A</v>
      </c>
      <c r="J2447" t="e">
        <f>NA()</f>
        <v>#N/A</v>
      </c>
      <c r="K2447" t="e">
        <f>NA()</f>
        <v>#N/A</v>
      </c>
      <c r="L2447" t="e">
        <f>NA()</f>
        <v>#N/A</v>
      </c>
      <c r="M2447" t="e">
        <f>NA()</f>
        <v>#N/A</v>
      </c>
      <c r="N2447" t="e">
        <f>NA()</f>
        <v>#N/A</v>
      </c>
      <c r="O2447">
        <f t="shared" si="100"/>
        <v>0.4</v>
      </c>
    </row>
    <row r="2448" spans="1:15" x14ac:dyDescent="0.25">
      <c r="A2448" s="1">
        <v>42475</v>
      </c>
      <c r="B2448">
        <f>0.1</f>
        <v>0.1</v>
      </c>
      <c r="C2448">
        <f>0</f>
        <v>0</v>
      </c>
      <c r="D2448" t="e">
        <f>NA()</f>
        <v>#N/A</v>
      </c>
      <c r="E2448" t="e">
        <f>NA()</f>
        <v>#N/A</v>
      </c>
      <c r="F2448" t="e">
        <f>NA()</f>
        <v>#N/A</v>
      </c>
      <c r="G2448" t="e">
        <f>NA()</f>
        <v>#N/A</v>
      </c>
      <c r="H2448" t="e">
        <f>NA()</f>
        <v>#N/A</v>
      </c>
      <c r="I2448" t="e">
        <f>NA()</f>
        <v>#N/A</v>
      </c>
      <c r="J2448" t="e">
        <f>NA()</f>
        <v>#N/A</v>
      </c>
      <c r="K2448" t="e">
        <f>NA()</f>
        <v>#N/A</v>
      </c>
      <c r="L2448" t="e">
        <f>NA()</f>
        <v>#N/A</v>
      </c>
      <c r="M2448" t="e">
        <f>NA()</f>
        <v>#N/A</v>
      </c>
      <c r="N2448" t="e">
        <f>NA()</f>
        <v>#N/A</v>
      </c>
      <c r="O2448">
        <f t="shared" si="100"/>
        <v>0.4</v>
      </c>
    </row>
    <row r="2449" spans="1:15" x14ac:dyDescent="0.25">
      <c r="A2449" s="1">
        <v>42474</v>
      </c>
      <c r="B2449" t="e">
        <f>NA()</f>
        <v>#N/A</v>
      </c>
      <c r="C2449" t="e">
        <f>NA()</f>
        <v>#N/A</v>
      </c>
      <c r="D2449" t="e">
        <f>NA()</f>
        <v>#N/A</v>
      </c>
      <c r="E2449" t="e">
        <f>NA()</f>
        <v>#N/A</v>
      </c>
      <c r="F2449" t="e">
        <f>NA()</f>
        <v>#N/A</v>
      </c>
      <c r="G2449" t="e">
        <f>NA()</f>
        <v>#N/A</v>
      </c>
      <c r="H2449" t="e">
        <f>NA()</f>
        <v>#N/A</v>
      </c>
      <c r="I2449" t="e">
        <f>NA()</f>
        <v>#N/A</v>
      </c>
      <c r="J2449" t="e">
        <f>NA()</f>
        <v>#N/A</v>
      </c>
      <c r="K2449" t="e">
        <f>NA()</f>
        <v>#N/A</v>
      </c>
      <c r="L2449" t="e">
        <f>NA()</f>
        <v>#N/A</v>
      </c>
      <c r="M2449" t="e">
        <f>NA()</f>
        <v>#N/A</v>
      </c>
      <c r="N2449" t="e">
        <f>NA()</f>
        <v>#N/A</v>
      </c>
      <c r="O2449">
        <f t="shared" si="100"/>
        <v>0.4</v>
      </c>
    </row>
    <row r="2450" spans="1:15" x14ac:dyDescent="0.25">
      <c r="A2450" s="1">
        <v>42473</v>
      </c>
      <c r="B2450" t="e">
        <f>NA()</f>
        <v>#N/A</v>
      </c>
      <c r="C2450" t="e">
        <f>NA()</f>
        <v>#N/A</v>
      </c>
      <c r="D2450" t="e">
        <f>NA()</f>
        <v>#N/A</v>
      </c>
      <c r="E2450" t="e">
        <f>NA()</f>
        <v>#N/A</v>
      </c>
      <c r="F2450" t="e">
        <f>NA()</f>
        <v>#N/A</v>
      </c>
      <c r="G2450" t="e">
        <f>NA()</f>
        <v>#N/A</v>
      </c>
      <c r="H2450" t="e">
        <f>NA()</f>
        <v>#N/A</v>
      </c>
      <c r="I2450" t="e">
        <f>NA()</f>
        <v>#N/A</v>
      </c>
      <c r="J2450" t="e">
        <f>NA()</f>
        <v>#N/A</v>
      </c>
      <c r="K2450" t="e">
        <f>NA()</f>
        <v>#N/A</v>
      </c>
      <c r="L2450" t="e">
        <f>NA()</f>
        <v>#N/A</v>
      </c>
      <c r="M2450" t="e">
        <f>NA()</f>
        <v>#N/A</v>
      </c>
      <c r="N2450" t="e">
        <f>NA()</f>
        <v>#N/A</v>
      </c>
      <c r="O2450">
        <f t="shared" si="100"/>
        <v>0.4</v>
      </c>
    </row>
    <row r="2451" spans="1:15" x14ac:dyDescent="0.25">
      <c r="A2451" s="1">
        <v>42472</v>
      </c>
      <c r="B2451" t="e">
        <f>NA()</f>
        <v>#N/A</v>
      </c>
      <c r="C2451" t="e">
        <f>NA()</f>
        <v>#N/A</v>
      </c>
      <c r="D2451" t="e">
        <f>NA()</f>
        <v>#N/A</v>
      </c>
      <c r="E2451" t="e">
        <f>NA()</f>
        <v>#N/A</v>
      </c>
      <c r="F2451" t="e">
        <f>NA()</f>
        <v>#N/A</v>
      </c>
      <c r="G2451" t="e">
        <f>NA()</f>
        <v>#N/A</v>
      </c>
      <c r="H2451" t="e">
        <f>NA()</f>
        <v>#N/A</v>
      </c>
      <c r="I2451" t="e">
        <f>NA()</f>
        <v>#N/A</v>
      </c>
      <c r="J2451" t="e">
        <f>NA()</f>
        <v>#N/A</v>
      </c>
      <c r="K2451" t="e">
        <f>NA()</f>
        <v>#N/A</v>
      </c>
      <c r="L2451" t="e">
        <f>NA()</f>
        <v>#N/A</v>
      </c>
      <c r="M2451" t="e">
        <f>NA()</f>
        <v>#N/A</v>
      </c>
      <c r="N2451" t="e">
        <f>NA()</f>
        <v>#N/A</v>
      </c>
      <c r="O2451">
        <f t="shared" si="100"/>
        <v>0.4</v>
      </c>
    </row>
    <row r="2452" spans="1:15" x14ac:dyDescent="0.25">
      <c r="A2452" s="1">
        <v>42471</v>
      </c>
      <c r="B2452" t="e">
        <f>NA()</f>
        <v>#N/A</v>
      </c>
      <c r="C2452" t="e">
        <f>NA()</f>
        <v>#N/A</v>
      </c>
      <c r="D2452" t="e">
        <f>NA()</f>
        <v>#N/A</v>
      </c>
      <c r="E2452" t="e">
        <f>NA()</f>
        <v>#N/A</v>
      </c>
      <c r="F2452" t="e">
        <f>NA()</f>
        <v>#N/A</v>
      </c>
      <c r="G2452" t="e">
        <f>NA()</f>
        <v>#N/A</v>
      </c>
      <c r="H2452" t="e">
        <f>NA()</f>
        <v>#N/A</v>
      </c>
      <c r="I2452" t="e">
        <f>NA()</f>
        <v>#N/A</v>
      </c>
      <c r="J2452" t="e">
        <f>NA()</f>
        <v>#N/A</v>
      </c>
      <c r="K2452" t="e">
        <f>NA()</f>
        <v>#N/A</v>
      </c>
      <c r="L2452" t="e">
        <f>NA()</f>
        <v>#N/A</v>
      </c>
      <c r="M2452" t="e">
        <f>NA()</f>
        <v>#N/A</v>
      </c>
      <c r="N2452" t="e">
        <f>NA()</f>
        <v>#N/A</v>
      </c>
      <c r="O2452">
        <f t="shared" si="100"/>
        <v>0.4</v>
      </c>
    </row>
    <row r="2453" spans="1:15" x14ac:dyDescent="0.25">
      <c r="A2453" s="1">
        <v>42468</v>
      </c>
      <c r="B2453">
        <f>0.3</f>
        <v>0.3</v>
      </c>
      <c r="C2453">
        <f>0</f>
        <v>0</v>
      </c>
      <c r="D2453" t="e">
        <f>NA()</f>
        <v>#N/A</v>
      </c>
      <c r="E2453" t="e">
        <f>NA()</f>
        <v>#N/A</v>
      </c>
      <c r="F2453" t="e">
        <f>NA()</f>
        <v>#N/A</v>
      </c>
      <c r="G2453" t="e">
        <f>NA()</f>
        <v>#N/A</v>
      </c>
      <c r="H2453" t="e">
        <f>NA()</f>
        <v>#N/A</v>
      </c>
      <c r="I2453" t="e">
        <f>NA()</f>
        <v>#N/A</v>
      </c>
      <c r="J2453" t="e">
        <f>NA()</f>
        <v>#N/A</v>
      </c>
      <c r="K2453" t="e">
        <f>NA()</f>
        <v>#N/A</v>
      </c>
      <c r="L2453" t="e">
        <f>NA()</f>
        <v>#N/A</v>
      </c>
      <c r="M2453" t="e">
        <f>NA()</f>
        <v>#N/A</v>
      </c>
      <c r="N2453" t="e">
        <f>NA()</f>
        <v>#N/A</v>
      </c>
      <c r="O2453">
        <f t="shared" si="100"/>
        <v>0.4</v>
      </c>
    </row>
    <row r="2454" spans="1:15" x14ac:dyDescent="0.25">
      <c r="A2454" s="1">
        <v>42467</v>
      </c>
      <c r="B2454" t="e">
        <f>NA()</f>
        <v>#N/A</v>
      </c>
      <c r="C2454" t="e">
        <f>NA()</f>
        <v>#N/A</v>
      </c>
      <c r="D2454" t="e">
        <f>NA()</f>
        <v>#N/A</v>
      </c>
      <c r="E2454" t="e">
        <f>NA()</f>
        <v>#N/A</v>
      </c>
      <c r="F2454" t="e">
        <f>NA()</f>
        <v>#N/A</v>
      </c>
      <c r="G2454" t="e">
        <f>NA()</f>
        <v>#N/A</v>
      </c>
      <c r="H2454" t="e">
        <f>NA()</f>
        <v>#N/A</v>
      </c>
      <c r="I2454" t="e">
        <f>NA()</f>
        <v>#N/A</v>
      </c>
      <c r="J2454" t="e">
        <f>NA()</f>
        <v>#N/A</v>
      </c>
      <c r="K2454" t="e">
        <f>NA()</f>
        <v>#N/A</v>
      </c>
      <c r="L2454" t="e">
        <f>NA()</f>
        <v>#N/A</v>
      </c>
      <c r="M2454" t="e">
        <f>NA()</f>
        <v>#N/A</v>
      </c>
      <c r="N2454" t="e">
        <f>NA()</f>
        <v>#N/A</v>
      </c>
      <c r="O2454">
        <f t="shared" si="100"/>
        <v>0.4</v>
      </c>
    </row>
    <row r="2455" spans="1:15" x14ac:dyDescent="0.25">
      <c r="A2455" s="1">
        <v>42466</v>
      </c>
      <c r="B2455" t="e">
        <f>NA()</f>
        <v>#N/A</v>
      </c>
      <c r="C2455" t="e">
        <f>NA()</f>
        <v>#N/A</v>
      </c>
      <c r="D2455" t="e">
        <f>NA()</f>
        <v>#N/A</v>
      </c>
      <c r="E2455" t="e">
        <f>NA()</f>
        <v>#N/A</v>
      </c>
      <c r="F2455" t="e">
        <f>NA()</f>
        <v>#N/A</v>
      </c>
      <c r="G2455" t="e">
        <f>NA()</f>
        <v>#N/A</v>
      </c>
      <c r="H2455" t="e">
        <f>NA()</f>
        <v>#N/A</v>
      </c>
      <c r="I2455" t="e">
        <f>NA()</f>
        <v>#N/A</v>
      </c>
      <c r="J2455" t="e">
        <f>NA()</f>
        <v>#N/A</v>
      </c>
      <c r="K2455" t="e">
        <f>NA()</f>
        <v>#N/A</v>
      </c>
      <c r="L2455" t="e">
        <f>NA()</f>
        <v>#N/A</v>
      </c>
      <c r="M2455" t="e">
        <f>NA()</f>
        <v>#N/A</v>
      </c>
      <c r="N2455" t="e">
        <f>NA()</f>
        <v>#N/A</v>
      </c>
      <c r="O2455">
        <f t="shared" si="100"/>
        <v>0.4</v>
      </c>
    </row>
    <row r="2456" spans="1:15" x14ac:dyDescent="0.25">
      <c r="A2456" s="1">
        <v>42465</v>
      </c>
      <c r="B2456" t="e">
        <f>NA()</f>
        <v>#N/A</v>
      </c>
      <c r="C2456" t="e">
        <f>NA()</f>
        <v>#N/A</v>
      </c>
      <c r="D2456" t="e">
        <f>NA()</f>
        <v>#N/A</v>
      </c>
      <c r="E2456" t="e">
        <f>NA()</f>
        <v>#N/A</v>
      </c>
      <c r="F2456" t="e">
        <f>NA()</f>
        <v>#N/A</v>
      </c>
      <c r="G2456" t="e">
        <f>NA()</f>
        <v>#N/A</v>
      </c>
      <c r="H2456" t="e">
        <f>NA()</f>
        <v>#N/A</v>
      </c>
      <c r="I2456" t="e">
        <f>NA()</f>
        <v>#N/A</v>
      </c>
      <c r="J2456" t="e">
        <f>NA()</f>
        <v>#N/A</v>
      </c>
      <c r="K2456" t="e">
        <f>NA()</f>
        <v>#N/A</v>
      </c>
      <c r="L2456" t="e">
        <f>NA()</f>
        <v>#N/A</v>
      </c>
      <c r="M2456" t="e">
        <f>NA()</f>
        <v>#N/A</v>
      </c>
      <c r="N2456" t="e">
        <f>NA()</f>
        <v>#N/A</v>
      </c>
      <c r="O2456">
        <f t="shared" si="100"/>
        <v>0.4</v>
      </c>
    </row>
    <row r="2457" spans="1:15" x14ac:dyDescent="0.25">
      <c r="A2457" s="1">
        <v>42464</v>
      </c>
      <c r="B2457" t="e">
        <f>NA()</f>
        <v>#N/A</v>
      </c>
      <c r="C2457" t="e">
        <f>NA()</f>
        <v>#N/A</v>
      </c>
      <c r="D2457" t="e">
        <f>NA()</f>
        <v>#N/A</v>
      </c>
      <c r="E2457" t="e">
        <f>NA()</f>
        <v>#N/A</v>
      </c>
      <c r="F2457" t="e">
        <f>NA()</f>
        <v>#N/A</v>
      </c>
      <c r="G2457" t="e">
        <f>NA()</f>
        <v>#N/A</v>
      </c>
      <c r="H2457" t="e">
        <f>NA()</f>
        <v>#N/A</v>
      </c>
      <c r="I2457" t="e">
        <f>NA()</f>
        <v>#N/A</v>
      </c>
      <c r="J2457" t="e">
        <f>NA()</f>
        <v>#N/A</v>
      </c>
      <c r="K2457" t="e">
        <f>NA()</f>
        <v>#N/A</v>
      </c>
      <c r="L2457" t="e">
        <f>NA()</f>
        <v>#N/A</v>
      </c>
      <c r="M2457" t="e">
        <f>NA()</f>
        <v>#N/A</v>
      </c>
      <c r="N2457" t="e">
        <f>NA()</f>
        <v>#N/A</v>
      </c>
      <c r="O2457">
        <f t="shared" si="100"/>
        <v>0.4</v>
      </c>
    </row>
    <row r="2458" spans="1:15" x14ac:dyDescent="0.25">
      <c r="A2458" s="1">
        <v>42461</v>
      </c>
      <c r="B2458">
        <f>0.4</f>
        <v>0.4</v>
      </c>
      <c r="C2458">
        <f>0</f>
        <v>0</v>
      </c>
      <c r="D2458" t="e">
        <f>NA()</f>
        <v>#N/A</v>
      </c>
      <c r="E2458" t="e">
        <f>NA()</f>
        <v>#N/A</v>
      </c>
      <c r="F2458" t="e">
        <f>NA()</f>
        <v>#N/A</v>
      </c>
      <c r="G2458" t="e">
        <f>NA()</f>
        <v>#N/A</v>
      </c>
      <c r="H2458" t="e">
        <f>NA()</f>
        <v>#N/A</v>
      </c>
      <c r="I2458" t="e">
        <f>NA()</f>
        <v>#N/A</v>
      </c>
      <c r="J2458" t="e">
        <f>NA()</f>
        <v>#N/A</v>
      </c>
      <c r="K2458" t="e">
        <f>NA()</f>
        <v>#N/A</v>
      </c>
      <c r="L2458" t="e">
        <f>NA()</f>
        <v>#N/A</v>
      </c>
      <c r="M2458" t="e">
        <f>NA()</f>
        <v>#N/A</v>
      </c>
      <c r="N2458" t="e">
        <f>NA()</f>
        <v>#N/A</v>
      </c>
      <c r="O2458">
        <f t="shared" si="100"/>
        <v>0.4</v>
      </c>
    </row>
    <row r="2459" spans="1:15" x14ac:dyDescent="0.25">
      <c r="A2459" s="1">
        <v>42460</v>
      </c>
      <c r="B2459" t="e">
        <f>NA()</f>
        <v>#N/A</v>
      </c>
      <c r="C2459" t="e">
        <f>NA()</f>
        <v>#N/A</v>
      </c>
      <c r="D2459">
        <f>0.3</f>
        <v>0.3</v>
      </c>
      <c r="E2459">
        <f>1.5</f>
        <v>1.5</v>
      </c>
      <c r="F2459">
        <f>6129</f>
        <v>6129</v>
      </c>
      <c r="G2459">
        <f>63</f>
        <v>63</v>
      </c>
      <c r="H2459">
        <f>3</f>
        <v>3</v>
      </c>
      <c r="I2459">
        <f>238.1</f>
        <v>238.1</v>
      </c>
      <c r="J2459">
        <f>0.9</f>
        <v>0.9</v>
      </c>
      <c r="K2459">
        <f>51</f>
        <v>51</v>
      </c>
      <c r="L2459">
        <f>-0.8</f>
        <v>-0.8</v>
      </c>
      <c r="M2459">
        <f>2.3</f>
        <v>2.2999999999999998</v>
      </c>
      <c r="N2459">
        <f>5</f>
        <v>5</v>
      </c>
      <c r="O2459">
        <f>0.3</f>
        <v>0.3</v>
      </c>
    </row>
    <row r="2460" spans="1:15" x14ac:dyDescent="0.25">
      <c r="A2460" s="1">
        <v>42459</v>
      </c>
      <c r="B2460" t="e">
        <f>NA()</f>
        <v>#N/A</v>
      </c>
      <c r="C2460" t="e">
        <f>NA()</f>
        <v>#N/A</v>
      </c>
      <c r="D2460" t="e">
        <f>NA()</f>
        <v>#N/A</v>
      </c>
      <c r="E2460" t="e">
        <f>NA()</f>
        <v>#N/A</v>
      </c>
      <c r="F2460" t="e">
        <f>NA()</f>
        <v>#N/A</v>
      </c>
      <c r="G2460" t="e">
        <f>NA()</f>
        <v>#N/A</v>
      </c>
      <c r="H2460" t="e">
        <f>NA()</f>
        <v>#N/A</v>
      </c>
      <c r="I2460" t="e">
        <f>NA()</f>
        <v>#N/A</v>
      </c>
      <c r="J2460" t="e">
        <f>NA()</f>
        <v>#N/A</v>
      </c>
      <c r="K2460" t="e">
        <f>NA()</f>
        <v>#N/A</v>
      </c>
      <c r="L2460" t="e">
        <f>NA()</f>
        <v>#N/A</v>
      </c>
      <c r="M2460" t="e">
        <f>NA()</f>
        <v>#N/A</v>
      </c>
      <c r="N2460" t="e">
        <f>NA()</f>
        <v>#N/A</v>
      </c>
      <c r="O2460">
        <f t="shared" ref="O2460:O2481" si="101">0.4</f>
        <v>0.4</v>
      </c>
    </row>
    <row r="2461" spans="1:15" x14ac:dyDescent="0.25">
      <c r="A2461" s="1">
        <v>42458</v>
      </c>
      <c r="B2461" t="e">
        <f>NA()</f>
        <v>#N/A</v>
      </c>
      <c r="C2461" t="e">
        <f>NA()</f>
        <v>#N/A</v>
      </c>
      <c r="D2461" t="e">
        <f>NA()</f>
        <v>#N/A</v>
      </c>
      <c r="E2461" t="e">
        <f>NA()</f>
        <v>#N/A</v>
      </c>
      <c r="F2461" t="e">
        <f>NA()</f>
        <v>#N/A</v>
      </c>
      <c r="G2461" t="e">
        <f>NA()</f>
        <v>#N/A</v>
      </c>
      <c r="H2461" t="e">
        <f>NA()</f>
        <v>#N/A</v>
      </c>
      <c r="I2461" t="e">
        <f>NA()</f>
        <v>#N/A</v>
      </c>
      <c r="J2461" t="e">
        <f>NA()</f>
        <v>#N/A</v>
      </c>
      <c r="K2461" t="e">
        <f>NA()</f>
        <v>#N/A</v>
      </c>
      <c r="L2461" t="e">
        <f>NA()</f>
        <v>#N/A</v>
      </c>
      <c r="M2461" t="e">
        <f>NA()</f>
        <v>#N/A</v>
      </c>
      <c r="N2461" t="e">
        <f>NA()</f>
        <v>#N/A</v>
      </c>
      <c r="O2461">
        <f t="shared" si="101"/>
        <v>0.4</v>
      </c>
    </row>
    <row r="2462" spans="1:15" x14ac:dyDescent="0.25">
      <c r="A2462" s="1">
        <v>42457</v>
      </c>
      <c r="B2462" t="e">
        <f>NA()</f>
        <v>#N/A</v>
      </c>
      <c r="C2462" t="e">
        <f>NA()</f>
        <v>#N/A</v>
      </c>
      <c r="D2462" t="e">
        <f>NA()</f>
        <v>#N/A</v>
      </c>
      <c r="E2462" t="e">
        <f>NA()</f>
        <v>#N/A</v>
      </c>
      <c r="F2462" t="e">
        <f>NA()</f>
        <v>#N/A</v>
      </c>
      <c r="G2462" t="e">
        <f>NA()</f>
        <v>#N/A</v>
      </c>
      <c r="H2462" t="e">
        <f>NA()</f>
        <v>#N/A</v>
      </c>
      <c r="I2462" t="e">
        <f>NA()</f>
        <v>#N/A</v>
      </c>
      <c r="J2462" t="e">
        <f>NA()</f>
        <v>#N/A</v>
      </c>
      <c r="K2462" t="e">
        <f>NA()</f>
        <v>#N/A</v>
      </c>
      <c r="L2462" t="e">
        <f>NA()</f>
        <v>#N/A</v>
      </c>
      <c r="M2462" t="e">
        <f>NA()</f>
        <v>#N/A</v>
      </c>
      <c r="N2462" t="e">
        <f>NA()</f>
        <v>#N/A</v>
      </c>
      <c r="O2462">
        <f t="shared" si="101"/>
        <v>0.4</v>
      </c>
    </row>
    <row r="2463" spans="1:15" x14ac:dyDescent="0.25">
      <c r="A2463" s="1">
        <v>42454</v>
      </c>
      <c r="B2463">
        <f>0.2</f>
        <v>0.2</v>
      </c>
      <c r="C2463">
        <f>0</f>
        <v>0</v>
      </c>
      <c r="D2463" t="e">
        <f>NA()</f>
        <v>#N/A</v>
      </c>
      <c r="E2463" t="e">
        <f>NA()</f>
        <v>#N/A</v>
      </c>
      <c r="F2463" t="e">
        <f>NA()</f>
        <v>#N/A</v>
      </c>
      <c r="G2463" t="e">
        <f>NA()</f>
        <v>#N/A</v>
      </c>
      <c r="H2463" t="e">
        <f>NA()</f>
        <v>#N/A</v>
      </c>
      <c r="I2463" t="e">
        <f>NA()</f>
        <v>#N/A</v>
      </c>
      <c r="J2463" t="e">
        <f>NA()</f>
        <v>#N/A</v>
      </c>
      <c r="K2463" t="e">
        <f>NA()</f>
        <v>#N/A</v>
      </c>
      <c r="L2463" t="e">
        <f>NA()</f>
        <v>#N/A</v>
      </c>
      <c r="M2463" t="e">
        <f>NA()</f>
        <v>#N/A</v>
      </c>
      <c r="N2463" t="e">
        <f>NA()</f>
        <v>#N/A</v>
      </c>
      <c r="O2463">
        <f t="shared" si="101"/>
        <v>0.4</v>
      </c>
    </row>
    <row r="2464" spans="1:15" x14ac:dyDescent="0.25">
      <c r="A2464" s="1">
        <v>42453</v>
      </c>
      <c r="B2464" t="e">
        <f>NA()</f>
        <v>#N/A</v>
      </c>
      <c r="C2464" t="e">
        <f>NA()</f>
        <v>#N/A</v>
      </c>
      <c r="D2464" t="e">
        <f>NA()</f>
        <v>#N/A</v>
      </c>
      <c r="E2464" t="e">
        <f>NA()</f>
        <v>#N/A</v>
      </c>
      <c r="F2464" t="e">
        <f>NA()</f>
        <v>#N/A</v>
      </c>
      <c r="G2464" t="e">
        <f>NA()</f>
        <v>#N/A</v>
      </c>
      <c r="H2464" t="e">
        <f>NA()</f>
        <v>#N/A</v>
      </c>
      <c r="I2464" t="e">
        <f>NA()</f>
        <v>#N/A</v>
      </c>
      <c r="J2464" t="e">
        <f>NA()</f>
        <v>#N/A</v>
      </c>
      <c r="K2464" t="e">
        <f>NA()</f>
        <v>#N/A</v>
      </c>
      <c r="L2464" t="e">
        <f>NA()</f>
        <v>#N/A</v>
      </c>
      <c r="M2464" t="e">
        <f>NA()</f>
        <v>#N/A</v>
      </c>
      <c r="N2464" t="e">
        <f>NA()</f>
        <v>#N/A</v>
      </c>
      <c r="O2464">
        <f t="shared" si="101"/>
        <v>0.4</v>
      </c>
    </row>
    <row r="2465" spans="1:15" x14ac:dyDescent="0.25">
      <c r="A2465" s="1">
        <v>42452</v>
      </c>
      <c r="B2465" t="e">
        <f>NA()</f>
        <v>#N/A</v>
      </c>
      <c r="C2465" t="e">
        <f>NA()</f>
        <v>#N/A</v>
      </c>
      <c r="D2465" t="e">
        <f>NA()</f>
        <v>#N/A</v>
      </c>
      <c r="E2465" t="e">
        <f>NA()</f>
        <v>#N/A</v>
      </c>
      <c r="F2465" t="e">
        <f>NA()</f>
        <v>#N/A</v>
      </c>
      <c r="G2465" t="e">
        <f>NA()</f>
        <v>#N/A</v>
      </c>
      <c r="H2465" t="e">
        <f>NA()</f>
        <v>#N/A</v>
      </c>
      <c r="I2465" t="e">
        <f>NA()</f>
        <v>#N/A</v>
      </c>
      <c r="J2465" t="e">
        <f>NA()</f>
        <v>#N/A</v>
      </c>
      <c r="K2465" t="e">
        <f>NA()</f>
        <v>#N/A</v>
      </c>
      <c r="L2465" t="e">
        <f>NA()</f>
        <v>#N/A</v>
      </c>
      <c r="M2465" t="e">
        <f>NA()</f>
        <v>#N/A</v>
      </c>
      <c r="N2465" t="e">
        <f>NA()</f>
        <v>#N/A</v>
      </c>
      <c r="O2465">
        <f t="shared" si="101"/>
        <v>0.4</v>
      </c>
    </row>
    <row r="2466" spans="1:15" x14ac:dyDescent="0.25">
      <c r="A2466" s="1">
        <v>42451</v>
      </c>
      <c r="B2466" t="e">
        <f>NA()</f>
        <v>#N/A</v>
      </c>
      <c r="C2466" t="e">
        <f>NA()</f>
        <v>#N/A</v>
      </c>
      <c r="D2466" t="e">
        <f>NA()</f>
        <v>#N/A</v>
      </c>
      <c r="E2466" t="e">
        <f>NA()</f>
        <v>#N/A</v>
      </c>
      <c r="F2466" t="e">
        <f>NA()</f>
        <v>#N/A</v>
      </c>
      <c r="G2466" t="e">
        <f>NA()</f>
        <v>#N/A</v>
      </c>
      <c r="H2466" t="e">
        <f>NA()</f>
        <v>#N/A</v>
      </c>
      <c r="I2466" t="e">
        <f>NA()</f>
        <v>#N/A</v>
      </c>
      <c r="J2466" t="e">
        <f>NA()</f>
        <v>#N/A</v>
      </c>
      <c r="K2466" t="e">
        <f>NA()</f>
        <v>#N/A</v>
      </c>
      <c r="L2466" t="e">
        <f>NA()</f>
        <v>#N/A</v>
      </c>
      <c r="M2466" t="e">
        <f>NA()</f>
        <v>#N/A</v>
      </c>
      <c r="N2466" t="e">
        <f>NA()</f>
        <v>#N/A</v>
      </c>
      <c r="O2466">
        <f t="shared" si="101"/>
        <v>0.4</v>
      </c>
    </row>
    <row r="2467" spans="1:15" x14ac:dyDescent="0.25">
      <c r="A2467" s="1">
        <v>42450</v>
      </c>
      <c r="B2467" t="e">
        <f>NA()</f>
        <v>#N/A</v>
      </c>
      <c r="C2467" t="e">
        <f>NA()</f>
        <v>#N/A</v>
      </c>
      <c r="D2467" t="e">
        <f>NA()</f>
        <v>#N/A</v>
      </c>
      <c r="E2467" t="e">
        <f>NA()</f>
        <v>#N/A</v>
      </c>
      <c r="F2467" t="e">
        <f>NA()</f>
        <v>#N/A</v>
      </c>
      <c r="G2467" t="e">
        <f>NA()</f>
        <v>#N/A</v>
      </c>
      <c r="H2467" t="e">
        <f>NA()</f>
        <v>#N/A</v>
      </c>
      <c r="I2467" t="e">
        <f>NA()</f>
        <v>#N/A</v>
      </c>
      <c r="J2467" t="e">
        <f>NA()</f>
        <v>#N/A</v>
      </c>
      <c r="K2467" t="e">
        <f>NA()</f>
        <v>#N/A</v>
      </c>
      <c r="L2467" t="e">
        <f>NA()</f>
        <v>#N/A</v>
      </c>
      <c r="M2467" t="e">
        <f>NA()</f>
        <v>#N/A</v>
      </c>
      <c r="N2467" t="e">
        <f>NA()</f>
        <v>#N/A</v>
      </c>
      <c r="O2467">
        <f t="shared" si="101"/>
        <v>0.4</v>
      </c>
    </row>
    <row r="2468" spans="1:15" x14ac:dyDescent="0.25">
      <c r="A2468" s="1">
        <v>42447</v>
      </c>
      <c r="B2468">
        <f>0.1</f>
        <v>0.1</v>
      </c>
      <c r="C2468">
        <f>0</f>
        <v>0</v>
      </c>
      <c r="D2468" t="e">
        <f>NA()</f>
        <v>#N/A</v>
      </c>
      <c r="E2468" t="e">
        <f>NA()</f>
        <v>#N/A</v>
      </c>
      <c r="F2468" t="e">
        <f>NA()</f>
        <v>#N/A</v>
      </c>
      <c r="G2468" t="e">
        <f>NA()</f>
        <v>#N/A</v>
      </c>
      <c r="H2468" t="e">
        <f>NA()</f>
        <v>#N/A</v>
      </c>
      <c r="I2468" t="e">
        <f>NA()</f>
        <v>#N/A</v>
      </c>
      <c r="J2468" t="e">
        <f>NA()</f>
        <v>#N/A</v>
      </c>
      <c r="K2468" t="e">
        <f>NA()</f>
        <v>#N/A</v>
      </c>
      <c r="L2468" t="e">
        <f>NA()</f>
        <v>#N/A</v>
      </c>
      <c r="M2468" t="e">
        <f>NA()</f>
        <v>#N/A</v>
      </c>
      <c r="N2468" t="e">
        <f>NA()</f>
        <v>#N/A</v>
      </c>
      <c r="O2468">
        <f t="shared" si="101"/>
        <v>0.4</v>
      </c>
    </row>
    <row r="2469" spans="1:15" x14ac:dyDescent="0.25">
      <c r="A2469" s="1">
        <v>42446</v>
      </c>
      <c r="B2469" t="e">
        <f>NA()</f>
        <v>#N/A</v>
      </c>
      <c r="C2469" t="e">
        <f>NA()</f>
        <v>#N/A</v>
      </c>
      <c r="D2469" t="e">
        <f>NA()</f>
        <v>#N/A</v>
      </c>
      <c r="E2469" t="e">
        <f>NA()</f>
        <v>#N/A</v>
      </c>
      <c r="F2469" t="e">
        <f>NA()</f>
        <v>#N/A</v>
      </c>
      <c r="G2469" t="e">
        <f>NA()</f>
        <v>#N/A</v>
      </c>
      <c r="H2469" t="e">
        <f>NA()</f>
        <v>#N/A</v>
      </c>
      <c r="I2469" t="e">
        <f>NA()</f>
        <v>#N/A</v>
      </c>
      <c r="J2469" t="e">
        <f>NA()</f>
        <v>#N/A</v>
      </c>
      <c r="K2469" t="e">
        <f>NA()</f>
        <v>#N/A</v>
      </c>
      <c r="L2469" t="e">
        <f>NA()</f>
        <v>#N/A</v>
      </c>
      <c r="M2469" t="e">
        <f>NA()</f>
        <v>#N/A</v>
      </c>
      <c r="N2469" t="e">
        <f>NA()</f>
        <v>#N/A</v>
      </c>
      <c r="O2469">
        <f t="shared" si="101"/>
        <v>0.4</v>
      </c>
    </row>
    <row r="2470" spans="1:15" x14ac:dyDescent="0.25">
      <c r="A2470" s="1">
        <v>42445</v>
      </c>
      <c r="B2470" t="e">
        <f>NA()</f>
        <v>#N/A</v>
      </c>
      <c r="C2470" t="e">
        <f>NA()</f>
        <v>#N/A</v>
      </c>
      <c r="D2470" t="e">
        <f>NA()</f>
        <v>#N/A</v>
      </c>
      <c r="E2470" t="e">
        <f>NA()</f>
        <v>#N/A</v>
      </c>
      <c r="F2470" t="e">
        <f>NA()</f>
        <v>#N/A</v>
      </c>
      <c r="G2470" t="e">
        <f>NA()</f>
        <v>#N/A</v>
      </c>
      <c r="H2470" t="e">
        <f>NA()</f>
        <v>#N/A</v>
      </c>
      <c r="I2470" t="e">
        <f>NA()</f>
        <v>#N/A</v>
      </c>
      <c r="J2470" t="e">
        <f>NA()</f>
        <v>#N/A</v>
      </c>
      <c r="K2470" t="e">
        <f>NA()</f>
        <v>#N/A</v>
      </c>
      <c r="L2470" t="e">
        <f>NA()</f>
        <v>#N/A</v>
      </c>
      <c r="M2470" t="e">
        <f>NA()</f>
        <v>#N/A</v>
      </c>
      <c r="N2470" t="e">
        <f>NA()</f>
        <v>#N/A</v>
      </c>
      <c r="O2470">
        <f t="shared" si="101"/>
        <v>0.4</v>
      </c>
    </row>
    <row r="2471" spans="1:15" x14ac:dyDescent="0.25">
      <c r="A2471" s="1">
        <v>42444</v>
      </c>
      <c r="B2471" t="e">
        <f>NA()</f>
        <v>#N/A</v>
      </c>
      <c r="C2471" t="e">
        <f>NA()</f>
        <v>#N/A</v>
      </c>
      <c r="D2471" t="e">
        <f>NA()</f>
        <v>#N/A</v>
      </c>
      <c r="E2471" t="e">
        <f>NA()</f>
        <v>#N/A</v>
      </c>
      <c r="F2471" t="e">
        <f>NA()</f>
        <v>#N/A</v>
      </c>
      <c r="G2471" t="e">
        <f>NA()</f>
        <v>#N/A</v>
      </c>
      <c r="H2471" t="e">
        <f>NA()</f>
        <v>#N/A</v>
      </c>
      <c r="I2471" t="e">
        <f>NA()</f>
        <v>#N/A</v>
      </c>
      <c r="J2471" t="e">
        <f>NA()</f>
        <v>#N/A</v>
      </c>
      <c r="K2471" t="e">
        <f>NA()</f>
        <v>#N/A</v>
      </c>
      <c r="L2471" t="e">
        <f>NA()</f>
        <v>#N/A</v>
      </c>
      <c r="M2471" t="e">
        <f>NA()</f>
        <v>#N/A</v>
      </c>
      <c r="N2471" t="e">
        <f>NA()</f>
        <v>#N/A</v>
      </c>
      <c r="O2471">
        <f t="shared" si="101"/>
        <v>0.4</v>
      </c>
    </row>
    <row r="2472" spans="1:15" x14ac:dyDescent="0.25">
      <c r="A2472" s="1">
        <v>42443</v>
      </c>
      <c r="B2472" t="e">
        <f>NA()</f>
        <v>#N/A</v>
      </c>
      <c r="C2472" t="e">
        <f>NA()</f>
        <v>#N/A</v>
      </c>
      <c r="D2472" t="e">
        <f>NA()</f>
        <v>#N/A</v>
      </c>
      <c r="E2472" t="e">
        <f>NA()</f>
        <v>#N/A</v>
      </c>
      <c r="F2472" t="e">
        <f>NA()</f>
        <v>#N/A</v>
      </c>
      <c r="G2472" t="e">
        <f>NA()</f>
        <v>#N/A</v>
      </c>
      <c r="H2472" t="e">
        <f>NA()</f>
        <v>#N/A</v>
      </c>
      <c r="I2472" t="e">
        <f>NA()</f>
        <v>#N/A</v>
      </c>
      <c r="J2472" t="e">
        <f>NA()</f>
        <v>#N/A</v>
      </c>
      <c r="K2472" t="e">
        <f>NA()</f>
        <v>#N/A</v>
      </c>
      <c r="L2472" t="e">
        <f>NA()</f>
        <v>#N/A</v>
      </c>
      <c r="M2472" t="e">
        <f>NA()</f>
        <v>#N/A</v>
      </c>
      <c r="N2472" t="e">
        <f>NA()</f>
        <v>#N/A</v>
      </c>
      <c r="O2472">
        <f t="shared" si="101"/>
        <v>0.4</v>
      </c>
    </row>
    <row r="2473" spans="1:15" x14ac:dyDescent="0.25">
      <c r="A2473" s="1">
        <v>42440</v>
      </c>
      <c r="B2473">
        <f>0.3</f>
        <v>0.3</v>
      </c>
      <c r="C2473">
        <f>0</f>
        <v>0</v>
      </c>
      <c r="D2473" t="e">
        <f>NA()</f>
        <v>#N/A</v>
      </c>
      <c r="E2473" t="e">
        <f>NA()</f>
        <v>#N/A</v>
      </c>
      <c r="F2473" t="e">
        <f>NA()</f>
        <v>#N/A</v>
      </c>
      <c r="G2473" t="e">
        <f>NA()</f>
        <v>#N/A</v>
      </c>
      <c r="H2473" t="e">
        <f>NA()</f>
        <v>#N/A</v>
      </c>
      <c r="I2473" t="e">
        <f>NA()</f>
        <v>#N/A</v>
      </c>
      <c r="J2473" t="e">
        <f>NA()</f>
        <v>#N/A</v>
      </c>
      <c r="K2473" t="e">
        <f>NA()</f>
        <v>#N/A</v>
      </c>
      <c r="L2473" t="e">
        <f>NA()</f>
        <v>#N/A</v>
      </c>
      <c r="M2473" t="e">
        <f>NA()</f>
        <v>#N/A</v>
      </c>
      <c r="N2473" t="e">
        <f>NA()</f>
        <v>#N/A</v>
      </c>
      <c r="O2473">
        <f t="shared" si="101"/>
        <v>0.4</v>
      </c>
    </row>
    <row r="2474" spans="1:15" x14ac:dyDescent="0.25">
      <c r="A2474" s="1">
        <v>42439</v>
      </c>
      <c r="B2474" t="e">
        <f>NA()</f>
        <v>#N/A</v>
      </c>
      <c r="C2474" t="e">
        <f>NA()</f>
        <v>#N/A</v>
      </c>
      <c r="D2474" t="e">
        <f>NA()</f>
        <v>#N/A</v>
      </c>
      <c r="E2474" t="e">
        <f>NA()</f>
        <v>#N/A</v>
      </c>
      <c r="F2474" t="e">
        <f>NA()</f>
        <v>#N/A</v>
      </c>
      <c r="G2474" t="e">
        <f>NA()</f>
        <v>#N/A</v>
      </c>
      <c r="H2474" t="e">
        <f>NA()</f>
        <v>#N/A</v>
      </c>
      <c r="I2474" t="e">
        <f>NA()</f>
        <v>#N/A</v>
      </c>
      <c r="J2474" t="e">
        <f>NA()</f>
        <v>#N/A</v>
      </c>
      <c r="K2474" t="e">
        <f>NA()</f>
        <v>#N/A</v>
      </c>
      <c r="L2474" t="e">
        <f>NA()</f>
        <v>#N/A</v>
      </c>
      <c r="M2474" t="e">
        <f>NA()</f>
        <v>#N/A</v>
      </c>
      <c r="N2474" t="e">
        <f>NA()</f>
        <v>#N/A</v>
      </c>
      <c r="O2474">
        <f t="shared" si="101"/>
        <v>0.4</v>
      </c>
    </row>
    <row r="2475" spans="1:15" x14ac:dyDescent="0.25">
      <c r="A2475" s="1">
        <v>42438</v>
      </c>
      <c r="B2475" t="e">
        <f>NA()</f>
        <v>#N/A</v>
      </c>
      <c r="C2475" t="e">
        <f>NA()</f>
        <v>#N/A</v>
      </c>
      <c r="D2475" t="e">
        <f>NA()</f>
        <v>#N/A</v>
      </c>
      <c r="E2475" t="e">
        <f>NA()</f>
        <v>#N/A</v>
      </c>
      <c r="F2475" t="e">
        <f>NA()</f>
        <v>#N/A</v>
      </c>
      <c r="G2475" t="e">
        <f>NA()</f>
        <v>#N/A</v>
      </c>
      <c r="H2475" t="e">
        <f>NA()</f>
        <v>#N/A</v>
      </c>
      <c r="I2475" t="e">
        <f>NA()</f>
        <v>#N/A</v>
      </c>
      <c r="J2475" t="e">
        <f>NA()</f>
        <v>#N/A</v>
      </c>
      <c r="K2475" t="e">
        <f>NA()</f>
        <v>#N/A</v>
      </c>
      <c r="L2475" t="e">
        <f>NA()</f>
        <v>#N/A</v>
      </c>
      <c r="M2475" t="e">
        <f>NA()</f>
        <v>#N/A</v>
      </c>
      <c r="N2475" t="e">
        <f>NA()</f>
        <v>#N/A</v>
      </c>
      <c r="O2475">
        <f t="shared" si="101"/>
        <v>0.4</v>
      </c>
    </row>
    <row r="2476" spans="1:15" x14ac:dyDescent="0.25">
      <c r="A2476" s="1">
        <v>42437</v>
      </c>
      <c r="B2476" t="e">
        <f>NA()</f>
        <v>#N/A</v>
      </c>
      <c r="C2476" t="e">
        <f>NA()</f>
        <v>#N/A</v>
      </c>
      <c r="D2476" t="e">
        <f>NA()</f>
        <v>#N/A</v>
      </c>
      <c r="E2476" t="e">
        <f>NA()</f>
        <v>#N/A</v>
      </c>
      <c r="F2476" t="e">
        <f>NA()</f>
        <v>#N/A</v>
      </c>
      <c r="G2476" t="e">
        <f>NA()</f>
        <v>#N/A</v>
      </c>
      <c r="H2476" t="e">
        <f>NA()</f>
        <v>#N/A</v>
      </c>
      <c r="I2476" t="e">
        <f>NA()</f>
        <v>#N/A</v>
      </c>
      <c r="J2476" t="e">
        <f>NA()</f>
        <v>#N/A</v>
      </c>
      <c r="K2476" t="e">
        <f>NA()</f>
        <v>#N/A</v>
      </c>
      <c r="L2476" t="e">
        <f>NA()</f>
        <v>#N/A</v>
      </c>
      <c r="M2476" t="e">
        <f>NA()</f>
        <v>#N/A</v>
      </c>
      <c r="N2476" t="e">
        <f>NA()</f>
        <v>#N/A</v>
      </c>
      <c r="O2476">
        <f t="shared" si="101"/>
        <v>0.4</v>
      </c>
    </row>
    <row r="2477" spans="1:15" x14ac:dyDescent="0.25">
      <c r="A2477" s="1">
        <v>42436</v>
      </c>
      <c r="B2477" t="e">
        <f>NA()</f>
        <v>#N/A</v>
      </c>
      <c r="C2477" t="e">
        <f>NA()</f>
        <v>#N/A</v>
      </c>
      <c r="D2477" t="e">
        <f>NA()</f>
        <v>#N/A</v>
      </c>
      <c r="E2477" t="e">
        <f>NA()</f>
        <v>#N/A</v>
      </c>
      <c r="F2477" t="e">
        <f>NA()</f>
        <v>#N/A</v>
      </c>
      <c r="G2477" t="e">
        <f>NA()</f>
        <v>#N/A</v>
      </c>
      <c r="H2477" t="e">
        <f>NA()</f>
        <v>#N/A</v>
      </c>
      <c r="I2477" t="e">
        <f>NA()</f>
        <v>#N/A</v>
      </c>
      <c r="J2477" t="e">
        <f>NA()</f>
        <v>#N/A</v>
      </c>
      <c r="K2477" t="e">
        <f>NA()</f>
        <v>#N/A</v>
      </c>
      <c r="L2477" t="e">
        <f>NA()</f>
        <v>#N/A</v>
      </c>
      <c r="M2477" t="e">
        <f>NA()</f>
        <v>#N/A</v>
      </c>
      <c r="N2477" t="e">
        <f>NA()</f>
        <v>#N/A</v>
      </c>
      <c r="O2477">
        <f t="shared" si="101"/>
        <v>0.4</v>
      </c>
    </row>
    <row r="2478" spans="1:15" x14ac:dyDescent="0.25">
      <c r="A2478" s="1">
        <v>42433</v>
      </c>
      <c r="B2478">
        <f>0.2</f>
        <v>0.2</v>
      </c>
      <c r="C2478">
        <f>0</f>
        <v>0</v>
      </c>
      <c r="D2478" t="e">
        <f>NA()</f>
        <v>#N/A</v>
      </c>
      <c r="E2478" t="e">
        <f>NA()</f>
        <v>#N/A</v>
      </c>
      <c r="F2478" t="e">
        <f>NA()</f>
        <v>#N/A</v>
      </c>
      <c r="G2478" t="e">
        <f>NA()</f>
        <v>#N/A</v>
      </c>
      <c r="H2478" t="e">
        <f>NA()</f>
        <v>#N/A</v>
      </c>
      <c r="I2478" t="e">
        <f>NA()</f>
        <v>#N/A</v>
      </c>
      <c r="J2478" t="e">
        <f>NA()</f>
        <v>#N/A</v>
      </c>
      <c r="K2478" t="e">
        <f>NA()</f>
        <v>#N/A</v>
      </c>
      <c r="L2478" t="e">
        <f>NA()</f>
        <v>#N/A</v>
      </c>
      <c r="M2478" t="e">
        <f>NA()</f>
        <v>#N/A</v>
      </c>
      <c r="N2478" t="e">
        <f>NA()</f>
        <v>#N/A</v>
      </c>
      <c r="O2478">
        <f t="shared" si="101"/>
        <v>0.4</v>
      </c>
    </row>
    <row r="2479" spans="1:15" x14ac:dyDescent="0.25">
      <c r="A2479" s="1">
        <v>42432</v>
      </c>
      <c r="B2479" t="e">
        <f>NA()</f>
        <v>#N/A</v>
      </c>
      <c r="C2479" t="e">
        <f>NA()</f>
        <v>#N/A</v>
      </c>
      <c r="D2479" t="e">
        <f>NA()</f>
        <v>#N/A</v>
      </c>
      <c r="E2479" t="e">
        <f>NA()</f>
        <v>#N/A</v>
      </c>
      <c r="F2479" t="e">
        <f>NA()</f>
        <v>#N/A</v>
      </c>
      <c r="G2479" t="e">
        <f>NA()</f>
        <v>#N/A</v>
      </c>
      <c r="H2479" t="e">
        <f>NA()</f>
        <v>#N/A</v>
      </c>
      <c r="I2479" t="e">
        <f>NA()</f>
        <v>#N/A</v>
      </c>
      <c r="J2479" t="e">
        <f>NA()</f>
        <v>#N/A</v>
      </c>
      <c r="K2479" t="e">
        <f>NA()</f>
        <v>#N/A</v>
      </c>
      <c r="L2479" t="e">
        <f>NA()</f>
        <v>#N/A</v>
      </c>
      <c r="M2479" t="e">
        <f>NA()</f>
        <v>#N/A</v>
      </c>
      <c r="N2479" t="e">
        <f>NA()</f>
        <v>#N/A</v>
      </c>
      <c r="O2479">
        <f t="shared" si="101"/>
        <v>0.4</v>
      </c>
    </row>
    <row r="2480" spans="1:15" x14ac:dyDescent="0.25">
      <c r="A2480" s="1">
        <v>42431</v>
      </c>
      <c r="B2480" t="e">
        <f>NA()</f>
        <v>#N/A</v>
      </c>
      <c r="C2480" t="e">
        <f>NA()</f>
        <v>#N/A</v>
      </c>
      <c r="D2480" t="e">
        <f>NA()</f>
        <v>#N/A</v>
      </c>
      <c r="E2480" t="e">
        <f>NA()</f>
        <v>#N/A</v>
      </c>
      <c r="F2480" t="e">
        <f>NA()</f>
        <v>#N/A</v>
      </c>
      <c r="G2480" t="e">
        <f>NA()</f>
        <v>#N/A</v>
      </c>
      <c r="H2480" t="e">
        <f>NA()</f>
        <v>#N/A</v>
      </c>
      <c r="I2480" t="e">
        <f>NA()</f>
        <v>#N/A</v>
      </c>
      <c r="J2480" t="e">
        <f>NA()</f>
        <v>#N/A</v>
      </c>
      <c r="K2480" t="e">
        <f>NA()</f>
        <v>#N/A</v>
      </c>
      <c r="L2480" t="e">
        <f>NA()</f>
        <v>#N/A</v>
      </c>
      <c r="M2480" t="e">
        <f>NA()</f>
        <v>#N/A</v>
      </c>
      <c r="N2480" t="e">
        <f>NA()</f>
        <v>#N/A</v>
      </c>
      <c r="O2480">
        <f t="shared" si="101"/>
        <v>0.4</v>
      </c>
    </row>
    <row r="2481" spans="1:15" x14ac:dyDescent="0.25">
      <c r="A2481" s="1">
        <v>42430</v>
      </c>
      <c r="B2481" t="e">
        <f>NA()</f>
        <v>#N/A</v>
      </c>
      <c r="C2481" t="e">
        <f>NA()</f>
        <v>#N/A</v>
      </c>
      <c r="D2481" t="e">
        <f>NA()</f>
        <v>#N/A</v>
      </c>
      <c r="E2481" t="e">
        <f>NA()</f>
        <v>#N/A</v>
      </c>
      <c r="F2481" t="e">
        <f>NA()</f>
        <v>#N/A</v>
      </c>
      <c r="G2481" t="e">
        <f>NA()</f>
        <v>#N/A</v>
      </c>
      <c r="H2481" t="e">
        <f>NA()</f>
        <v>#N/A</v>
      </c>
      <c r="I2481" t="e">
        <f>NA()</f>
        <v>#N/A</v>
      </c>
      <c r="J2481" t="e">
        <f>NA()</f>
        <v>#N/A</v>
      </c>
      <c r="K2481" t="e">
        <f>NA()</f>
        <v>#N/A</v>
      </c>
      <c r="L2481" t="e">
        <f>NA()</f>
        <v>#N/A</v>
      </c>
      <c r="M2481" t="e">
        <f>NA()</f>
        <v>#N/A</v>
      </c>
      <c r="N2481" t="e">
        <f>NA()</f>
        <v>#N/A</v>
      </c>
      <c r="O2481">
        <f t="shared" si="101"/>
        <v>0.4</v>
      </c>
    </row>
    <row r="2482" spans="1:15" x14ac:dyDescent="0.25">
      <c r="A2482" s="1">
        <v>42429</v>
      </c>
      <c r="B2482" t="e">
        <f>NA()</f>
        <v>#N/A</v>
      </c>
      <c r="C2482" t="e">
        <f>NA()</f>
        <v>#N/A</v>
      </c>
      <c r="D2482">
        <f>0</f>
        <v>0</v>
      </c>
      <c r="E2482">
        <f>1.4</f>
        <v>1.4</v>
      </c>
      <c r="F2482">
        <f>5770</f>
        <v>5770</v>
      </c>
      <c r="G2482">
        <f>62.8</f>
        <v>62.8</v>
      </c>
      <c r="H2482">
        <f>3.6</f>
        <v>3.6</v>
      </c>
      <c r="I2482">
        <f>237.1</f>
        <v>237.1</v>
      </c>
      <c r="J2482">
        <f>1</f>
        <v>1</v>
      </c>
      <c r="K2482">
        <f>49.2</f>
        <v>49.2</v>
      </c>
      <c r="L2482">
        <f>-0.5</f>
        <v>-0.5</v>
      </c>
      <c r="M2482" t="e">
        <f>NA()</f>
        <v>#N/A</v>
      </c>
      <c r="N2482">
        <f>4.9</f>
        <v>4.9000000000000004</v>
      </c>
      <c r="O2482">
        <f>0.3</f>
        <v>0.3</v>
      </c>
    </row>
    <row r="2483" spans="1:15" x14ac:dyDescent="0.25">
      <c r="A2483" s="1">
        <v>42426</v>
      </c>
      <c r="B2483">
        <f>0.5</f>
        <v>0.5</v>
      </c>
      <c r="C2483">
        <f>0</f>
        <v>0</v>
      </c>
      <c r="D2483" t="e">
        <f>NA()</f>
        <v>#N/A</v>
      </c>
      <c r="E2483" t="e">
        <f>NA()</f>
        <v>#N/A</v>
      </c>
      <c r="F2483" t="e">
        <f>NA()</f>
        <v>#N/A</v>
      </c>
      <c r="G2483" t="e">
        <f>NA()</f>
        <v>#N/A</v>
      </c>
      <c r="H2483" t="e">
        <f>NA()</f>
        <v>#N/A</v>
      </c>
      <c r="I2483" t="e">
        <f>NA()</f>
        <v>#N/A</v>
      </c>
      <c r="J2483" t="e">
        <f>NA()</f>
        <v>#N/A</v>
      </c>
      <c r="K2483" t="e">
        <f>NA()</f>
        <v>#N/A</v>
      </c>
      <c r="L2483" t="e">
        <f>NA()</f>
        <v>#N/A</v>
      </c>
      <c r="M2483" t="e">
        <f>NA()</f>
        <v>#N/A</v>
      </c>
      <c r="N2483" t="e">
        <f>NA()</f>
        <v>#N/A</v>
      </c>
      <c r="O2483">
        <f t="shared" ref="O2483:O2501" si="102">0.4</f>
        <v>0.4</v>
      </c>
    </row>
    <row r="2484" spans="1:15" x14ac:dyDescent="0.25">
      <c r="A2484" s="1">
        <v>42425</v>
      </c>
      <c r="B2484" t="e">
        <f>NA()</f>
        <v>#N/A</v>
      </c>
      <c r="C2484" t="e">
        <f>NA()</f>
        <v>#N/A</v>
      </c>
      <c r="D2484" t="e">
        <f>NA()</f>
        <v>#N/A</v>
      </c>
      <c r="E2484" t="e">
        <f>NA()</f>
        <v>#N/A</v>
      </c>
      <c r="F2484" t="e">
        <f>NA()</f>
        <v>#N/A</v>
      </c>
      <c r="G2484" t="e">
        <f>NA()</f>
        <v>#N/A</v>
      </c>
      <c r="H2484" t="e">
        <f>NA()</f>
        <v>#N/A</v>
      </c>
      <c r="I2484" t="e">
        <f>NA()</f>
        <v>#N/A</v>
      </c>
      <c r="J2484" t="e">
        <f>NA()</f>
        <v>#N/A</v>
      </c>
      <c r="K2484" t="e">
        <f>NA()</f>
        <v>#N/A</v>
      </c>
      <c r="L2484" t="e">
        <f>NA()</f>
        <v>#N/A</v>
      </c>
      <c r="M2484" t="e">
        <f>NA()</f>
        <v>#N/A</v>
      </c>
      <c r="N2484" t="e">
        <f>NA()</f>
        <v>#N/A</v>
      </c>
      <c r="O2484">
        <f t="shared" si="102"/>
        <v>0.4</v>
      </c>
    </row>
    <row r="2485" spans="1:15" x14ac:dyDescent="0.25">
      <c r="A2485" s="1">
        <v>42424</v>
      </c>
      <c r="B2485" t="e">
        <f>NA()</f>
        <v>#N/A</v>
      </c>
      <c r="C2485" t="e">
        <f>NA()</f>
        <v>#N/A</v>
      </c>
      <c r="D2485" t="e">
        <f>NA()</f>
        <v>#N/A</v>
      </c>
      <c r="E2485" t="e">
        <f>NA()</f>
        <v>#N/A</v>
      </c>
      <c r="F2485" t="e">
        <f>NA()</f>
        <v>#N/A</v>
      </c>
      <c r="G2485" t="e">
        <f>NA()</f>
        <v>#N/A</v>
      </c>
      <c r="H2485" t="e">
        <f>NA()</f>
        <v>#N/A</v>
      </c>
      <c r="I2485" t="e">
        <f>NA()</f>
        <v>#N/A</v>
      </c>
      <c r="J2485" t="e">
        <f>NA()</f>
        <v>#N/A</v>
      </c>
      <c r="K2485" t="e">
        <f>NA()</f>
        <v>#N/A</v>
      </c>
      <c r="L2485" t="e">
        <f>NA()</f>
        <v>#N/A</v>
      </c>
      <c r="M2485" t="e">
        <f>NA()</f>
        <v>#N/A</v>
      </c>
      <c r="N2485" t="e">
        <f>NA()</f>
        <v>#N/A</v>
      </c>
      <c r="O2485">
        <f t="shared" si="102"/>
        <v>0.4</v>
      </c>
    </row>
    <row r="2486" spans="1:15" x14ac:dyDescent="0.25">
      <c r="A2486" s="1">
        <v>42423</v>
      </c>
      <c r="B2486" t="e">
        <f>NA()</f>
        <v>#N/A</v>
      </c>
      <c r="C2486" t="e">
        <f>NA()</f>
        <v>#N/A</v>
      </c>
      <c r="D2486" t="e">
        <f>NA()</f>
        <v>#N/A</v>
      </c>
      <c r="E2486" t="e">
        <f>NA()</f>
        <v>#N/A</v>
      </c>
      <c r="F2486" t="e">
        <f>NA()</f>
        <v>#N/A</v>
      </c>
      <c r="G2486" t="e">
        <f>NA()</f>
        <v>#N/A</v>
      </c>
      <c r="H2486" t="e">
        <f>NA()</f>
        <v>#N/A</v>
      </c>
      <c r="I2486" t="e">
        <f>NA()</f>
        <v>#N/A</v>
      </c>
      <c r="J2486" t="e">
        <f>NA()</f>
        <v>#N/A</v>
      </c>
      <c r="K2486" t="e">
        <f>NA()</f>
        <v>#N/A</v>
      </c>
      <c r="L2486" t="e">
        <f>NA()</f>
        <v>#N/A</v>
      </c>
      <c r="M2486" t="e">
        <f>NA()</f>
        <v>#N/A</v>
      </c>
      <c r="N2486" t="e">
        <f>NA()</f>
        <v>#N/A</v>
      </c>
      <c r="O2486">
        <f t="shared" si="102"/>
        <v>0.4</v>
      </c>
    </row>
    <row r="2487" spans="1:15" x14ac:dyDescent="0.25">
      <c r="A2487" s="1">
        <v>42422</v>
      </c>
      <c r="B2487" t="e">
        <f>NA()</f>
        <v>#N/A</v>
      </c>
      <c r="C2487" t="e">
        <f>NA()</f>
        <v>#N/A</v>
      </c>
      <c r="D2487" t="e">
        <f>NA()</f>
        <v>#N/A</v>
      </c>
      <c r="E2487" t="e">
        <f>NA()</f>
        <v>#N/A</v>
      </c>
      <c r="F2487" t="e">
        <f>NA()</f>
        <v>#N/A</v>
      </c>
      <c r="G2487" t="e">
        <f>NA()</f>
        <v>#N/A</v>
      </c>
      <c r="H2487" t="e">
        <f>NA()</f>
        <v>#N/A</v>
      </c>
      <c r="I2487" t="e">
        <f>NA()</f>
        <v>#N/A</v>
      </c>
      <c r="J2487" t="e">
        <f>NA()</f>
        <v>#N/A</v>
      </c>
      <c r="K2487" t="e">
        <f>NA()</f>
        <v>#N/A</v>
      </c>
      <c r="L2487" t="e">
        <f>NA()</f>
        <v>#N/A</v>
      </c>
      <c r="M2487" t="e">
        <f>NA()</f>
        <v>#N/A</v>
      </c>
      <c r="N2487" t="e">
        <f>NA()</f>
        <v>#N/A</v>
      </c>
      <c r="O2487">
        <f t="shared" si="102"/>
        <v>0.4</v>
      </c>
    </row>
    <row r="2488" spans="1:15" x14ac:dyDescent="0.25">
      <c r="A2488" s="1">
        <v>42419</v>
      </c>
      <c r="B2488">
        <f>0.6</f>
        <v>0.6</v>
      </c>
      <c r="C2488">
        <f>0</f>
        <v>0</v>
      </c>
      <c r="D2488" t="e">
        <f>NA()</f>
        <v>#N/A</v>
      </c>
      <c r="E2488" t="e">
        <f>NA()</f>
        <v>#N/A</v>
      </c>
      <c r="F2488" t="e">
        <f>NA()</f>
        <v>#N/A</v>
      </c>
      <c r="G2488" t="e">
        <f>NA()</f>
        <v>#N/A</v>
      </c>
      <c r="H2488" t="e">
        <f>NA()</f>
        <v>#N/A</v>
      </c>
      <c r="I2488" t="e">
        <f>NA()</f>
        <v>#N/A</v>
      </c>
      <c r="J2488" t="e">
        <f>NA()</f>
        <v>#N/A</v>
      </c>
      <c r="K2488" t="e">
        <f>NA()</f>
        <v>#N/A</v>
      </c>
      <c r="L2488" t="e">
        <f>NA()</f>
        <v>#N/A</v>
      </c>
      <c r="M2488" t="e">
        <f>NA()</f>
        <v>#N/A</v>
      </c>
      <c r="N2488" t="e">
        <f>NA()</f>
        <v>#N/A</v>
      </c>
      <c r="O2488">
        <f t="shared" si="102"/>
        <v>0.4</v>
      </c>
    </row>
    <row r="2489" spans="1:15" x14ac:dyDescent="0.25">
      <c r="A2489" s="1">
        <v>42418</v>
      </c>
      <c r="B2489" t="e">
        <f>NA()</f>
        <v>#N/A</v>
      </c>
      <c r="C2489" t="e">
        <f>NA()</f>
        <v>#N/A</v>
      </c>
      <c r="D2489" t="e">
        <f>NA()</f>
        <v>#N/A</v>
      </c>
      <c r="E2489" t="e">
        <f>NA()</f>
        <v>#N/A</v>
      </c>
      <c r="F2489" t="e">
        <f>NA()</f>
        <v>#N/A</v>
      </c>
      <c r="G2489" t="e">
        <f>NA()</f>
        <v>#N/A</v>
      </c>
      <c r="H2489" t="e">
        <f>NA()</f>
        <v>#N/A</v>
      </c>
      <c r="I2489" t="e">
        <f>NA()</f>
        <v>#N/A</v>
      </c>
      <c r="J2489" t="e">
        <f>NA()</f>
        <v>#N/A</v>
      </c>
      <c r="K2489" t="e">
        <f>NA()</f>
        <v>#N/A</v>
      </c>
      <c r="L2489" t="e">
        <f>NA()</f>
        <v>#N/A</v>
      </c>
      <c r="M2489" t="e">
        <f>NA()</f>
        <v>#N/A</v>
      </c>
      <c r="N2489" t="e">
        <f>NA()</f>
        <v>#N/A</v>
      </c>
      <c r="O2489">
        <f t="shared" si="102"/>
        <v>0.4</v>
      </c>
    </row>
    <row r="2490" spans="1:15" x14ac:dyDescent="0.25">
      <c r="A2490" s="1">
        <v>42417</v>
      </c>
      <c r="B2490" t="e">
        <f>NA()</f>
        <v>#N/A</v>
      </c>
      <c r="C2490" t="e">
        <f>NA()</f>
        <v>#N/A</v>
      </c>
      <c r="D2490" t="e">
        <f>NA()</f>
        <v>#N/A</v>
      </c>
      <c r="E2490" t="e">
        <f>NA()</f>
        <v>#N/A</v>
      </c>
      <c r="F2490" t="e">
        <f>NA()</f>
        <v>#N/A</v>
      </c>
      <c r="G2490" t="e">
        <f>NA()</f>
        <v>#N/A</v>
      </c>
      <c r="H2490" t="e">
        <f>NA()</f>
        <v>#N/A</v>
      </c>
      <c r="I2490" t="e">
        <f>NA()</f>
        <v>#N/A</v>
      </c>
      <c r="J2490" t="e">
        <f>NA()</f>
        <v>#N/A</v>
      </c>
      <c r="K2490" t="e">
        <f>NA()</f>
        <v>#N/A</v>
      </c>
      <c r="L2490" t="e">
        <f>NA()</f>
        <v>#N/A</v>
      </c>
      <c r="M2490" t="e">
        <f>NA()</f>
        <v>#N/A</v>
      </c>
      <c r="N2490" t="e">
        <f>NA()</f>
        <v>#N/A</v>
      </c>
      <c r="O2490">
        <f t="shared" si="102"/>
        <v>0.4</v>
      </c>
    </row>
    <row r="2491" spans="1:15" x14ac:dyDescent="0.25">
      <c r="A2491" s="1">
        <v>42416</v>
      </c>
      <c r="B2491" t="e">
        <f>NA()</f>
        <v>#N/A</v>
      </c>
      <c r="C2491" t="e">
        <f>NA()</f>
        <v>#N/A</v>
      </c>
      <c r="D2491" t="e">
        <f>NA()</f>
        <v>#N/A</v>
      </c>
      <c r="E2491" t="e">
        <f>NA()</f>
        <v>#N/A</v>
      </c>
      <c r="F2491" t="e">
        <f>NA()</f>
        <v>#N/A</v>
      </c>
      <c r="G2491" t="e">
        <f>NA()</f>
        <v>#N/A</v>
      </c>
      <c r="H2491" t="e">
        <f>NA()</f>
        <v>#N/A</v>
      </c>
      <c r="I2491" t="e">
        <f>NA()</f>
        <v>#N/A</v>
      </c>
      <c r="J2491" t="e">
        <f>NA()</f>
        <v>#N/A</v>
      </c>
      <c r="K2491" t="e">
        <f>NA()</f>
        <v>#N/A</v>
      </c>
      <c r="L2491" t="e">
        <f>NA()</f>
        <v>#N/A</v>
      </c>
      <c r="M2491" t="e">
        <f>NA()</f>
        <v>#N/A</v>
      </c>
      <c r="N2491" t="e">
        <f>NA()</f>
        <v>#N/A</v>
      </c>
      <c r="O2491">
        <f t="shared" si="102"/>
        <v>0.4</v>
      </c>
    </row>
    <row r="2492" spans="1:15" x14ac:dyDescent="0.25">
      <c r="A2492" s="1">
        <v>42412</v>
      </c>
      <c r="B2492">
        <f>1.2</f>
        <v>1.2</v>
      </c>
      <c r="C2492">
        <f>0</f>
        <v>0</v>
      </c>
      <c r="D2492" t="e">
        <f>NA()</f>
        <v>#N/A</v>
      </c>
      <c r="E2492" t="e">
        <f>NA()</f>
        <v>#N/A</v>
      </c>
      <c r="F2492" t="e">
        <f>NA()</f>
        <v>#N/A</v>
      </c>
      <c r="G2492" t="e">
        <f>NA()</f>
        <v>#N/A</v>
      </c>
      <c r="H2492" t="e">
        <f>NA()</f>
        <v>#N/A</v>
      </c>
      <c r="I2492" t="e">
        <f>NA()</f>
        <v>#N/A</v>
      </c>
      <c r="J2492" t="e">
        <f>NA()</f>
        <v>#N/A</v>
      </c>
      <c r="K2492" t="e">
        <f>NA()</f>
        <v>#N/A</v>
      </c>
      <c r="L2492" t="e">
        <f>NA()</f>
        <v>#N/A</v>
      </c>
      <c r="M2492" t="e">
        <f>NA()</f>
        <v>#N/A</v>
      </c>
      <c r="N2492" t="e">
        <f>NA()</f>
        <v>#N/A</v>
      </c>
      <c r="O2492">
        <f t="shared" si="102"/>
        <v>0.4</v>
      </c>
    </row>
    <row r="2493" spans="1:15" x14ac:dyDescent="0.25">
      <c r="A2493" s="1">
        <v>42411</v>
      </c>
      <c r="B2493" t="e">
        <f>NA()</f>
        <v>#N/A</v>
      </c>
      <c r="C2493" t="e">
        <f>NA()</f>
        <v>#N/A</v>
      </c>
      <c r="D2493" t="e">
        <f>NA()</f>
        <v>#N/A</v>
      </c>
      <c r="E2493" t="e">
        <f>NA()</f>
        <v>#N/A</v>
      </c>
      <c r="F2493" t="e">
        <f>NA()</f>
        <v>#N/A</v>
      </c>
      <c r="G2493" t="e">
        <f>NA()</f>
        <v>#N/A</v>
      </c>
      <c r="H2493" t="e">
        <f>NA()</f>
        <v>#N/A</v>
      </c>
      <c r="I2493" t="e">
        <f>NA()</f>
        <v>#N/A</v>
      </c>
      <c r="J2493" t="e">
        <f>NA()</f>
        <v>#N/A</v>
      </c>
      <c r="K2493" t="e">
        <f>NA()</f>
        <v>#N/A</v>
      </c>
      <c r="L2493" t="e">
        <f>NA()</f>
        <v>#N/A</v>
      </c>
      <c r="M2493" t="e">
        <f>NA()</f>
        <v>#N/A</v>
      </c>
      <c r="N2493" t="e">
        <f>NA()</f>
        <v>#N/A</v>
      </c>
      <c r="O2493">
        <f t="shared" si="102"/>
        <v>0.4</v>
      </c>
    </row>
    <row r="2494" spans="1:15" x14ac:dyDescent="0.25">
      <c r="A2494" s="1">
        <v>42410</v>
      </c>
      <c r="B2494" t="e">
        <f>NA()</f>
        <v>#N/A</v>
      </c>
      <c r="C2494" t="e">
        <f>NA()</f>
        <v>#N/A</v>
      </c>
      <c r="D2494" t="e">
        <f>NA()</f>
        <v>#N/A</v>
      </c>
      <c r="E2494" t="e">
        <f>NA()</f>
        <v>#N/A</v>
      </c>
      <c r="F2494" t="e">
        <f>NA()</f>
        <v>#N/A</v>
      </c>
      <c r="G2494" t="e">
        <f>NA()</f>
        <v>#N/A</v>
      </c>
      <c r="H2494" t="e">
        <f>NA()</f>
        <v>#N/A</v>
      </c>
      <c r="I2494" t="e">
        <f>NA()</f>
        <v>#N/A</v>
      </c>
      <c r="J2494" t="e">
        <f>NA()</f>
        <v>#N/A</v>
      </c>
      <c r="K2494" t="e">
        <f>NA()</f>
        <v>#N/A</v>
      </c>
      <c r="L2494" t="e">
        <f>NA()</f>
        <v>#N/A</v>
      </c>
      <c r="M2494" t="e">
        <f>NA()</f>
        <v>#N/A</v>
      </c>
      <c r="N2494" t="e">
        <f>NA()</f>
        <v>#N/A</v>
      </c>
      <c r="O2494">
        <f t="shared" si="102"/>
        <v>0.4</v>
      </c>
    </row>
    <row r="2495" spans="1:15" x14ac:dyDescent="0.25">
      <c r="A2495" s="1">
        <v>42409</v>
      </c>
      <c r="B2495" t="e">
        <f>NA()</f>
        <v>#N/A</v>
      </c>
      <c r="C2495" t="e">
        <f>NA()</f>
        <v>#N/A</v>
      </c>
      <c r="D2495" t="e">
        <f>NA()</f>
        <v>#N/A</v>
      </c>
      <c r="E2495" t="e">
        <f>NA()</f>
        <v>#N/A</v>
      </c>
      <c r="F2495" t="e">
        <f>NA()</f>
        <v>#N/A</v>
      </c>
      <c r="G2495" t="e">
        <f>NA()</f>
        <v>#N/A</v>
      </c>
      <c r="H2495" t="e">
        <f>NA()</f>
        <v>#N/A</v>
      </c>
      <c r="I2495" t="e">
        <f>NA()</f>
        <v>#N/A</v>
      </c>
      <c r="J2495" t="e">
        <f>NA()</f>
        <v>#N/A</v>
      </c>
      <c r="K2495" t="e">
        <f>NA()</f>
        <v>#N/A</v>
      </c>
      <c r="L2495" t="e">
        <f>NA()</f>
        <v>#N/A</v>
      </c>
      <c r="M2495" t="e">
        <f>NA()</f>
        <v>#N/A</v>
      </c>
      <c r="N2495" t="e">
        <f>NA()</f>
        <v>#N/A</v>
      </c>
      <c r="O2495">
        <f t="shared" si="102"/>
        <v>0.4</v>
      </c>
    </row>
    <row r="2496" spans="1:15" x14ac:dyDescent="0.25">
      <c r="A2496" s="1">
        <v>42408</v>
      </c>
      <c r="B2496" t="e">
        <f>NA()</f>
        <v>#N/A</v>
      </c>
      <c r="C2496" t="e">
        <f>NA()</f>
        <v>#N/A</v>
      </c>
      <c r="D2496" t="e">
        <f>NA()</f>
        <v>#N/A</v>
      </c>
      <c r="E2496" t="e">
        <f>NA()</f>
        <v>#N/A</v>
      </c>
      <c r="F2496" t="e">
        <f>NA()</f>
        <v>#N/A</v>
      </c>
      <c r="G2496" t="e">
        <f>NA()</f>
        <v>#N/A</v>
      </c>
      <c r="H2496" t="e">
        <f>NA()</f>
        <v>#N/A</v>
      </c>
      <c r="I2496" t="e">
        <f>NA()</f>
        <v>#N/A</v>
      </c>
      <c r="J2496" t="e">
        <f>NA()</f>
        <v>#N/A</v>
      </c>
      <c r="K2496" t="e">
        <f>NA()</f>
        <v>#N/A</v>
      </c>
      <c r="L2496" t="e">
        <f>NA()</f>
        <v>#N/A</v>
      </c>
      <c r="M2496" t="e">
        <f>NA()</f>
        <v>#N/A</v>
      </c>
      <c r="N2496" t="e">
        <f>NA()</f>
        <v>#N/A</v>
      </c>
      <c r="O2496">
        <f t="shared" si="102"/>
        <v>0.4</v>
      </c>
    </row>
    <row r="2497" spans="1:15" x14ac:dyDescent="0.25">
      <c r="A2497" s="1">
        <v>42405</v>
      </c>
      <c r="B2497">
        <f>0.7</f>
        <v>0.7</v>
      </c>
      <c r="C2497">
        <f>0</f>
        <v>0</v>
      </c>
      <c r="D2497" t="e">
        <f>NA()</f>
        <v>#N/A</v>
      </c>
      <c r="E2497" t="e">
        <f>NA()</f>
        <v>#N/A</v>
      </c>
      <c r="F2497" t="e">
        <f>NA()</f>
        <v>#N/A</v>
      </c>
      <c r="G2497" t="e">
        <f>NA()</f>
        <v>#N/A</v>
      </c>
      <c r="H2497" t="e">
        <f>NA()</f>
        <v>#N/A</v>
      </c>
      <c r="I2497" t="e">
        <f>NA()</f>
        <v>#N/A</v>
      </c>
      <c r="J2497" t="e">
        <f>NA()</f>
        <v>#N/A</v>
      </c>
      <c r="K2497" t="e">
        <f>NA()</f>
        <v>#N/A</v>
      </c>
      <c r="L2497" t="e">
        <f>NA()</f>
        <v>#N/A</v>
      </c>
      <c r="M2497" t="e">
        <f>NA()</f>
        <v>#N/A</v>
      </c>
      <c r="N2497" t="e">
        <f>NA()</f>
        <v>#N/A</v>
      </c>
      <c r="O2497">
        <f t="shared" si="102"/>
        <v>0.4</v>
      </c>
    </row>
    <row r="2498" spans="1:15" x14ac:dyDescent="0.25">
      <c r="A2498" s="1">
        <v>42404</v>
      </c>
      <c r="B2498" t="e">
        <f>NA()</f>
        <v>#N/A</v>
      </c>
      <c r="C2498" t="e">
        <f>NA()</f>
        <v>#N/A</v>
      </c>
      <c r="D2498" t="e">
        <f>NA()</f>
        <v>#N/A</v>
      </c>
      <c r="E2498" t="e">
        <f>NA()</f>
        <v>#N/A</v>
      </c>
      <c r="F2498" t="e">
        <f>NA()</f>
        <v>#N/A</v>
      </c>
      <c r="G2498" t="e">
        <f>NA()</f>
        <v>#N/A</v>
      </c>
      <c r="H2498" t="e">
        <f>NA()</f>
        <v>#N/A</v>
      </c>
      <c r="I2498" t="e">
        <f>NA()</f>
        <v>#N/A</v>
      </c>
      <c r="J2498" t="e">
        <f>NA()</f>
        <v>#N/A</v>
      </c>
      <c r="K2498" t="e">
        <f>NA()</f>
        <v>#N/A</v>
      </c>
      <c r="L2498" t="e">
        <f>NA()</f>
        <v>#N/A</v>
      </c>
      <c r="M2498" t="e">
        <f>NA()</f>
        <v>#N/A</v>
      </c>
      <c r="N2498" t="e">
        <f>NA()</f>
        <v>#N/A</v>
      </c>
      <c r="O2498">
        <f t="shared" si="102"/>
        <v>0.4</v>
      </c>
    </row>
    <row r="2499" spans="1:15" x14ac:dyDescent="0.25">
      <c r="A2499" s="1">
        <v>42403</v>
      </c>
      <c r="B2499" t="e">
        <f>NA()</f>
        <v>#N/A</v>
      </c>
      <c r="C2499" t="e">
        <f>NA()</f>
        <v>#N/A</v>
      </c>
      <c r="D2499" t="e">
        <f>NA()</f>
        <v>#N/A</v>
      </c>
      <c r="E2499" t="e">
        <f>NA()</f>
        <v>#N/A</v>
      </c>
      <c r="F2499" t="e">
        <f>NA()</f>
        <v>#N/A</v>
      </c>
      <c r="G2499" t="e">
        <f>NA()</f>
        <v>#N/A</v>
      </c>
      <c r="H2499" t="e">
        <f>NA()</f>
        <v>#N/A</v>
      </c>
      <c r="I2499" t="e">
        <f>NA()</f>
        <v>#N/A</v>
      </c>
      <c r="J2499" t="e">
        <f>NA()</f>
        <v>#N/A</v>
      </c>
      <c r="K2499" t="e">
        <f>NA()</f>
        <v>#N/A</v>
      </c>
      <c r="L2499" t="e">
        <f>NA()</f>
        <v>#N/A</v>
      </c>
      <c r="M2499" t="e">
        <f>NA()</f>
        <v>#N/A</v>
      </c>
      <c r="N2499" t="e">
        <f>NA()</f>
        <v>#N/A</v>
      </c>
      <c r="O2499">
        <f t="shared" si="102"/>
        <v>0.4</v>
      </c>
    </row>
    <row r="2500" spans="1:15" x14ac:dyDescent="0.25">
      <c r="A2500" s="1">
        <v>42402</v>
      </c>
      <c r="B2500" t="e">
        <f>NA()</f>
        <v>#N/A</v>
      </c>
      <c r="C2500" t="e">
        <f>NA()</f>
        <v>#N/A</v>
      </c>
      <c r="D2500" t="e">
        <f>NA()</f>
        <v>#N/A</v>
      </c>
      <c r="E2500" t="e">
        <f>NA()</f>
        <v>#N/A</v>
      </c>
      <c r="F2500" t="e">
        <f>NA()</f>
        <v>#N/A</v>
      </c>
      <c r="G2500" t="e">
        <f>NA()</f>
        <v>#N/A</v>
      </c>
      <c r="H2500" t="e">
        <f>NA()</f>
        <v>#N/A</v>
      </c>
      <c r="I2500" t="e">
        <f>NA()</f>
        <v>#N/A</v>
      </c>
      <c r="J2500" t="e">
        <f>NA()</f>
        <v>#N/A</v>
      </c>
      <c r="K2500" t="e">
        <f>NA()</f>
        <v>#N/A</v>
      </c>
      <c r="L2500" t="e">
        <f>NA()</f>
        <v>#N/A</v>
      </c>
      <c r="M2500" t="e">
        <f>NA()</f>
        <v>#N/A</v>
      </c>
      <c r="N2500" t="e">
        <f>NA()</f>
        <v>#N/A</v>
      </c>
      <c r="O2500">
        <f t="shared" si="102"/>
        <v>0.4</v>
      </c>
    </row>
    <row r="2501" spans="1:15" x14ac:dyDescent="0.25">
      <c r="A2501" s="1">
        <v>42401</v>
      </c>
      <c r="B2501" t="e">
        <f>NA()</f>
        <v>#N/A</v>
      </c>
      <c r="C2501" t="e">
        <f>NA()</f>
        <v>#N/A</v>
      </c>
      <c r="D2501" t="e">
        <f>NA()</f>
        <v>#N/A</v>
      </c>
      <c r="E2501" t="e">
        <f>NA()</f>
        <v>#N/A</v>
      </c>
      <c r="F2501" t="e">
        <f>NA()</f>
        <v>#N/A</v>
      </c>
      <c r="G2501" t="e">
        <f>NA()</f>
        <v>#N/A</v>
      </c>
      <c r="H2501" t="e">
        <f>NA()</f>
        <v>#N/A</v>
      </c>
      <c r="I2501" t="e">
        <f>NA()</f>
        <v>#N/A</v>
      </c>
      <c r="J2501" t="e">
        <f>NA()</f>
        <v>#N/A</v>
      </c>
      <c r="K2501" t="e">
        <f>NA()</f>
        <v>#N/A</v>
      </c>
      <c r="L2501" t="e">
        <f>NA()</f>
        <v>#N/A</v>
      </c>
      <c r="M2501" t="e">
        <f>NA()</f>
        <v>#N/A</v>
      </c>
      <c r="N2501" t="e">
        <f>NA()</f>
        <v>#N/A</v>
      </c>
      <c r="O2501">
        <f t="shared" si="102"/>
        <v>0.4</v>
      </c>
    </row>
    <row r="2502" spans="1:15" x14ac:dyDescent="0.25">
      <c r="A2502" s="1">
        <v>42400</v>
      </c>
      <c r="B2502" t="e">
        <f>NA()</f>
        <v>#N/A</v>
      </c>
      <c r="C2502" t="e">
        <f>NA()</f>
        <v>#N/A</v>
      </c>
      <c r="D2502">
        <f>0.5</f>
        <v>0.5</v>
      </c>
      <c r="E2502">
        <f>1.3</f>
        <v>1.3</v>
      </c>
      <c r="F2502">
        <f>6012</f>
        <v>6012</v>
      </c>
      <c r="G2502">
        <f>62.7</f>
        <v>62.7</v>
      </c>
      <c r="H2502">
        <f>3.4</f>
        <v>3.4</v>
      </c>
      <c r="I2502">
        <f>236.9</f>
        <v>236.9</v>
      </c>
      <c r="J2502">
        <f>1.4</f>
        <v>1.4</v>
      </c>
      <c r="K2502">
        <f>47.6</f>
        <v>47.6</v>
      </c>
      <c r="L2502">
        <f>0.5</f>
        <v>0.5</v>
      </c>
      <c r="M2502" t="e">
        <f>NA()</f>
        <v>#N/A</v>
      </c>
      <c r="N2502">
        <f>4.8</f>
        <v>4.8</v>
      </c>
      <c r="O2502" t="e">
        <f>NA()</f>
        <v>#N/A</v>
      </c>
    </row>
    <row r="2503" spans="1:15" x14ac:dyDescent="0.25">
      <c r="A2503" s="1">
        <v>42398</v>
      </c>
      <c r="B2503">
        <f>0.5</f>
        <v>0.5</v>
      </c>
      <c r="C2503">
        <f>0</f>
        <v>0</v>
      </c>
      <c r="D2503" t="e">
        <f>NA()</f>
        <v>#N/A</v>
      </c>
      <c r="E2503" t="e">
        <f>NA()</f>
        <v>#N/A</v>
      </c>
      <c r="F2503" t="e">
        <f>NA()</f>
        <v>#N/A</v>
      </c>
      <c r="G2503" t="e">
        <f>NA()</f>
        <v>#N/A</v>
      </c>
      <c r="H2503" t="e">
        <f>NA()</f>
        <v>#N/A</v>
      </c>
      <c r="I2503" t="e">
        <f>NA()</f>
        <v>#N/A</v>
      </c>
      <c r="J2503" t="e">
        <f>NA()</f>
        <v>#N/A</v>
      </c>
      <c r="K2503" t="e">
        <f>NA()</f>
        <v>#N/A</v>
      </c>
      <c r="L2503" t="e">
        <f>NA()</f>
        <v>#N/A</v>
      </c>
      <c r="M2503" t="e">
        <f>NA()</f>
        <v>#N/A</v>
      </c>
      <c r="N2503" t="e">
        <f>NA()</f>
        <v>#N/A</v>
      </c>
      <c r="O2503">
        <f>0.3</f>
        <v>0.3</v>
      </c>
    </row>
    <row r="2504" spans="1:15" x14ac:dyDescent="0.25">
      <c r="A2504" s="1">
        <v>42397</v>
      </c>
      <c r="B2504" t="e">
        <f>NA()</f>
        <v>#N/A</v>
      </c>
      <c r="C2504" t="e">
        <f>NA()</f>
        <v>#N/A</v>
      </c>
      <c r="D2504" t="e">
        <f>NA()</f>
        <v>#N/A</v>
      </c>
      <c r="E2504" t="e">
        <f>NA()</f>
        <v>#N/A</v>
      </c>
      <c r="F2504" t="e">
        <f>NA()</f>
        <v>#N/A</v>
      </c>
      <c r="G2504" t="e">
        <f>NA()</f>
        <v>#N/A</v>
      </c>
      <c r="H2504" t="e">
        <f>NA()</f>
        <v>#N/A</v>
      </c>
      <c r="I2504" t="e">
        <f>NA()</f>
        <v>#N/A</v>
      </c>
      <c r="J2504" t="e">
        <f>NA()</f>
        <v>#N/A</v>
      </c>
      <c r="K2504" t="e">
        <f>NA()</f>
        <v>#N/A</v>
      </c>
      <c r="L2504" t="e">
        <f>NA()</f>
        <v>#N/A</v>
      </c>
      <c r="M2504" t="e">
        <f>NA()</f>
        <v>#N/A</v>
      </c>
      <c r="N2504" t="e">
        <f>NA()</f>
        <v>#N/A</v>
      </c>
      <c r="O2504">
        <f t="shared" ref="O2504:O2521" si="103">0.4</f>
        <v>0.4</v>
      </c>
    </row>
    <row r="2505" spans="1:15" x14ac:dyDescent="0.25">
      <c r="A2505" s="1">
        <v>42396</v>
      </c>
      <c r="B2505" t="e">
        <f>NA()</f>
        <v>#N/A</v>
      </c>
      <c r="C2505" t="e">
        <f>NA()</f>
        <v>#N/A</v>
      </c>
      <c r="D2505" t="e">
        <f>NA()</f>
        <v>#N/A</v>
      </c>
      <c r="E2505" t="e">
        <f>NA()</f>
        <v>#N/A</v>
      </c>
      <c r="F2505" t="e">
        <f>NA()</f>
        <v>#N/A</v>
      </c>
      <c r="G2505" t="e">
        <f>NA()</f>
        <v>#N/A</v>
      </c>
      <c r="H2505" t="e">
        <f>NA()</f>
        <v>#N/A</v>
      </c>
      <c r="I2505" t="e">
        <f>NA()</f>
        <v>#N/A</v>
      </c>
      <c r="J2505" t="e">
        <f>NA()</f>
        <v>#N/A</v>
      </c>
      <c r="K2505" t="e">
        <f>NA()</f>
        <v>#N/A</v>
      </c>
      <c r="L2505" t="e">
        <f>NA()</f>
        <v>#N/A</v>
      </c>
      <c r="M2505" t="e">
        <f>NA()</f>
        <v>#N/A</v>
      </c>
      <c r="N2505" t="e">
        <f>NA()</f>
        <v>#N/A</v>
      </c>
      <c r="O2505">
        <f t="shared" si="103"/>
        <v>0.4</v>
      </c>
    </row>
    <row r="2506" spans="1:15" x14ac:dyDescent="0.25">
      <c r="A2506" s="1">
        <v>42395</v>
      </c>
      <c r="B2506" t="e">
        <f>NA()</f>
        <v>#N/A</v>
      </c>
      <c r="C2506" t="e">
        <f>NA()</f>
        <v>#N/A</v>
      </c>
      <c r="D2506" t="e">
        <f>NA()</f>
        <v>#N/A</v>
      </c>
      <c r="E2506" t="e">
        <f>NA()</f>
        <v>#N/A</v>
      </c>
      <c r="F2506" t="e">
        <f>NA()</f>
        <v>#N/A</v>
      </c>
      <c r="G2506" t="e">
        <f>NA()</f>
        <v>#N/A</v>
      </c>
      <c r="H2506" t="e">
        <f>NA()</f>
        <v>#N/A</v>
      </c>
      <c r="I2506" t="e">
        <f>NA()</f>
        <v>#N/A</v>
      </c>
      <c r="J2506" t="e">
        <f>NA()</f>
        <v>#N/A</v>
      </c>
      <c r="K2506" t="e">
        <f>NA()</f>
        <v>#N/A</v>
      </c>
      <c r="L2506" t="e">
        <f>NA()</f>
        <v>#N/A</v>
      </c>
      <c r="M2506" t="e">
        <f>NA()</f>
        <v>#N/A</v>
      </c>
      <c r="N2506" t="e">
        <f>NA()</f>
        <v>#N/A</v>
      </c>
      <c r="O2506">
        <f t="shared" si="103"/>
        <v>0.4</v>
      </c>
    </row>
    <row r="2507" spans="1:15" x14ac:dyDescent="0.25">
      <c r="A2507" s="1">
        <v>42394</v>
      </c>
      <c r="B2507" t="e">
        <f>NA()</f>
        <v>#N/A</v>
      </c>
      <c r="C2507" t="e">
        <f>NA()</f>
        <v>#N/A</v>
      </c>
      <c r="D2507" t="e">
        <f>NA()</f>
        <v>#N/A</v>
      </c>
      <c r="E2507" t="e">
        <f>NA()</f>
        <v>#N/A</v>
      </c>
      <c r="F2507" t="e">
        <f>NA()</f>
        <v>#N/A</v>
      </c>
      <c r="G2507" t="e">
        <f>NA()</f>
        <v>#N/A</v>
      </c>
      <c r="H2507" t="e">
        <f>NA()</f>
        <v>#N/A</v>
      </c>
      <c r="I2507" t="e">
        <f>NA()</f>
        <v>#N/A</v>
      </c>
      <c r="J2507" t="e">
        <f>NA()</f>
        <v>#N/A</v>
      </c>
      <c r="K2507" t="e">
        <f>NA()</f>
        <v>#N/A</v>
      </c>
      <c r="L2507" t="e">
        <f>NA()</f>
        <v>#N/A</v>
      </c>
      <c r="M2507" t="e">
        <f>NA()</f>
        <v>#N/A</v>
      </c>
      <c r="N2507" t="e">
        <f>NA()</f>
        <v>#N/A</v>
      </c>
      <c r="O2507">
        <f t="shared" si="103"/>
        <v>0.4</v>
      </c>
    </row>
    <row r="2508" spans="1:15" x14ac:dyDescent="0.25">
      <c r="A2508" s="1">
        <v>42391</v>
      </c>
      <c r="B2508">
        <f>1</f>
        <v>1</v>
      </c>
      <c r="C2508">
        <f>0</f>
        <v>0</v>
      </c>
      <c r="D2508" t="e">
        <f>NA()</f>
        <v>#N/A</v>
      </c>
      <c r="E2508" t="e">
        <f>NA()</f>
        <v>#N/A</v>
      </c>
      <c r="F2508" t="e">
        <f>NA()</f>
        <v>#N/A</v>
      </c>
      <c r="G2508" t="e">
        <f>NA()</f>
        <v>#N/A</v>
      </c>
      <c r="H2508" t="e">
        <f>NA()</f>
        <v>#N/A</v>
      </c>
      <c r="I2508" t="e">
        <f>NA()</f>
        <v>#N/A</v>
      </c>
      <c r="J2508" t="e">
        <f>NA()</f>
        <v>#N/A</v>
      </c>
      <c r="K2508" t="e">
        <f>NA()</f>
        <v>#N/A</v>
      </c>
      <c r="L2508" t="e">
        <f>NA()</f>
        <v>#N/A</v>
      </c>
      <c r="M2508" t="e">
        <f>NA()</f>
        <v>#N/A</v>
      </c>
      <c r="N2508" t="e">
        <f>NA()</f>
        <v>#N/A</v>
      </c>
      <c r="O2508">
        <f t="shared" si="103"/>
        <v>0.4</v>
      </c>
    </row>
    <row r="2509" spans="1:15" x14ac:dyDescent="0.25">
      <c r="A2509" s="1">
        <v>42390</v>
      </c>
      <c r="B2509" t="e">
        <f>NA()</f>
        <v>#N/A</v>
      </c>
      <c r="C2509" t="e">
        <f>NA()</f>
        <v>#N/A</v>
      </c>
      <c r="D2509" t="e">
        <f>NA()</f>
        <v>#N/A</v>
      </c>
      <c r="E2509" t="e">
        <f>NA()</f>
        <v>#N/A</v>
      </c>
      <c r="F2509" t="e">
        <f>NA()</f>
        <v>#N/A</v>
      </c>
      <c r="G2509" t="e">
        <f>NA()</f>
        <v>#N/A</v>
      </c>
      <c r="H2509" t="e">
        <f>NA()</f>
        <v>#N/A</v>
      </c>
      <c r="I2509" t="e">
        <f>NA()</f>
        <v>#N/A</v>
      </c>
      <c r="J2509" t="e">
        <f>NA()</f>
        <v>#N/A</v>
      </c>
      <c r="K2509" t="e">
        <f>NA()</f>
        <v>#N/A</v>
      </c>
      <c r="L2509" t="e">
        <f>NA()</f>
        <v>#N/A</v>
      </c>
      <c r="M2509" t="e">
        <f>NA()</f>
        <v>#N/A</v>
      </c>
      <c r="N2509" t="e">
        <f>NA()</f>
        <v>#N/A</v>
      </c>
      <c r="O2509">
        <f t="shared" si="103"/>
        <v>0.4</v>
      </c>
    </row>
    <row r="2510" spans="1:15" x14ac:dyDescent="0.25">
      <c r="A2510" s="1">
        <v>42389</v>
      </c>
      <c r="B2510" t="e">
        <f>NA()</f>
        <v>#N/A</v>
      </c>
      <c r="C2510" t="e">
        <f>NA()</f>
        <v>#N/A</v>
      </c>
      <c r="D2510" t="e">
        <f>NA()</f>
        <v>#N/A</v>
      </c>
      <c r="E2510" t="e">
        <f>NA()</f>
        <v>#N/A</v>
      </c>
      <c r="F2510" t="e">
        <f>NA()</f>
        <v>#N/A</v>
      </c>
      <c r="G2510" t="e">
        <f>NA()</f>
        <v>#N/A</v>
      </c>
      <c r="H2510" t="e">
        <f>NA()</f>
        <v>#N/A</v>
      </c>
      <c r="I2510" t="e">
        <f>NA()</f>
        <v>#N/A</v>
      </c>
      <c r="J2510" t="e">
        <f>NA()</f>
        <v>#N/A</v>
      </c>
      <c r="K2510" t="e">
        <f>NA()</f>
        <v>#N/A</v>
      </c>
      <c r="L2510" t="e">
        <f>NA()</f>
        <v>#N/A</v>
      </c>
      <c r="M2510" t="e">
        <f>NA()</f>
        <v>#N/A</v>
      </c>
      <c r="N2510" t="e">
        <f>NA()</f>
        <v>#N/A</v>
      </c>
      <c r="O2510">
        <f t="shared" si="103"/>
        <v>0.4</v>
      </c>
    </row>
    <row r="2511" spans="1:15" x14ac:dyDescent="0.25">
      <c r="A2511" s="1">
        <v>42388</v>
      </c>
      <c r="B2511" t="e">
        <f>NA()</f>
        <v>#N/A</v>
      </c>
      <c r="C2511" t="e">
        <f>NA()</f>
        <v>#N/A</v>
      </c>
      <c r="D2511" t="e">
        <f>NA()</f>
        <v>#N/A</v>
      </c>
      <c r="E2511" t="e">
        <f>NA()</f>
        <v>#N/A</v>
      </c>
      <c r="F2511" t="e">
        <f>NA()</f>
        <v>#N/A</v>
      </c>
      <c r="G2511" t="e">
        <f>NA()</f>
        <v>#N/A</v>
      </c>
      <c r="H2511" t="e">
        <f>NA()</f>
        <v>#N/A</v>
      </c>
      <c r="I2511" t="e">
        <f>NA()</f>
        <v>#N/A</v>
      </c>
      <c r="J2511" t="e">
        <f>NA()</f>
        <v>#N/A</v>
      </c>
      <c r="K2511" t="e">
        <f>NA()</f>
        <v>#N/A</v>
      </c>
      <c r="L2511" t="e">
        <f>NA()</f>
        <v>#N/A</v>
      </c>
      <c r="M2511" t="e">
        <f>NA()</f>
        <v>#N/A</v>
      </c>
      <c r="N2511" t="e">
        <f>NA()</f>
        <v>#N/A</v>
      </c>
      <c r="O2511">
        <f t="shared" si="103"/>
        <v>0.4</v>
      </c>
    </row>
    <row r="2512" spans="1:15" x14ac:dyDescent="0.25">
      <c r="A2512" s="1">
        <v>42384</v>
      </c>
      <c r="B2512">
        <f>0.9</f>
        <v>0.9</v>
      </c>
      <c r="C2512">
        <f>0</f>
        <v>0</v>
      </c>
      <c r="D2512" t="e">
        <f>NA()</f>
        <v>#N/A</v>
      </c>
      <c r="E2512" t="e">
        <f>NA()</f>
        <v>#N/A</v>
      </c>
      <c r="F2512" t="e">
        <f>NA()</f>
        <v>#N/A</v>
      </c>
      <c r="G2512" t="e">
        <f>NA()</f>
        <v>#N/A</v>
      </c>
      <c r="H2512" t="e">
        <f>NA()</f>
        <v>#N/A</v>
      </c>
      <c r="I2512" t="e">
        <f>NA()</f>
        <v>#N/A</v>
      </c>
      <c r="J2512" t="e">
        <f>NA()</f>
        <v>#N/A</v>
      </c>
      <c r="K2512" t="e">
        <f>NA()</f>
        <v>#N/A</v>
      </c>
      <c r="L2512" t="e">
        <f>NA()</f>
        <v>#N/A</v>
      </c>
      <c r="M2512" t="e">
        <f>NA()</f>
        <v>#N/A</v>
      </c>
      <c r="N2512" t="e">
        <f>NA()</f>
        <v>#N/A</v>
      </c>
      <c r="O2512">
        <f t="shared" si="103"/>
        <v>0.4</v>
      </c>
    </row>
    <row r="2513" spans="1:15" x14ac:dyDescent="0.25">
      <c r="A2513" s="1">
        <v>42383</v>
      </c>
      <c r="B2513" t="e">
        <f>NA()</f>
        <v>#N/A</v>
      </c>
      <c r="C2513" t="e">
        <f>NA()</f>
        <v>#N/A</v>
      </c>
      <c r="D2513" t="e">
        <f>NA()</f>
        <v>#N/A</v>
      </c>
      <c r="E2513" t="e">
        <f>NA()</f>
        <v>#N/A</v>
      </c>
      <c r="F2513" t="e">
        <f>NA()</f>
        <v>#N/A</v>
      </c>
      <c r="G2513" t="e">
        <f>NA()</f>
        <v>#N/A</v>
      </c>
      <c r="H2513" t="e">
        <f>NA()</f>
        <v>#N/A</v>
      </c>
      <c r="I2513" t="e">
        <f>NA()</f>
        <v>#N/A</v>
      </c>
      <c r="J2513" t="e">
        <f>NA()</f>
        <v>#N/A</v>
      </c>
      <c r="K2513" t="e">
        <f>NA()</f>
        <v>#N/A</v>
      </c>
      <c r="L2513" t="e">
        <f>NA()</f>
        <v>#N/A</v>
      </c>
      <c r="M2513" t="e">
        <f>NA()</f>
        <v>#N/A</v>
      </c>
      <c r="N2513" t="e">
        <f>NA()</f>
        <v>#N/A</v>
      </c>
      <c r="O2513">
        <f t="shared" si="103"/>
        <v>0.4</v>
      </c>
    </row>
    <row r="2514" spans="1:15" x14ac:dyDescent="0.25">
      <c r="A2514" s="1">
        <v>42382</v>
      </c>
      <c r="B2514" t="e">
        <f>NA()</f>
        <v>#N/A</v>
      </c>
      <c r="C2514" t="e">
        <f>NA()</f>
        <v>#N/A</v>
      </c>
      <c r="D2514" t="e">
        <f>NA()</f>
        <v>#N/A</v>
      </c>
      <c r="E2514" t="e">
        <f>NA()</f>
        <v>#N/A</v>
      </c>
      <c r="F2514" t="e">
        <f>NA()</f>
        <v>#N/A</v>
      </c>
      <c r="G2514" t="e">
        <f>NA()</f>
        <v>#N/A</v>
      </c>
      <c r="H2514" t="e">
        <f>NA()</f>
        <v>#N/A</v>
      </c>
      <c r="I2514" t="e">
        <f>NA()</f>
        <v>#N/A</v>
      </c>
      <c r="J2514" t="e">
        <f>NA()</f>
        <v>#N/A</v>
      </c>
      <c r="K2514" t="e">
        <f>NA()</f>
        <v>#N/A</v>
      </c>
      <c r="L2514" t="e">
        <f>NA()</f>
        <v>#N/A</v>
      </c>
      <c r="M2514" t="e">
        <f>NA()</f>
        <v>#N/A</v>
      </c>
      <c r="N2514" t="e">
        <f>NA()</f>
        <v>#N/A</v>
      </c>
      <c r="O2514">
        <f t="shared" si="103"/>
        <v>0.4</v>
      </c>
    </row>
    <row r="2515" spans="1:15" x14ac:dyDescent="0.25">
      <c r="A2515" s="1">
        <v>42381</v>
      </c>
      <c r="B2515" t="e">
        <f>NA()</f>
        <v>#N/A</v>
      </c>
      <c r="C2515" t="e">
        <f>NA()</f>
        <v>#N/A</v>
      </c>
      <c r="D2515" t="e">
        <f>NA()</f>
        <v>#N/A</v>
      </c>
      <c r="E2515" t="e">
        <f>NA()</f>
        <v>#N/A</v>
      </c>
      <c r="F2515" t="e">
        <f>NA()</f>
        <v>#N/A</v>
      </c>
      <c r="G2515" t="e">
        <f>NA()</f>
        <v>#N/A</v>
      </c>
      <c r="H2515" t="e">
        <f>NA()</f>
        <v>#N/A</v>
      </c>
      <c r="I2515" t="e">
        <f>NA()</f>
        <v>#N/A</v>
      </c>
      <c r="J2515" t="e">
        <f>NA()</f>
        <v>#N/A</v>
      </c>
      <c r="K2515" t="e">
        <f>NA()</f>
        <v>#N/A</v>
      </c>
      <c r="L2515" t="e">
        <f>NA()</f>
        <v>#N/A</v>
      </c>
      <c r="M2515" t="e">
        <f>NA()</f>
        <v>#N/A</v>
      </c>
      <c r="N2515" t="e">
        <f>NA()</f>
        <v>#N/A</v>
      </c>
      <c r="O2515">
        <f t="shared" si="103"/>
        <v>0.4</v>
      </c>
    </row>
    <row r="2516" spans="1:15" x14ac:dyDescent="0.25">
      <c r="A2516" s="1">
        <v>42380</v>
      </c>
      <c r="B2516" t="e">
        <f>NA()</f>
        <v>#N/A</v>
      </c>
      <c r="C2516" t="e">
        <f>NA()</f>
        <v>#N/A</v>
      </c>
      <c r="D2516" t="e">
        <f>NA()</f>
        <v>#N/A</v>
      </c>
      <c r="E2516" t="e">
        <f>NA()</f>
        <v>#N/A</v>
      </c>
      <c r="F2516" t="e">
        <f>NA()</f>
        <v>#N/A</v>
      </c>
      <c r="G2516" t="e">
        <f>NA()</f>
        <v>#N/A</v>
      </c>
      <c r="H2516" t="e">
        <f>NA()</f>
        <v>#N/A</v>
      </c>
      <c r="I2516" t="e">
        <f>NA()</f>
        <v>#N/A</v>
      </c>
      <c r="J2516" t="e">
        <f>NA()</f>
        <v>#N/A</v>
      </c>
      <c r="K2516" t="e">
        <f>NA()</f>
        <v>#N/A</v>
      </c>
      <c r="L2516" t="e">
        <f>NA()</f>
        <v>#N/A</v>
      </c>
      <c r="M2516" t="e">
        <f>NA()</f>
        <v>#N/A</v>
      </c>
      <c r="N2516" t="e">
        <f>NA()</f>
        <v>#N/A</v>
      </c>
      <c r="O2516">
        <f t="shared" si="103"/>
        <v>0.4</v>
      </c>
    </row>
    <row r="2517" spans="1:15" x14ac:dyDescent="0.25">
      <c r="A2517" s="1">
        <v>42377</v>
      </c>
      <c r="B2517">
        <f>0.7</f>
        <v>0.7</v>
      </c>
      <c r="C2517">
        <f>0</f>
        <v>0</v>
      </c>
      <c r="D2517" t="e">
        <f>NA()</f>
        <v>#N/A</v>
      </c>
      <c r="E2517" t="e">
        <f>NA()</f>
        <v>#N/A</v>
      </c>
      <c r="F2517" t="e">
        <f>NA()</f>
        <v>#N/A</v>
      </c>
      <c r="G2517" t="e">
        <f>NA()</f>
        <v>#N/A</v>
      </c>
      <c r="H2517" t="e">
        <f>NA()</f>
        <v>#N/A</v>
      </c>
      <c r="I2517" t="e">
        <f>NA()</f>
        <v>#N/A</v>
      </c>
      <c r="J2517" t="e">
        <f>NA()</f>
        <v>#N/A</v>
      </c>
      <c r="K2517" t="e">
        <f>NA()</f>
        <v>#N/A</v>
      </c>
      <c r="L2517" t="e">
        <f>NA()</f>
        <v>#N/A</v>
      </c>
      <c r="M2517" t="e">
        <f>NA()</f>
        <v>#N/A</v>
      </c>
      <c r="N2517" t="e">
        <f>NA()</f>
        <v>#N/A</v>
      </c>
      <c r="O2517">
        <f t="shared" si="103"/>
        <v>0.4</v>
      </c>
    </row>
    <row r="2518" spans="1:15" x14ac:dyDescent="0.25">
      <c r="A2518" s="1">
        <v>42376</v>
      </c>
      <c r="B2518" t="e">
        <f>NA()</f>
        <v>#N/A</v>
      </c>
      <c r="C2518" t="e">
        <f>NA()</f>
        <v>#N/A</v>
      </c>
      <c r="D2518" t="e">
        <f>NA()</f>
        <v>#N/A</v>
      </c>
      <c r="E2518" t="e">
        <f>NA()</f>
        <v>#N/A</v>
      </c>
      <c r="F2518" t="e">
        <f>NA()</f>
        <v>#N/A</v>
      </c>
      <c r="G2518" t="e">
        <f>NA()</f>
        <v>#N/A</v>
      </c>
      <c r="H2518" t="e">
        <f>NA()</f>
        <v>#N/A</v>
      </c>
      <c r="I2518" t="e">
        <f>NA()</f>
        <v>#N/A</v>
      </c>
      <c r="J2518" t="e">
        <f>NA()</f>
        <v>#N/A</v>
      </c>
      <c r="K2518" t="e">
        <f>NA()</f>
        <v>#N/A</v>
      </c>
      <c r="L2518" t="e">
        <f>NA()</f>
        <v>#N/A</v>
      </c>
      <c r="M2518" t="e">
        <f>NA()</f>
        <v>#N/A</v>
      </c>
      <c r="N2518" t="e">
        <f>NA()</f>
        <v>#N/A</v>
      </c>
      <c r="O2518">
        <f t="shared" si="103"/>
        <v>0.4</v>
      </c>
    </row>
    <row r="2519" spans="1:15" x14ac:dyDescent="0.25">
      <c r="A2519" s="1">
        <v>42375</v>
      </c>
      <c r="B2519" t="e">
        <f>NA()</f>
        <v>#N/A</v>
      </c>
      <c r="C2519" t="e">
        <f>NA()</f>
        <v>#N/A</v>
      </c>
      <c r="D2519" t="e">
        <f>NA()</f>
        <v>#N/A</v>
      </c>
      <c r="E2519" t="e">
        <f>NA()</f>
        <v>#N/A</v>
      </c>
      <c r="F2519" t="e">
        <f>NA()</f>
        <v>#N/A</v>
      </c>
      <c r="G2519" t="e">
        <f>NA()</f>
        <v>#N/A</v>
      </c>
      <c r="H2519" t="e">
        <f>NA()</f>
        <v>#N/A</v>
      </c>
      <c r="I2519" t="e">
        <f>NA()</f>
        <v>#N/A</v>
      </c>
      <c r="J2519" t="e">
        <f>NA()</f>
        <v>#N/A</v>
      </c>
      <c r="K2519" t="e">
        <f>NA()</f>
        <v>#N/A</v>
      </c>
      <c r="L2519" t="e">
        <f>NA()</f>
        <v>#N/A</v>
      </c>
      <c r="M2519" t="e">
        <f>NA()</f>
        <v>#N/A</v>
      </c>
      <c r="N2519" t="e">
        <f>NA()</f>
        <v>#N/A</v>
      </c>
      <c r="O2519">
        <f t="shared" si="103"/>
        <v>0.4</v>
      </c>
    </row>
    <row r="2520" spans="1:15" x14ac:dyDescent="0.25">
      <c r="A2520" s="1">
        <v>42374</v>
      </c>
      <c r="B2520" t="e">
        <f>NA()</f>
        <v>#N/A</v>
      </c>
      <c r="C2520" t="e">
        <f>NA()</f>
        <v>#N/A</v>
      </c>
      <c r="D2520" t="e">
        <f>NA()</f>
        <v>#N/A</v>
      </c>
      <c r="E2520" t="e">
        <f>NA()</f>
        <v>#N/A</v>
      </c>
      <c r="F2520" t="e">
        <f>NA()</f>
        <v>#N/A</v>
      </c>
      <c r="G2520" t="e">
        <f>NA()</f>
        <v>#N/A</v>
      </c>
      <c r="H2520" t="e">
        <f>NA()</f>
        <v>#N/A</v>
      </c>
      <c r="I2520" t="e">
        <f>NA()</f>
        <v>#N/A</v>
      </c>
      <c r="J2520" t="e">
        <f>NA()</f>
        <v>#N/A</v>
      </c>
      <c r="K2520" t="e">
        <f>NA()</f>
        <v>#N/A</v>
      </c>
      <c r="L2520" t="e">
        <f>NA()</f>
        <v>#N/A</v>
      </c>
      <c r="M2520" t="e">
        <f>NA()</f>
        <v>#N/A</v>
      </c>
      <c r="N2520" t="e">
        <f>NA()</f>
        <v>#N/A</v>
      </c>
      <c r="O2520">
        <f t="shared" si="103"/>
        <v>0.4</v>
      </c>
    </row>
    <row r="2521" spans="1:15" x14ac:dyDescent="0.25">
      <c r="A2521" s="1">
        <v>42373</v>
      </c>
      <c r="B2521" t="e">
        <f>NA()</f>
        <v>#N/A</v>
      </c>
      <c r="C2521" t="e">
        <f>NA()</f>
        <v>#N/A</v>
      </c>
      <c r="D2521" t="e">
        <f>NA()</f>
        <v>#N/A</v>
      </c>
      <c r="E2521" t="e">
        <f>NA()</f>
        <v>#N/A</v>
      </c>
      <c r="F2521" t="e">
        <f>NA()</f>
        <v>#N/A</v>
      </c>
      <c r="G2521" t="e">
        <f>NA()</f>
        <v>#N/A</v>
      </c>
      <c r="H2521" t="e">
        <f>NA()</f>
        <v>#N/A</v>
      </c>
      <c r="I2521" t="e">
        <f>NA()</f>
        <v>#N/A</v>
      </c>
      <c r="J2521" t="e">
        <f>NA()</f>
        <v>#N/A</v>
      </c>
      <c r="K2521" t="e">
        <f>NA()</f>
        <v>#N/A</v>
      </c>
      <c r="L2521" t="e">
        <f>NA()</f>
        <v>#N/A</v>
      </c>
      <c r="M2521" t="e">
        <f>NA()</f>
        <v>#N/A</v>
      </c>
      <c r="N2521" t="e">
        <f>NA()</f>
        <v>#N/A</v>
      </c>
      <c r="O2521">
        <f t="shared" si="103"/>
        <v>0.4</v>
      </c>
    </row>
    <row r="2522" spans="1:15" x14ac:dyDescent="0.25">
      <c r="A2522" s="1">
        <v>42370</v>
      </c>
      <c r="B2522">
        <f>0.3</f>
        <v>0.3</v>
      </c>
      <c r="C2522">
        <f>0</f>
        <v>0</v>
      </c>
      <c r="D2522" t="e">
        <f>NA()</f>
        <v>#N/A</v>
      </c>
      <c r="E2522" t="e">
        <f>NA()</f>
        <v>#N/A</v>
      </c>
      <c r="F2522" t="e">
        <f>NA()</f>
        <v>#N/A</v>
      </c>
      <c r="G2522" t="e">
        <f>NA()</f>
        <v>#N/A</v>
      </c>
      <c r="H2522" t="e">
        <f>NA()</f>
        <v>#N/A</v>
      </c>
      <c r="I2522" t="e">
        <f>NA()</f>
        <v>#N/A</v>
      </c>
      <c r="J2522" t="e">
        <f>NA()</f>
        <v>#N/A</v>
      </c>
      <c r="K2522" t="e">
        <f>NA()</f>
        <v>#N/A</v>
      </c>
      <c r="L2522" t="e">
        <f>NA()</f>
        <v>#N/A</v>
      </c>
      <c r="M2522" t="e">
        <f>NA()</f>
        <v>#N/A</v>
      </c>
      <c r="N2522" t="e">
        <f>NA()</f>
        <v>#N/A</v>
      </c>
      <c r="O2522" t="e">
        <f>NA()</f>
        <v>#N/A</v>
      </c>
    </row>
    <row r="2523" spans="1:15" x14ac:dyDescent="0.25">
      <c r="A2523" s="1">
        <v>42369</v>
      </c>
      <c r="B2523" t="e">
        <f>NA()</f>
        <v>#N/A</v>
      </c>
      <c r="C2523" t="e">
        <f>NA()</f>
        <v>#N/A</v>
      </c>
      <c r="D2523">
        <f>0</f>
        <v>0</v>
      </c>
      <c r="E2523">
        <f>1.8</f>
        <v>1.8</v>
      </c>
      <c r="F2523">
        <f>5845</f>
        <v>5845</v>
      </c>
      <c r="G2523">
        <f>62.7</f>
        <v>62.7</v>
      </c>
      <c r="H2523">
        <f>2.9</f>
        <v>2.9</v>
      </c>
      <c r="I2523">
        <f>236.5</f>
        <v>236.5</v>
      </c>
      <c r="J2523">
        <f>0.7</f>
        <v>0.7</v>
      </c>
      <c r="K2523">
        <f>48.7</f>
        <v>48.7</v>
      </c>
      <c r="L2523">
        <f>-0.5</f>
        <v>-0.5</v>
      </c>
      <c r="M2523">
        <f>0.7</f>
        <v>0.7</v>
      </c>
      <c r="N2523">
        <f>5</f>
        <v>5</v>
      </c>
      <c r="O2523">
        <f>0.2</f>
        <v>0.2</v>
      </c>
    </row>
    <row r="2524" spans="1:15" x14ac:dyDescent="0.25">
      <c r="A2524" s="1">
        <v>42368</v>
      </c>
      <c r="B2524" t="e">
        <f>NA()</f>
        <v>#N/A</v>
      </c>
      <c r="C2524" t="e">
        <f>NA()</f>
        <v>#N/A</v>
      </c>
      <c r="D2524" t="e">
        <f>NA()</f>
        <v>#N/A</v>
      </c>
      <c r="E2524" t="e">
        <f>NA()</f>
        <v>#N/A</v>
      </c>
      <c r="F2524" t="e">
        <f>NA()</f>
        <v>#N/A</v>
      </c>
      <c r="G2524" t="e">
        <f>NA()</f>
        <v>#N/A</v>
      </c>
      <c r="H2524" t="e">
        <f>NA()</f>
        <v>#N/A</v>
      </c>
      <c r="I2524" t="e">
        <f>NA()</f>
        <v>#N/A</v>
      </c>
      <c r="J2524" t="e">
        <f>NA()</f>
        <v>#N/A</v>
      </c>
      <c r="K2524" t="e">
        <f>NA()</f>
        <v>#N/A</v>
      </c>
      <c r="L2524" t="e">
        <f>NA()</f>
        <v>#N/A</v>
      </c>
      <c r="M2524" t="e">
        <f>NA()</f>
        <v>#N/A</v>
      </c>
      <c r="N2524" t="e">
        <f>NA()</f>
        <v>#N/A</v>
      </c>
      <c r="O2524">
        <f>0.4</f>
        <v>0.4</v>
      </c>
    </row>
    <row r="2525" spans="1:15" x14ac:dyDescent="0.25">
      <c r="A2525" s="1">
        <v>42367</v>
      </c>
      <c r="B2525" t="e">
        <f>NA()</f>
        <v>#N/A</v>
      </c>
      <c r="C2525" t="e">
        <f>NA()</f>
        <v>#N/A</v>
      </c>
      <c r="D2525" t="e">
        <f>NA()</f>
        <v>#N/A</v>
      </c>
      <c r="E2525" t="e">
        <f>NA()</f>
        <v>#N/A</v>
      </c>
      <c r="F2525" t="e">
        <f>NA()</f>
        <v>#N/A</v>
      </c>
      <c r="G2525" t="e">
        <f>NA()</f>
        <v>#N/A</v>
      </c>
      <c r="H2525" t="e">
        <f>NA()</f>
        <v>#N/A</v>
      </c>
      <c r="I2525" t="e">
        <f>NA()</f>
        <v>#N/A</v>
      </c>
      <c r="J2525" t="e">
        <f>NA()</f>
        <v>#N/A</v>
      </c>
      <c r="K2525" t="e">
        <f>NA()</f>
        <v>#N/A</v>
      </c>
      <c r="L2525" t="e">
        <f>NA()</f>
        <v>#N/A</v>
      </c>
      <c r="M2525" t="e">
        <f>NA()</f>
        <v>#N/A</v>
      </c>
      <c r="N2525" t="e">
        <f>NA()</f>
        <v>#N/A</v>
      </c>
      <c r="O2525">
        <f>0.4</f>
        <v>0.4</v>
      </c>
    </row>
    <row r="2526" spans="1:15" x14ac:dyDescent="0.25">
      <c r="A2526" s="1">
        <v>42366</v>
      </c>
      <c r="B2526" t="e">
        <f>NA()</f>
        <v>#N/A</v>
      </c>
      <c r="C2526" t="e">
        <f>NA()</f>
        <v>#N/A</v>
      </c>
      <c r="D2526" t="e">
        <f>NA()</f>
        <v>#N/A</v>
      </c>
      <c r="E2526" t="e">
        <f>NA()</f>
        <v>#N/A</v>
      </c>
      <c r="F2526" t="e">
        <f>NA()</f>
        <v>#N/A</v>
      </c>
      <c r="G2526" t="e">
        <f>NA()</f>
        <v>#N/A</v>
      </c>
      <c r="H2526" t="e">
        <f>NA()</f>
        <v>#N/A</v>
      </c>
      <c r="I2526" t="e">
        <f>NA()</f>
        <v>#N/A</v>
      </c>
      <c r="J2526" t="e">
        <f>NA()</f>
        <v>#N/A</v>
      </c>
      <c r="K2526" t="e">
        <f>NA()</f>
        <v>#N/A</v>
      </c>
      <c r="L2526" t="e">
        <f>NA()</f>
        <v>#N/A</v>
      </c>
      <c r="M2526" t="e">
        <f>NA()</f>
        <v>#N/A</v>
      </c>
      <c r="N2526" t="e">
        <f>NA()</f>
        <v>#N/A</v>
      </c>
      <c r="O2526">
        <f>0.4</f>
        <v>0.4</v>
      </c>
    </row>
    <row r="2527" spans="1:15" x14ac:dyDescent="0.25">
      <c r="A2527" s="1">
        <v>42363</v>
      </c>
      <c r="B2527">
        <f>0.4</f>
        <v>0.4</v>
      </c>
      <c r="C2527">
        <f>0</f>
        <v>0</v>
      </c>
      <c r="D2527" t="e">
        <f>NA()</f>
        <v>#N/A</v>
      </c>
      <c r="E2527" t="e">
        <f>NA()</f>
        <v>#N/A</v>
      </c>
      <c r="F2527" t="e">
        <f>NA()</f>
        <v>#N/A</v>
      </c>
      <c r="G2527" t="e">
        <f>NA()</f>
        <v>#N/A</v>
      </c>
      <c r="H2527" t="e">
        <f>NA()</f>
        <v>#N/A</v>
      </c>
      <c r="I2527" t="e">
        <f>NA()</f>
        <v>#N/A</v>
      </c>
      <c r="J2527" t="e">
        <f>NA()</f>
        <v>#N/A</v>
      </c>
      <c r="K2527" t="e">
        <f>NA()</f>
        <v>#N/A</v>
      </c>
      <c r="L2527" t="e">
        <f>NA()</f>
        <v>#N/A</v>
      </c>
      <c r="M2527" t="e">
        <f>NA()</f>
        <v>#N/A</v>
      </c>
      <c r="N2527" t="e">
        <f>NA()</f>
        <v>#N/A</v>
      </c>
      <c r="O2527" t="e">
        <f>NA()</f>
        <v>#N/A</v>
      </c>
    </row>
    <row r="2528" spans="1:15" x14ac:dyDescent="0.25">
      <c r="A2528" s="1">
        <v>42362</v>
      </c>
      <c r="B2528" t="e">
        <f>NA()</f>
        <v>#N/A</v>
      </c>
      <c r="C2528" t="e">
        <f>NA()</f>
        <v>#N/A</v>
      </c>
      <c r="D2528" t="e">
        <f>NA()</f>
        <v>#N/A</v>
      </c>
      <c r="E2528" t="e">
        <f>NA()</f>
        <v>#N/A</v>
      </c>
      <c r="F2528" t="e">
        <f>NA()</f>
        <v>#N/A</v>
      </c>
      <c r="G2528" t="e">
        <f>NA()</f>
        <v>#N/A</v>
      </c>
      <c r="H2528" t="e">
        <f>NA()</f>
        <v>#N/A</v>
      </c>
      <c r="I2528" t="e">
        <f>NA()</f>
        <v>#N/A</v>
      </c>
      <c r="J2528" t="e">
        <f>NA()</f>
        <v>#N/A</v>
      </c>
      <c r="K2528" t="e">
        <f>NA()</f>
        <v>#N/A</v>
      </c>
      <c r="L2528" t="e">
        <f>NA()</f>
        <v>#N/A</v>
      </c>
      <c r="M2528" t="e">
        <f>NA()</f>
        <v>#N/A</v>
      </c>
      <c r="N2528" t="e">
        <f>NA()</f>
        <v>#N/A</v>
      </c>
      <c r="O2528">
        <f t="shared" ref="O2528:O2533" si="104">0.4</f>
        <v>0.4</v>
      </c>
    </row>
    <row r="2529" spans="1:15" x14ac:dyDescent="0.25">
      <c r="A2529" s="1">
        <v>42361</v>
      </c>
      <c r="B2529" t="e">
        <f>NA()</f>
        <v>#N/A</v>
      </c>
      <c r="C2529" t="e">
        <f>NA()</f>
        <v>#N/A</v>
      </c>
      <c r="D2529" t="e">
        <f>NA()</f>
        <v>#N/A</v>
      </c>
      <c r="E2529" t="e">
        <f>NA()</f>
        <v>#N/A</v>
      </c>
      <c r="F2529" t="e">
        <f>NA()</f>
        <v>#N/A</v>
      </c>
      <c r="G2529" t="e">
        <f>NA()</f>
        <v>#N/A</v>
      </c>
      <c r="H2529" t="e">
        <f>NA()</f>
        <v>#N/A</v>
      </c>
      <c r="I2529" t="e">
        <f>NA()</f>
        <v>#N/A</v>
      </c>
      <c r="J2529" t="e">
        <f>NA()</f>
        <v>#N/A</v>
      </c>
      <c r="K2529" t="e">
        <f>NA()</f>
        <v>#N/A</v>
      </c>
      <c r="L2529" t="e">
        <f>NA()</f>
        <v>#N/A</v>
      </c>
      <c r="M2529" t="e">
        <f>NA()</f>
        <v>#N/A</v>
      </c>
      <c r="N2529" t="e">
        <f>NA()</f>
        <v>#N/A</v>
      </c>
      <c r="O2529">
        <f t="shared" si="104"/>
        <v>0.4</v>
      </c>
    </row>
    <row r="2530" spans="1:15" x14ac:dyDescent="0.25">
      <c r="A2530" s="1">
        <v>42360</v>
      </c>
      <c r="B2530" t="e">
        <f>NA()</f>
        <v>#N/A</v>
      </c>
      <c r="C2530" t="e">
        <f>NA()</f>
        <v>#N/A</v>
      </c>
      <c r="D2530" t="e">
        <f>NA()</f>
        <v>#N/A</v>
      </c>
      <c r="E2530" t="e">
        <f>NA()</f>
        <v>#N/A</v>
      </c>
      <c r="F2530" t="e">
        <f>NA()</f>
        <v>#N/A</v>
      </c>
      <c r="G2530" t="e">
        <f>NA()</f>
        <v>#N/A</v>
      </c>
      <c r="H2530" t="e">
        <f>NA()</f>
        <v>#N/A</v>
      </c>
      <c r="I2530" t="e">
        <f>NA()</f>
        <v>#N/A</v>
      </c>
      <c r="J2530" t="e">
        <f>NA()</f>
        <v>#N/A</v>
      </c>
      <c r="K2530" t="e">
        <f>NA()</f>
        <v>#N/A</v>
      </c>
      <c r="L2530" t="e">
        <f>NA()</f>
        <v>#N/A</v>
      </c>
      <c r="M2530" t="e">
        <f>NA()</f>
        <v>#N/A</v>
      </c>
      <c r="N2530" t="e">
        <f>NA()</f>
        <v>#N/A</v>
      </c>
      <c r="O2530">
        <f t="shared" si="104"/>
        <v>0.4</v>
      </c>
    </row>
    <row r="2531" spans="1:15" x14ac:dyDescent="0.25">
      <c r="A2531" s="1">
        <v>42359</v>
      </c>
      <c r="B2531" t="e">
        <f>NA()</f>
        <v>#N/A</v>
      </c>
      <c r="C2531" t="e">
        <f>NA()</f>
        <v>#N/A</v>
      </c>
      <c r="D2531" t="e">
        <f>NA()</f>
        <v>#N/A</v>
      </c>
      <c r="E2531" t="e">
        <f>NA()</f>
        <v>#N/A</v>
      </c>
      <c r="F2531" t="e">
        <f>NA()</f>
        <v>#N/A</v>
      </c>
      <c r="G2531" t="e">
        <f>NA()</f>
        <v>#N/A</v>
      </c>
      <c r="H2531" t="e">
        <f>NA()</f>
        <v>#N/A</v>
      </c>
      <c r="I2531" t="e">
        <f>NA()</f>
        <v>#N/A</v>
      </c>
      <c r="J2531" t="e">
        <f>NA()</f>
        <v>#N/A</v>
      </c>
      <c r="K2531" t="e">
        <f>NA()</f>
        <v>#N/A</v>
      </c>
      <c r="L2531" t="e">
        <f>NA()</f>
        <v>#N/A</v>
      </c>
      <c r="M2531" t="e">
        <f>NA()</f>
        <v>#N/A</v>
      </c>
      <c r="N2531" t="e">
        <f>NA()</f>
        <v>#N/A</v>
      </c>
      <c r="O2531">
        <f t="shared" si="104"/>
        <v>0.4</v>
      </c>
    </row>
    <row r="2532" spans="1:15" x14ac:dyDescent="0.25">
      <c r="A2532" s="1">
        <v>42356</v>
      </c>
      <c r="B2532">
        <f>0.5</f>
        <v>0.5</v>
      </c>
      <c r="C2532">
        <f>0</f>
        <v>0</v>
      </c>
      <c r="D2532" t="e">
        <f>NA()</f>
        <v>#N/A</v>
      </c>
      <c r="E2532" t="e">
        <f>NA()</f>
        <v>#N/A</v>
      </c>
      <c r="F2532" t="e">
        <f>NA()</f>
        <v>#N/A</v>
      </c>
      <c r="G2532" t="e">
        <f>NA()</f>
        <v>#N/A</v>
      </c>
      <c r="H2532" t="e">
        <f>NA()</f>
        <v>#N/A</v>
      </c>
      <c r="I2532" t="e">
        <f>NA()</f>
        <v>#N/A</v>
      </c>
      <c r="J2532" t="e">
        <f>NA()</f>
        <v>#N/A</v>
      </c>
      <c r="K2532" t="e">
        <f>NA()</f>
        <v>#N/A</v>
      </c>
      <c r="L2532" t="e">
        <f>NA()</f>
        <v>#N/A</v>
      </c>
      <c r="M2532" t="e">
        <f>NA()</f>
        <v>#N/A</v>
      </c>
      <c r="N2532" t="e">
        <f>NA()</f>
        <v>#N/A</v>
      </c>
      <c r="O2532">
        <f t="shared" si="104"/>
        <v>0.4</v>
      </c>
    </row>
    <row r="2533" spans="1:15" x14ac:dyDescent="0.25">
      <c r="A2533" s="1">
        <v>42355</v>
      </c>
      <c r="B2533" t="e">
        <f>NA()</f>
        <v>#N/A</v>
      </c>
      <c r="C2533" t="e">
        <f>NA()</f>
        <v>#N/A</v>
      </c>
      <c r="D2533" t="e">
        <f>NA()</f>
        <v>#N/A</v>
      </c>
      <c r="E2533" t="e">
        <f>NA()</f>
        <v>#N/A</v>
      </c>
      <c r="F2533" t="e">
        <f>NA()</f>
        <v>#N/A</v>
      </c>
      <c r="G2533" t="e">
        <f>NA()</f>
        <v>#N/A</v>
      </c>
      <c r="H2533" t="e">
        <f>NA()</f>
        <v>#N/A</v>
      </c>
      <c r="I2533" t="e">
        <f>NA()</f>
        <v>#N/A</v>
      </c>
      <c r="J2533" t="e">
        <f>NA()</f>
        <v>#N/A</v>
      </c>
      <c r="K2533" t="e">
        <f>NA()</f>
        <v>#N/A</v>
      </c>
      <c r="L2533" t="e">
        <f>NA()</f>
        <v>#N/A</v>
      </c>
      <c r="M2533" t="e">
        <f>NA()</f>
        <v>#N/A</v>
      </c>
      <c r="N2533" t="e">
        <f>NA()</f>
        <v>#N/A</v>
      </c>
      <c r="O2533">
        <f t="shared" si="104"/>
        <v>0.4</v>
      </c>
    </row>
    <row r="2534" spans="1:15" x14ac:dyDescent="0.25">
      <c r="A2534" s="1">
        <v>42354</v>
      </c>
      <c r="B2534" t="e">
        <f>NA()</f>
        <v>#N/A</v>
      </c>
      <c r="C2534" t="e">
        <f>NA()</f>
        <v>#N/A</v>
      </c>
      <c r="D2534" t="e">
        <f>NA()</f>
        <v>#N/A</v>
      </c>
      <c r="E2534" t="e">
        <f>NA()</f>
        <v>#N/A</v>
      </c>
      <c r="F2534" t="e">
        <f>NA()</f>
        <v>#N/A</v>
      </c>
      <c r="G2534" t="e">
        <f>NA()</f>
        <v>#N/A</v>
      </c>
      <c r="H2534" t="e">
        <f>NA()</f>
        <v>#N/A</v>
      </c>
      <c r="I2534" t="e">
        <f>NA()</f>
        <v>#N/A</v>
      </c>
      <c r="J2534" t="e">
        <f>NA()</f>
        <v>#N/A</v>
      </c>
      <c r="K2534" t="e">
        <f>NA()</f>
        <v>#N/A</v>
      </c>
      <c r="L2534" t="e">
        <f>NA()</f>
        <v>#N/A</v>
      </c>
      <c r="M2534" t="e">
        <f>NA()</f>
        <v>#N/A</v>
      </c>
      <c r="N2534" t="e">
        <f>NA()</f>
        <v>#N/A</v>
      </c>
      <c r="O2534">
        <f>0.2</f>
        <v>0.2</v>
      </c>
    </row>
    <row r="2535" spans="1:15" x14ac:dyDescent="0.25">
      <c r="A2535" s="1">
        <v>42353</v>
      </c>
      <c r="B2535" t="e">
        <f>NA()</f>
        <v>#N/A</v>
      </c>
      <c r="C2535" t="e">
        <f>NA()</f>
        <v>#N/A</v>
      </c>
      <c r="D2535" t="e">
        <f>NA()</f>
        <v>#N/A</v>
      </c>
      <c r="E2535" t="e">
        <f>NA()</f>
        <v>#N/A</v>
      </c>
      <c r="F2535" t="e">
        <f>NA()</f>
        <v>#N/A</v>
      </c>
      <c r="G2535" t="e">
        <f>NA()</f>
        <v>#N/A</v>
      </c>
      <c r="H2535" t="e">
        <f>NA()</f>
        <v>#N/A</v>
      </c>
      <c r="I2535" t="e">
        <f>NA()</f>
        <v>#N/A</v>
      </c>
      <c r="J2535" t="e">
        <f>NA()</f>
        <v>#N/A</v>
      </c>
      <c r="K2535" t="e">
        <f>NA()</f>
        <v>#N/A</v>
      </c>
      <c r="L2535" t="e">
        <f>NA()</f>
        <v>#N/A</v>
      </c>
      <c r="M2535" t="e">
        <f>NA()</f>
        <v>#N/A</v>
      </c>
      <c r="N2535" t="e">
        <f>NA()</f>
        <v>#N/A</v>
      </c>
      <c r="O2535">
        <f>0.2</f>
        <v>0.2</v>
      </c>
    </row>
    <row r="2536" spans="1:15" x14ac:dyDescent="0.25">
      <c r="A2536" s="1">
        <v>42352</v>
      </c>
      <c r="B2536" t="e">
        <f>NA()</f>
        <v>#N/A</v>
      </c>
      <c r="C2536" t="e">
        <f>NA()</f>
        <v>#N/A</v>
      </c>
      <c r="D2536" t="e">
        <f>NA()</f>
        <v>#N/A</v>
      </c>
      <c r="E2536" t="e">
        <f>NA()</f>
        <v>#N/A</v>
      </c>
      <c r="F2536" t="e">
        <f>NA()</f>
        <v>#N/A</v>
      </c>
      <c r="G2536" t="e">
        <f>NA()</f>
        <v>#N/A</v>
      </c>
      <c r="H2536" t="e">
        <f>NA()</f>
        <v>#N/A</v>
      </c>
      <c r="I2536" t="e">
        <f>NA()</f>
        <v>#N/A</v>
      </c>
      <c r="J2536" t="e">
        <f>NA()</f>
        <v>#N/A</v>
      </c>
      <c r="K2536" t="e">
        <f>NA()</f>
        <v>#N/A</v>
      </c>
      <c r="L2536" t="e">
        <f>NA()</f>
        <v>#N/A</v>
      </c>
      <c r="M2536" t="e">
        <f>NA()</f>
        <v>#N/A</v>
      </c>
      <c r="N2536" t="e">
        <f>NA()</f>
        <v>#N/A</v>
      </c>
      <c r="O2536">
        <f>0.2</f>
        <v>0.2</v>
      </c>
    </row>
    <row r="2537" spans="1:15" x14ac:dyDescent="0.25">
      <c r="A2537" s="1">
        <v>42349</v>
      </c>
      <c r="B2537">
        <f>0.4</f>
        <v>0.4</v>
      </c>
      <c r="C2537">
        <f>0</f>
        <v>0</v>
      </c>
      <c r="D2537" t="e">
        <f>NA()</f>
        <v>#N/A</v>
      </c>
      <c r="E2537" t="e">
        <f>NA()</f>
        <v>#N/A</v>
      </c>
      <c r="F2537" t="e">
        <f>NA()</f>
        <v>#N/A</v>
      </c>
      <c r="G2537" t="e">
        <f>NA()</f>
        <v>#N/A</v>
      </c>
      <c r="H2537" t="e">
        <f>NA()</f>
        <v>#N/A</v>
      </c>
      <c r="I2537" t="e">
        <f>NA()</f>
        <v>#N/A</v>
      </c>
      <c r="J2537" t="e">
        <f>NA()</f>
        <v>#N/A</v>
      </c>
      <c r="K2537" t="e">
        <f>NA()</f>
        <v>#N/A</v>
      </c>
      <c r="L2537" t="e">
        <f>NA()</f>
        <v>#N/A</v>
      </c>
      <c r="M2537" t="e">
        <f>NA()</f>
        <v>#N/A</v>
      </c>
      <c r="N2537" t="e">
        <f>NA()</f>
        <v>#N/A</v>
      </c>
      <c r="O2537">
        <f t="shared" ref="O2537:O2554" si="105">0.1</f>
        <v>0.1</v>
      </c>
    </row>
    <row r="2538" spans="1:15" x14ac:dyDescent="0.25">
      <c r="A2538" s="1">
        <v>42348</v>
      </c>
      <c r="B2538" t="e">
        <f>NA()</f>
        <v>#N/A</v>
      </c>
      <c r="C2538" t="e">
        <f>NA()</f>
        <v>#N/A</v>
      </c>
      <c r="D2538" t="e">
        <f>NA()</f>
        <v>#N/A</v>
      </c>
      <c r="E2538" t="e">
        <f>NA()</f>
        <v>#N/A</v>
      </c>
      <c r="F2538" t="e">
        <f>NA()</f>
        <v>#N/A</v>
      </c>
      <c r="G2538" t="e">
        <f>NA()</f>
        <v>#N/A</v>
      </c>
      <c r="H2538" t="e">
        <f>NA()</f>
        <v>#N/A</v>
      </c>
      <c r="I2538" t="e">
        <f>NA()</f>
        <v>#N/A</v>
      </c>
      <c r="J2538" t="e">
        <f>NA()</f>
        <v>#N/A</v>
      </c>
      <c r="K2538" t="e">
        <f>NA()</f>
        <v>#N/A</v>
      </c>
      <c r="L2538" t="e">
        <f>NA()</f>
        <v>#N/A</v>
      </c>
      <c r="M2538" t="e">
        <f>NA()</f>
        <v>#N/A</v>
      </c>
      <c r="N2538" t="e">
        <f>NA()</f>
        <v>#N/A</v>
      </c>
      <c r="O2538">
        <f t="shared" si="105"/>
        <v>0.1</v>
      </c>
    </row>
    <row r="2539" spans="1:15" x14ac:dyDescent="0.25">
      <c r="A2539" s="1">
        <v>42347</v>
      </c>
      <c r="B2539" t="e">
        <f>NA()</f>
        <v>#N/A</v>
      </c>
      <c r="C2539" t="e">
        <f>NA()</f>
        <v>#N/A</v>
      </c>
      <c r="D2539" t="e">
        <f>NA()</f>
        <v>#N/A</v>
      </c>
      <c r="E2539" t="e">
        <f>NA()</f>
        <v>#N/A</v>
      </c>
      <c r="F2539" t="e">
        <f>NA()</f>
        <v>#N/A</v>
      </c>
      <c r="G2539" t="e">
        <f>NA()</f>
        <v>#N/A</v>
      </c>
      <c r="H2539" t="e">
        <f>NA()</f>
        <v>#N/A</v>
      </c>
      <c r="I2539" t="e">
        <f>NA()</f>
        <v>#N/A</v>
      </c>
      <c r="J2539" t="e">
        <f>NA()</f>
        <v>#N/A</v>
      </c>
      <c r="K2539" t="e">
        <f>NA()</f>
        <v>#N/A</v>
      </c>
      <c r="L2539" t="e">
        <f>NA()</f>
        <v>#N/A</v>
      </c>
      <c r="M2539" t="e">
        <f>NA()</f>
        <v>#N/A</v>
      </c>
      <c r="N2539" t="e">
        <f>NA()</f>
        <v>#N/A</v>
      </c>
      <c r="O2539">
        <f t="shared" si="105"/>
        <v>0.1</v>
      </c>
    </row>
    <row r="2540" spans="1:15" x14ac:dyDescent="0.25">
      <c r="A2540" s="1">
        <v>42346</v>
      </c>
      <c r="B2540" t="e">
        <f>NA()</f>
        <v>#N/A</v>
      </c>
      <c r="C2540" t="e">
        <f>NA()</f>
        <v>#N/A</v>
      </c>
      <c r="D2540" t="e">
        <f>NA()</f>
        <v>#N/A</v>
      </c>
      <c r="E2540" t="e">
        <f>NA()</f>
        <v>#N/A</v>
      </c>
      <c r="F2540" t="e">
        <f>NA()</f>
        <v>#N/A</v>
      </c>
      <c r="G2540" t="e">
        <f>NA()</f>
        <v>#N/A</v>
      </c>
      <c r="H2540" t="e">
        <f>NA()</f>
        <v>#N/A</v>
      </c>
      <c r="I2540" t="e">
        <f>NA()</f>
        <v>#N/A</v>
      </c>
      <c r="J2540" t="e">
        <f>NA()</f>
        <v>#N/A</v>
      </c>
      <c r="K2540" t="e">
        <f>NA()</f>
        <v>#N/A</v>
      </c>
      <c r="L2540" t="e">
        <f>NA()</f>
        <v>#N/A</v>
      </c>
      <c r="M2540" t="e">
        <f>NA()</f>
        <v>#N/A</v>
      </c>
      <c r="N2540" t="e">
        <f>NA()</f>
        <v>#N/A</v>
      </c>
      <c r="O2540">
        <f t="shared" si="105"/>
        <v>0.1</v>
      </c>
    </row>
    <row r="2541" spans="1:15" x14ac:dyDescent="0.25">
      <c r="A2541" s="1">
        <v>42345</v>
      </c>
      <c r="B2541" t="e">
        <f>NA()</f>
        <v>#N/A</v>
      </c>
      <c r="C2541" t="e">
        <f>NA()</f>
        <v>#N/A</v>
      </c>
      <c r="D2541" t="e">
        <f>NA()</f>
        <v>#N/A</v>
      </c>
      <c r="E2541" t="e">
        <f>NA()</f>
        <v>#N/A</v>
      </c>
      <c r="F2541" t="e">
        <f>NA()</f>
        <v>#N/A</v>
      </c>
      <c r="G2541" t="e">
        <f>NA()</f>
        <v>#N/A</v>
      </c>
      <c r="H2541" t="e">
        <f>NA()</f>
        <v>#N/A</v>
      </c>
      <c r="I2541" t="e">
        <f>NA()</f>
        <v>#N/A</v>
      </c>
      <c r="J2541" t="e">
        <f>NA()</f>
        <v>#N/A</v>
      </c>
      <c r="K2541" t="e">
        <f>NA()</f>
        <v>#N/A</v>
      </c>
      <c r="L2541" t="e">
        <f>NA()</f>
        <v>#N/A</v>
      </c>
      <c r="M2541" t="e">
        <f>NA()</f>
        <v>#N/A</v>
      </c>
      <c r="N2541" t="e">
        <f>NA()</f>
        <v>#N/A</v>
      </c>
      <c r="O2541">
        <f t="shared" si="105"/>
        <v>0.1</v>
      </c>
    </row>
    <row r="2542" spans="1:15" x14ac:dyDescent="0.25">
      <c r="A2542" s="1">
        <v>42342</v>
      </c>
      <c r="B2542">
        <f>0.1</f>
        <v>0.1</v>
      </c>
      <c r="C2542">
        <f>0</f>
        <v>0</v>
      </c>
      <c r="D2542" t="e">
        <f>NA()</f>
        <v>#N/A</v>
      </c>
      <c r="E2542" t="e">
        <f>NA()</f>
        <v>#N/A</v>
      </c>
      <c r="F2542" t="e">
        <f>NA()</f>
        <v>#N/A</v>
      </c>
      <c r="G2542" t="e">
        <f>NA()</f>
        <v>#N/A</v>
      </c>
      <c r="H2542" t="e">
        <f>NA()</f>
        <v>#N/A</v>
      </c>
      <c r="I2542" t="e">
        <f>NA()</f>
        <v>#N/A</v>
      </c>
      <c r="J2542" t="e">
        <f>NA()</f>
        <v>#N/A</v>
      </c>
      <c r="K2542" t="e">
        <f>NA()</f>
        <v>#N/A</v>
      </c>
      <c r="L2542" t="e">
        <f>NA()</f>
        <v>#N/A</v>
      </c>
      <c r="M2542" t="e">
        <f>NA()</f>
        <v>#N/A</v>
      </c>
      <c r="N2542" t="e">
        <f>NA()</f>
        <v>#N/A</v>
      </c>
      <c r="O2542">
        <f t="shared" si="105"/>
        <v>0.1</v>
      </c>
    </row>
    <row r="2543" spans="1:15" x14ac:dyDescent="0.25">
      <c r="A2543" s="1">
        <v>42341</v>
      </c>
      <c r="B2543" t="e">
        <f>NA()</f>
        <v>#N/A</v>
      </c>
      <c r="C2543" t="e">
        <f>NA()</f>
        <v>#N/A</v>
      </c>
      <c r="D2543" t="e">
        <f>NA()</f>
        <v>#N/A</v>
      </c>
      <c r="E2543" t="e">
        <f>NA()</f>
        <v>#N/A</v>
      </c>
      <c r="F2543" t="e">
        <f>NA()</f>
        <v>#N/A</v>
      </c>
      <c r="G2543" t="e">
        <f>NA()</f>
        <v>#N/A</v>
      </c>
      <c r="H2543" t="e">
        <f>NA()</f>
        <v>#N/A</v>
      </c>
      <c r="I2543" t="e">
        <f>NA()</f>
        <v>#N/A</v>
      </c>
      <c r="J2543" t="e">
        <f>NA()</f>
        <v>#N/A</v>
      </c>
      <c r="K2543" t="e">
        <f>NA()</f>
        <v>#N/A</v>
      </c>
      <c r="L2543" t="e">
        <f>NA()</f>
        <v>#N/A</v>
      </c>
      <c r="M2543" t="e">
        <f>NA()</f>
        <v>#N/A</v>
      </c>
      <c r="N2543" t="e">
        <f>NA()</f>
        <v>#N/A</v>
      </c>
      <c r="O2543">
        <f t="shared" si="105"/>
        <v>0.1</v>
      </c>
    </row>
    <row r="2544" spans="1:15" x14ac:dyDescent="0.25">
      <c r="A2544" s="1">
        <v>42340</v>
      </c>
      <c r="B2544" t="e">
        <f>NA()</f>
        <v>#N/A</v>
      </c>
      <c r="C2544" t="e">
        <f>NA()</f>
        <v>#N/A</v>
      </c>
      <c r="D2544" t="e">
        <f>NA()</f>
        <v>#N/A</v>
      </c>
      <c r="E2544" t="e">
        <f>NA()</f>
        <v>#N/A</v>
      </c>
      <c r="F2544" t="e">
        <f>NA()</f>
        <v>#N/A</v>
      </c>
      <c r="G2544" t="e">
        <f>NA()</f>
        <v>#N/A</v>
      </c>
      <c r="H2544" t="e">
        <f>NA()</f>
        <v>#N/A</v>
      </c>
      <c r="I2544" t="e">
        <f>NA()</f>
        <v>#N/A</v>
      </c>
      <c r="J2544" t="e">
        <f>NA()</f>
        <v>#N/A</v>
      </c>
      <c r="K2544" t="e">
        <f>NA()</f>
        <v>#N/A</v>
      </c>
      <c r="L2544" t="e">
        <f>NA()</f>
        <v>#N/A</v>
      </c>
      <c r="M2544" t="e">
        <f>NA()</f>
        <v>#N/A</v>
      </c>
      <c r="N2544" t="e">
        <f>NA()</f>
        <v>#N/A</v>
      </c>
      <c r="O2544">
        <f t="shared" si="105"/>
        <v>0.1</v>
      </c>
    </row>
    <row r="2545" spans="1:15" x14ac:dyDescent="0.25">
      <c r="A2545" s="1">
        <v>42339</v>
      </c>
      <c r="B2545" t="e">
        <f>NA()</f>
        <v>#N/A</v>
      </c>
      <c r="C2545" t="e">
        <f>NA()</f>
        <v>#N/A</v>
      </c>
      <c r="D2545" t="e">
        <f>NA()</f>
        <v>#N/A</v>
      </c>
      <c r="E2545" t="e">
        <f>NA()</f>
        <v>#N/A</v>
      </c>
      <c r="F2545" t="e">
        <f>NA()</f>
        <v>#N/A</v>
      </c>
      <c r="G2545" t="e">
        <f>NA()</f>
        <v>#N/A</v>
      </c>
      <c r="H2545" t="e">
        <f>NA()</f>
        <v>#N/A</v>
      </c>
      <c r="I2545" t="e">
        <f>NA()</f>
        <v>#N/A</v>
      </c>
      <c r="J2545" t="e">
        <f>NA()</f>
        <v>#N/A</v>
      </c>
      <c r="K2545" t="e">
        <f>NA()</f>
        <v>#N/A</v>
      </c>
      <c r="L2545" t="e">
        <f>NA()</f>
        <v>#N/A</v>
      </c>
      <c r="M2545" t="e">
        <f>NA()</f>
        <v>#N/A</v>
      </c>
      <c r="N2545" t="e">
        <f>NA()</f>
        <v>#N/A</v>
      </c>
      <c r="O2545">
        <f t="shared" si="105"/>
        <v>0.1</v>
      </c>
    </row>
    <row r="2546" spans="1:15" x14ac:dyDescent="0.25">
      <c r="A2546" s="1">
        <v>42338</v>
      </c>
      <c r="B2546" t="e">
        <f>NA()</f>
        <v>#N/A</v>
      </c>
      <c r="C2546" t="e">
        <f>NA()</f>
        <v>#N/A</v>
      </c>
      <c r="D2546">
        <f>0.2</f>
        <v>0.2</v>
      </c>
      <c r="E2546">
        <f>1.9</f>
        <v>1.9</v>
      </c>
      <c r="F2546">
        <f>5708</f>
        <v>5708</v>
      </c>
      <c r="G2546">
        <f>62.5</f>
        <v>62.5</v>
      </c>
      <c r="H2546">
        <f>2.8</f>
        <v>2.8</v>
      </c>
      <c r="I2546">
        <f>237.3</f>
        <v>237.3</v>
      </c>
      <c r="J2546">
        <f>0.5</f>
        <v>0.5</v>
      </c>
      <c r="K2546">
        <f>49.1</f>
        <v>49.1</v>
      </c>
      <c r="L2546">
        <f>-0.7</f>
        <v>-0.7</v>
      </c>
      <c r="M2546" t="e">
        <f>NA()</f>
        <v>#N/A</v>
      </c>
      <c r="N2546">
        <f>5.1</f>
        <v>5.0999999999999996</v>
      </c>
      <c r="O2546">
        <f t="shared" si="105"/>
        <v>0.1</v>
      </c>
    </row>
    <row r="2547" spans="1:15" x14ac:dyDescent="0.25">
      <c r="A2547" s="1">
        <v>42335</v>
      </c>
      <c r="B2547">
        <f>0</f>
        <v>0</v>
      </c>
      <c r="C2547">
        <f>0</f>
        <v>0</v>
      </c>
      <c r="D2547" t="e">
        <f>NA()</f>
        <v>#N/A</v>
      </c>
      <c r="E2547" t="e">
        <f>NA()</f>
        <v>#N/A</v>
      </c>
      <c r="F2547" t="e">
        <f>NA()</f>
        <v>#N/A</v>
      </c>
      <c r="G2547" t="e">
        <f>NA()</f>
        <v>#N/A</v>
      </c>
      <c r="H2547" t="e">
        <f>NA()</f>
        <v>#N/A</v>
      </c>
      <c r="I2547" t="e">
        <f>NA()</f>
        <v>#N/A</v>
      </c>
      <c r="J2547" t="e">
        <f>NA()</f>
        <v>#N/A</v>
      </c>
      <c r="K2547" t="e">
        <f>NA()</f>
        <v>#N/A</v>
      </c>
      <c r="L2547" t="e">
        <f>NA()</f>
        <v>#N/A</v>
      </c>
      <c r="M2547" t="e">
        <f>NA()</f>
        <v>#N/A</v>
      </c>
      <c r="N2547" t="e">
        <f>NA()</f>
        <v>#N/A</v>
      </c>
      <c r="O2547">
        <f t="shared" si="105"/>
        <v>0.1</v>
      </c>
    </row>
    <row r="2548" spans="1:15" x14ac:dyDescent="0.25">
      <c r="A2548" s="1">
        <v>42333</v>
      </c>
      <c r="B2548" t="e">
        <f>NA()</f>
        <v>#N/A</v>
      </c>
      <c r="C2548" t="e">
        <f>NA()</f>
        <v>#N/A</v>
      </c>
      <c r="D2548" t="e">
        <f>NA()</f>
        <v>#N/A</v>
      </c>
      <c r="E2548" t="e">
        <f>NA()</f>
        <v>#N/A</v>
      </c>
      <c r="F2548" t="e">
        <f>NA()</f>
        <v>#N/A</v>
      </c>
      <c r="G2548" t="e">
        <f>NA()</f>
        <v>#N/A</v>
      </c>
      <c r="H2548" t="e">
        <f>NA()</f>
        <v>#N/A</v>
      </c>
      <c r="I2548" t="e">
        <f>NA()</f>
        <v>#N/A</v>
      </c>
      <c r="J2548" t="e">
        <f>NA()</f>
        <v>#N/A</v>
      </c>
      <c r="K2548" t="e">
        <f>NA()</f>
        <v>#N/A</v>
      </c>
      <c r="L2548" t="e">
        <f>NA()</f>
        <v>#N/A</v>
      </c>
      <c r="M2548" t="e">
        <f>NA()</f>
        <v>#N/A</v>
      </c>
      <c r="N2548" t="e">
        <f>NA()</f>
        <v>#N/A</v>
      </c>
      <c r="O2548">
        <f t="shared" si="105"/>
        <v>0.1</v>
      </c>
    </row>
    <row r="2549" spans="1:15" x14ac:dyDescent="0.25">
      <c r="A2549" s="1">
        <v>42332</v>
      </c>
      <c r="B2549" t="e">
        <f>NA()</f>
        <v>#N/A</v>
      </c>
      <c r="C2549" t="e">
        <f>NA()</f>
        <v>#N/A</v>
      </c>
      <c r="D2549" t="e">
        <f>NA()</f>
        <v>#N/A</v>
      </c>
      <c r="E2549" t="e">
        <f>NA()</f>
        <v>#N/A</v>
      </c>
      <c r="F2549" t="e">
        <f>NA()</f>
        <v>#N/A</v>
      </c>
      <c r="G2549" t="e">
        <f>NA()</f>
        <v>#N/A</v>
      </c>
      <c r="H2549" t="e">
        <f>NA()</f>
        <v>#N/A</v>
      </c>
      <c r="I2549" t="e">
        <f>NA()</f>
        <v>#N/A</v>
      </c>
      <c r="J2549" t="e">
        <f>NA()</f>
        <v>#N/A</v>
      </c>
      <c r="K2549" t="e">
        <f>NA()</f>
        <v>#N/A</v>
      </c>
      <c r="L2549" t="e">
        <f>NA()</f>
        <v>#N/A</v>
      </c>
      <c r="M2549" t="e">
        <f>NA()</f>
        <v>#N/A</v>
      </c>
      <c r="N2549" t="e">
        <f>NA()</f>
        <v>#N/A</v>
      </c>
      <c r="O2549">
        <f t="shared" si="105"/>
        <v>0.1</v>
      </c>
    </row>
    <row r="2550" spans="1:15" x14ac:dyDescent="0.25">
      <c r="A2550" s="1">
        <v>42331</v>
      </c>
      <c r="B2550" t="e">
        <f>NA()</f>
        <v>#N/A</v>
      </c>
      <c r="C2550" t="e">
        <f>NA()</f>
        <v>#N/A</v>
      </c>
      <c r="D2550" t="e">
        <f>NA()</f>
        <v>#N/A</v>
      </c>
      <c r="E2550" t="e">
        <f>NA()</f>
        <v>#N/A</v>
      </c>
      <c r="F2550" t="e">
        <f>NA()</f>
        <v>#N/A</v>
      </c>
      <c r="G2550" t="e">
        <f>NA()</f>
        <v>#N/A</v>
      </c>
      <c r="H2550" t="e">
        <f>NA()</f>
        <v>#N/A</v>
      </c>
      <c r="I2550" t="e">
        <f>NA()</f>
        <v>#N/A</v>
      </c>
      <c r="J2550" t="e">
        <f>NA()</f>
        <v>#N/A</v>
      </c>
      <c r="K2550" t="e">
        <f>NA()</f>
        <v>#N/A</v>
      </c>
      <c r="L2550" t="e">
        <f>NA()</f>
        <v>#N/A</v>
      </c>
      <c r="M2550" t="e">
        <f>NA()</f>
        <v>#N/A</v>
      </c>
      <c r="N2550" t="e">
        <f>NA()</f>
        <v>#N/A</v>
      </c>
      <c r="O2550">
        <f t="shared" si="105"/>
        <v>0.1</v>
      </c>
    </row>
    <row r="2551" spans="1:15" x14ac:dyDescent="0.25">
      <c r="A2551" s="1">
        <v>42328</v>
      </c>
      <c r="B2551">
        <f>0.1</f>
        <v>0.1</v>
      </c>
      <c r="C2551">
        <f>0</f>
        <v>0</v>
      </c>
      <c r="D2551" t="e">
        <f>NA()</f>
        <v>#N/A</v>
      </c>
      <c r="E2551" t="e">
        <f>NA()</f>
        <v>#N/A</v>
      </c>
      <c r="F2551" t="e">
        <f>NA()</f>
        <v>#N/A</v>
      </c>
      <c r="G2551" t="e">
        <f>NA()</f>
        <v>#N/A</v>
      </c>
      <c r="H2551" t="e">
        <f>NA()</f>
        <v>#N/A</v>
      </c>
      <c r="I2551" t="e">
        <f>NA()</f>
        <v>#N/A</v>
      </c>
      <c r="J2551" t="e">
        <f>NA()</f>
        <v>#N/A</v>
      </c>
      <c r="K2551" t="e">
        <f>NA()</f>
        <v>#N/A</v>
      </c>
      <c r="L2551" t="e">
        <f>NA()</f>
        <v>#N/A</v>
      </c>
      <c r="M2551" t="e">
        <f>NA()</f>
        <v>#N/A</v>
      </c>
      <c r="N2551" t="e">
        <f>NA()</f>
        <v>#N/A</v>
      </c>
      <c r="O2551">
        <f t="shared" si="105"/>
        <v>0.1</v>
      </c>
    </row>
    <row r="2552" spans="1:15" x14ac:dyDescent="0.25">
      <c r="A2552" s="1">
        <v>42327</v>
      </c>
      <c r="B2552" t="e">
        <f>NA()</f>
        <v>#N/A</v>
      </c>
      <c r="C2552" t="e">
        <f>NA()</f>
        <v>#N/A</v>
      </c>
      <c r="D2552" t="e">
        <f>NA()</f>
        <v>#N/A</v>
      </c>
      <c r="E2552" t="e">
        <f>NA()</f>
        <v>#N/A</v>
      </c>
      <c r="F2552" t="e">
        <f>NA()</f>
        <v>#N/A</v>
      </c>
      <c r="G2552" t="e">
        <f>NA()</f>
        <v>#N/A</v>
      </c>
      <c r="H2552" t="e">
        <f>NA()</f>
        <v>#N/A</v>
      </c>
      <c r="I2552" t="e">
        <f>NA()</f>
        <v>#N/A</v>
      </c>
      <c r="J2552" t="e">
        <f>NA()</f>
        <v>#N/A</v>
      </c>
      <c r="K2552" t="e">
        <f>NA()</f>
        <v>#N/A</v>
      </c>
      <c r="L2552" t="e">
        <f>NA()</f>
        <v>#N/A</v>
      </c>
      <c r="M2552" t="e">
        <f>NA()</f>
        <v>#N/A</v>
      </c>
      <c r="N2552" t="e">
        <f>NA()</f>
        <v>#N/A</v>
      </c>
      <c r="O2552">
        <f t="shared" si="105"/>
        <v>0.1</v>
      </c>
    </row>
    <row r="2553" spans="1:15" x14ac:dyDescent="0.25">
      <c r="A2553" s="1">
        <v>42326</v>
      </c>
      <c r="B2553" t="e">
        <f>NA()</f>
        <v>#N/A</v>
      </c>
      <c r="C2553" t="e">
        <f>NA()</f>
        <v>#N/A</v>
      </c>
      <c r="D2553" t="e">
        <f>NA()</f>
        <v>#N/A</v>
      </c>
      <c r="E2553" t="e">
        <f>NA()</f>
        <v>#N/A</v>
      </c>
      <c r="F2553" t="e">
        <f>NA()</f>
        <v>#N/A</v>
      </c>
      <c r="G2553" t="e">
        <f>NA()</f>
        <v>#N/A</v>
      </c>
      <c r="H2553" t="e">
        <f>NA()</f>
        <v>#N/A</v>
      </c>
      <c r="I2553" t="e">
        <f>NA()</f>
        <v>#N/A</v>
      </c>
      <c r="J2553" t="e">
        <f>NA()</f>
        <v>#N/A</v>
      </c>
      <c r="K2553" t="e">
        <f>NA()</f>
        <v>#N/A</v>
      </c>
      <c r="L2553" t="e">
        <f>NA()</f>
        <v>#N/A</v>
      </c>
      <c r="M2553" t="e">
        <f>NA()</f>
        <v>#N/A</v>
      </c>
      <c r="N2553" t="e">
        <f>NA()</f>
        <v>#N/A</v>
      </c>
      <c r="O2553">
        <f t="shared" si="105"/>
        <v>0.1</v>
      </c>
    </row>
    <row r="2554" spans="1:15" x14ac:dyDescent="0.25">
      <c r="A2554" s="1">
        <v>42325</v>
      </c>
      <c r="B2554" t="e">
        <f>NA()</f>
        <v>#N/A</v>
      </c>
      <c r="C2554" t="e">
        <f>NA()</f>
        <v>#N/A</v>
      </c>
      <c r="D2554" t="e">
        <f>NA()</f>
        <v>#N/A</v>
      </c>
      <c r="E2554" t="e">
        <f>NA()</f>
        <v>#N/A</v>
      </c>
      <c r="F2554" t="e">
        <f>NA()</f>
        <v>#N/A</v>
      </c>
      <c r="G2554" t="e">
        <f>NA()</f>
        <v>#N/A</v>
      </c>
      <c r="H2554" t="e">
        <f>NA()</f>
        <v>#N/A</v>
      </c>
      <c r="I2554" t="e">
        <f>NA()</f>
        <v>#N/A</v>
      </c>
      <c r="J2554" t="e">
        <f>NA()</f>
        <v>#N/A</v>
      </c>
      <c r="K2554" t="e">
        <f>NA()</f>
        <v>#N/A</v>
      </c>
      <c r="L2554" t="e">
        <f>NA()</f>
        <v>#N/A</v>
      </c>
      <c r="M2554" t="e">
        <f>NA()</f>
        <v>#N/A</v>
      </c>
      <c r="N2554" t="e">
        <f>NA()</f>
        <v>#N/A</v>
      </c>
      <c r="O2554">
        <f t="shared" si="105"/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Yang, Andy</cp:lastModifiedBy>
  <dcterms:created xsi:type="dcterms:W3CDTF">2013-04-03T15:49:21Z</dcterms:created>
  <dcterms:modified xsi:type="dcterms:W3CDTF">2025-11-17T21:24:20Z</dcterms:modified>
</cp:coreProperties>
</file>